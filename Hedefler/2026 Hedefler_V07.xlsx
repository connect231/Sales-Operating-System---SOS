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leventburakdemiral/Documents/00 Satış/00 2026 Hedefler/"/>
    </mc:Choice>
  </mc:AlternateContent>
  <xr:revisionPtr revIDLastSave="0" documentId="13_ncr:1_{B41307E8-EB8E-F447-8569-9A684090FB38}" xr6:coauthVersionLast="47" xr6:coauthVersionMax="47" xr10:uidLastSave="{00000000-0000-0000-0000-000000000000}"/>
  <bookViews>
    <workbookView xWindow="320" yWindow="600" windowWidth="33860" windowHeight="19660" activeTab="4" xr2:uid="{29E20EF2-3577-F647-80E8-06FEAB1A811B}"/>
  </bookViews>
  <sheets>
    <sheet name="AccountDağılımı 2026" sheetId="12" r:id="rId1"/>
    <sheet name="AccountDağılımı-Adet" sheetId="13" r:id="rId2"/>
    <sheet name="2026 Bütçe - 600 (Yıllık)" sheetId="1" r:id="rId3"/>
    <sheet name="2026 Bütçe - 600 (Aylık)" sheetId="2" r:id="rId4"/>
    <sheet name="Ürün YS-YenilemeHedefleri - 600" sheetId="5" r:id="rId5"/>
    <sheet name="SatışEkibi YS-Yen. Hed - 600" sheetId="8" r:id="rId6"/>
    <sheet name="Satış YS-Yen.Hed (Ayık) - 600" sheetId="9" r:id="rId7"/>
    <sheet name="2026 SatışHedefi - 671 (Yıllık)" sheetId="3" r:id="rId8"/>
    <sheet name="2026 SatışHedefi - 671 (Aylık)" sheetId="4" r:id="rId9"/>
    <sheet name="Ürün YS-YenilemeHedefleri - 671" sheetId="6" r:id="rId10"/>
    <sheet name="SatışEkibi YS-Yen. Hed - 671" sheetId="7" r:id="rId11"/>
    <sheet name="Satış YS-Yen.Hed (Ayık) - 671" sheetId="10" r:id="rId12"/>
  </sheets>
  <externalReferences>
    <externalReference r:id="rId13"/>
  </externalReferences>
  <calcPr calcId="191029"/>
  <pivotCaches>
    <pivotCache cacheId="109" r:id="rId14"/>
    <pivotCache cacheId="11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3" l="1"/>
  <c r="G41" i="13"/>
  <c r="F41" i="13"/>
  <c r="E41" i="13"/>
  <c r="D41" i="13"/>
  <c r="C41" i="13"/>
  <c r="B41" i="13"/>
  <c r="E137" i="12"/>
  <c r="D137" i="12"/>
  <c r="E139" i="12" s="1"/>
  <c r="G136" i="12"/>
  <c r="F136" i="12"/>
  <c r="G135" i="12"/>
  <c r="F135" i="12"/>
  <c r="G134" i="12"/>
  <c r="F134" i="12"/>
  <c r="F133" i="12"/>
  <c r="E133" i="12"/>
  <c r="G133" i="12" s="1"/>
  <c r="G132" i="12"/>
  <c r="F132" i="12"/>
  <c r="G131" i="12"/>
  <c r="F131" i="12"/>
  <c r="G130" i="12"/>
  <c r="F130" i="12"/>
  <c r="G129" i="12"/>
  <c r="F129" i="12"/>
  <c r="G128" i="12"/>
  <c r="F128" i="12"/>
  <c r="G127" i="12"/>
  <c r="F127" i="12"/>
  <c r="G126" i="12"/>
  <c r="F126" i="12"/>
  <c r="G125" i="12"/>
  <c r="F125" i="12"/>
  <c r="G124" i="12"/>
  <c r="F124" i="12"/>
  <c r="G123" i="12"/>
  <c r="F123" i="12"/>
  <c r="G122" i="12"/>
  <c r="F122" i="12"/>
  <c r="G121" i="12"/>
  <c r="F121" i="12"/>
  <c r="G120" i="12"/>
  <c r="F120" i="12"/>
  <c r="G119" i="12"/>
  <c r="F119" i="12"/>
  <c r="G118" i="12"/>
  <c r="F118" i="12"/>
  <c r="G117" i="12"/>
  <c r="F117" i="12"/>
  <c r="G116" i="12"/>
  <c r="F116" i="12"/>
  <c r="G115" i="12"/>
  <c r="F115" i="12"/>
  <c r="G114" i="12"/>
  <c r="F114" i="12"/>
  <c r="G113" i="12"/>
  <c r="F113" i="12"/>
  <c r="G112" i="12"/>
  <c r="F112" i="12"/>
  <c r="G111" i="12"/>
  <c r="F111" i="12"/>
  <c r="G110" i="12"/>
  <c r="F110" i="12"/>
  <c r="G109" i="12"/>
  <c r="F109" i="12"/>
  <c r="G108" i="12"/>
  <c r="F108" i="12"/>
  <c r="G107" i="12"/>
  <c r="F107" i="12"/>
  <c r="G106" i="12"/>
  <c r="F106" i="12"/>
  <c r="G105" i="12"/>
  <c r="F105" i="12"/>
  <c r="G104" i="12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E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F28" i="12"/>
  <c r="G27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G17" i="12"/>
  <c r="F17" i="12"/>
  <c r="G16" i="12"/>
  <c r="F16" i="12"/>
  <c r="G15" i="12"/>
  <c r="F15" i="12"/>
  <c r="G14" i="12"/>
  <c r="F14" i="12"/>
  <c r="G13" i="12"/>
  <c r="F13" i="12"/>
  <c r="G12" i="12"/>
  <c r="F12" i="12"/>
  <c r="G11" i="12"/>
  <c r="F11" i="12"/>
  <c r="G10" i="12"/>
  <c r="F10" i="12"/>
  <c r="E10" i="12"/>
  <c r="G9" i="12"/>
  <c r="F9" i="12"/>
  <c r="G8" i="12"/>
  <c r="F8" i="12"/>
  <c r="G7" i="12"/>
  <c r="F7" i="12"/>
  <c r="G6" i="12"/>
  <c r="F6" i="12"/>
  <c r="G5" i="12"/>
  <c r="F5" i="12"/>
  <c r="G4" i="12"/>
  <c r="F4" i="12"/>
  <c r="G3" i="12"/>
  <c r="F3" i="12"/>
  <c r="F137" i="12" s="1"/>
  <c r="G139" i="12" s="1"/>
  <c r="G2" i="12"/>
  <c r="G137" i="12" s="1"/>
  <c r="F2" i="12"/>
  <c r="D99" i="10"/>
  <c r="E99" i="10"/>
  <c r="F99" i="10"/>
  <c r="G99" i="10"/>
  <c r="H99" i="10"/>
  <c r="I99" i="10"/>
  <c r="J99" i="10"/>
  <c r="K99" i="10"/>
  <c r="L99" i="10"/>
  <c r="M99" i="10"/>
  <c r="N99" i="10"/>
  <c r="D100" i="10"/>
  <c r="E100" i="10"/>
  <c r="F100" i="10"/>
  <c r="G100" i="10"/>
  <c r="H100" i="10"/>
  <c r="I100" i="10"/>
  <c r="J100" i="10"/>
  <c r="K100" i="10"/>
  <c r="L100" i="10"/>
  <c r="M100" i="10"/>
  <c r="N100" i="10"/>
  <c r="C100" i="10"/>
  <c r="C99" i="10"/>
  <c r="S99" i="10" s="1"/>
  <c r="R100" i="10"/>
  <c r="Q100" i="10"/>
  <c r="U100" i="10"/>
  <c r="R99" i="10"/>
  <c r="Q99" i="10"/>
  <c r="D82" i="10"/>
  <c r="E82" i="10"/>
  <c r="F82" i="10"/>
  <c r="G82" i="10"/>
  <c r="H82" i="10"/>
  <c r="I82" i="10"/>
  <c r="J82" i="10"/>
  <c r="K82" i="10"/>
  <c r="L82" i="10"/>
  <c r="M82" i="10"/>
  <c r="N82" i="10"/>
  <c r="D83" i="10"/>
  <c r="E83" i="10"/>
  <c r="F83" i="10"/>
  <c r="G83" i="10"/>
  <c r="H83" i="10"/>
  <c r="I83" i="10"/>
  <c r="U83" i="10" s="1"/>
  <c r="J83" i="10"/>
  <c r="K83" i="10"/>
  <c r="L83" i="10"/>
  <c r="M83" i="10"/>
  <c r="N83" i="10"/>
  <c r="C83" i="10"/>
  <c r="C82" i="10"/>
  <c r="R83" i="10"/>
  <c r="Q83" i="10"/>
  <c r="R82" i="10"/>
  <c r="Q82" i="10"/>
  <c r="D65" i="10"/>
  <c r="E65" i="10"/>
  <c r="F65" i="10"/>
  <c r="G65" i="10"/>
  <c r="H65" i="10"/>
  <c r="I65" i="10"/>
  <c r="J65" i="10"/>
  <c r="K65" i="10"/>
  <c r="L65" i="10"/>
  <c r="M65" i="10"/>
  <c r="N65" i="10"/>
  <c r="D66" i="10"/>
  <c r="E66" i="10"/>
  <c r="F66" i="10"/>
  <c r="G66" i="10"/>
  <c r="H66" i="10"/>
  <c r="I66" i="10"/>
  <c r="J66" i="10"/>
  <c r="K66" i="10"/>
  <c r="L66" i="10"/>
  <c r="M66" i="10"/>
  <c r="N66" i="10"/>
  <c r="C66" i="10"/>
  <c r="C65" i="10"/>
  <c r="R66" i="10"/>
  <c r="Q66" i="10"/>
  <c r="R65" i="10"/>
  <c r="Q65" i="10"/>
  <c r="D49" i="10"/>
  <c r="E49" i="10"/>
  <c r="F49" i="10"/>
  <c r="G49" i="10"/>
  <c r="H49" i="10"/>
  <c r="I49" i="10"/>
  <c r="J49" i="10"/>
  <c r="K49" i="10"/>
  <c r="L49" i="10"/>
  <c r="M49" i="10"/>
  <c r="N49" i="10"/>
  <c r="D50" i="10"/>
  <c r="E50" i="10"/>
  <c r="F50" i="10"/>
  <c r="G50" i="10"/>
  <c r="H50" i="10"/>
  <c r="I50" i="10"/>
  <c r="J50" i="10"/>
  <c r="K50" i="10"/>
  <c r="L50" i="10"/>
  <c r="M50" i="10"/>
  <c r="N50" i="10"/>
  <c r="C50" i="10"/>
  <c r="C49" i="10"/>
  <c r="R50" i="10"/>
  <c r="Q50" i="10"/>
  <c r="R49" i="10"/>
  <c r="Q49" i="10"/>
  <c r="D30" i="10"/>
  <c r="E30" i="10"/>
  <c r="F30" i="10"/>
  <c r="G30" i="10"/>
  <c r="H30" i="10"/>
  <c r="I30" i="10"/>
  <c r="J30" i="10"/>
  <c r="K30" i="10"/>
  <c r="L30" i="10"/>
  <c r="M30" i="10"/>
  <c r="N30" i="10"/>
  <c r="D31" i="10"/>
  <c r="E31" i="10"/>
  <c r="F31" i="10"/>
  <c r="G31" i="10"/>
  <c r="H31" i="10"/>
  <c r="I31" i="10"/>
  <c r="J31" i="10"/>
  <c r="K31" i="10"/>
  <c r="L31" i="10"/>
  <c r="M31" i="10"/>
  <c r="N31" i="10"/>
  <c r="C31" i="10"/>
  <c r="C30" i="10"/>
  <c r="R31" i="10"/>
  <c r="Q31" i="10"/>
  <c r="R30" i="10"/>
  <c r="Q30" i="10"/>
  <c r="D13" i="10"/>
  <c r="E13" i="10"/>
  <c r="F13" i="10"/>
  <c r="G13" i="10"/>
  <c r="H13" i="10"/>
  <c r="I13" i="10"/>
  <c r="J13" i="10"/>
  <c r="K13" i="10"/>
  <c r="L13" i="10"/>
  <c r="M13" i="10"/>
  <c r="N13" i="10"/>
  <c r="D14" i="10"/>
  <c r="E14" i="10"/>
  <c r="F14" i="10"/>
  <c r="G14" i="10"/>
  <c r="H14" i="10"/>
  <c r="I14" i="10"/>
  <c r="J14" i="10"/>
  <c r="K14" i="10"/>
  <c r="L14" i="10"/>
  <c r="M14" i="10"/>
  <c r="N14" i="10"/>
  <c r="C14" i="10"/>
  <c r="C13" i="10"/>
  <c r="R14" i="10"/>
  <c r="Q14" i="10"/>
  <c r="R13" i="10"/>
  <c r="Q13" i="10"/>
  <c r="N145" i="10"/>
  <c r="N147" i="10" s="1"/>
  <c r="M145" i="10"/>
  <c r="M147" i="10" s="1"/>
  <c r="L145" i="10"/>
  <c r="L147" i="10" s="1"/>
  <c r="K145" i="10"/>
  <c r="K147" i="10" s="1"/>
  <c r="J145" i="10"/>
  <c r="J147" i="10" s="1"/>
  <c r="I145" i="10"/>
  <c r="I147" i="10" s="1"/>
  <c r="H145" i="10"/>
  <c r="G145" i="10"/>
  <c r="F145" i="10"/>
  <c r="F147" i="10" s="1"/>
  <c r="E145" i="10"/>
  <c r="E147" i="10" s="1"/>
  <c r="D145" i="10"/>
  <c r="D147" i="10" s="1"/>
  <c r="C145" i="10"/>
  <c r="N144" i="10"/>
  <c r="N146" i="10" s="1"/>
  <c r="M144" i="10"/>
  <c r="M146" i="10" s="1"/>
  <c r="L144" i="10"/>
  <c r="K144" i="10"/>
  <c r="J144" i="10"/>
  <c r="J146" i="10" s="1"/>
  <c r="I144" i="10"/>
  <c r="I146" i="10" s="1"/>
  <c r="H144" i="10"/>
  <c r="H146" i="10" s="1"/>
  <c r="G144" i="10"/>
  <c r="F144" i="10"/>
  <c r="E144" i="10"/>
  <c r="E146" i="10" s="1"/>
  <c r="D144" i="10"/>
  <c r="C144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N133" i="10"/>
  <c r="M133" i="10"/>
  <c r="L133" i="10"/>
  <c r="K133" i="10"/>
  <c r="J133" i="10"/>
  <c r="I133" i="10"/>
  <c r="H133" i="10"/>
  <c r="H140" i="10" s="1"/>
  <c r="G133" i="10"/>
  <c r="F133" i="10"/>
  <c r="E133" i="10"/>
  <c r="D133" i="10"/>
  <c r="C133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N130" i="10"/>
  <c r="M130" i="10"/>
  <c r="L130" i="10"/>
  <c r="K130" i="10"/>
  <c r="J130" i="10"/>
  <c r="I130" i="10"/>
  <c r="H130" i="10"/>
  <c r="G130" i="10"/>
  <c r="F130" i="10"/>
  <c r="E130" i="10"/>
  <c r="D130" i="10"/>
  <c r="D140" i="10" s="1"/>
  <c r="C130" i="10"/>
  <c r="N129" i="10"/>
  <c r="M129" i="10"/>
  <c r="L129" i="10"/>
  <c r="K129" i="10"/>
  <c r="J129" i="10"/>
  <c r="I129" i="10"/>
  <c r="H129" i="10"/>
  <c r="H139" i="10" s="1"/>
  <c r="G129" i="10"/>
  <c r="F129" i="10"/>
  <c r="E129" i="10"/>
  <c r="D129" i="10"/>
  <c r="C129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N118" i="10"/>
  <c r="M118" i="10"/>
  <c r="L118" i="10"/>
  <c r="K118" i="10"/>
  <c r="J118" i="10"/>
  <c r="I118" i="10"/>
  <c r="H118" i="10"/>
  <c r="H125" i="10" s="1"/>
  <c r="G118" i="10"/>
  <c r="F118" i="10"/>
  <c r="E118" i="10"/>
  <c r="D118" i="10"/>
  <c r="C118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N115" i="10"/>
  <c r="M115" i="10"/>
  <c r="L115" i="10"/>
  <c r="L125" i="10" s="1"/>
  <c r="K115" i="10"/>
  <c r="J115" i="10"/>
  <c r="I115" i="10"/>
  <c r="H115" i="10"/>
  <c r="G115" i="10"/>
  <c r="F115" i="10"/>
  <c r="E115" i="10"/>
  <c r="D115" i="10"/>
  <c r="C115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N108" i="10"/>
  <c r="N110" i="10" s="1"/>
  <c r="M108" i="10"/>
  <c r="M110" i="10" s="1"/>
  <c r="M158" i="10" s="1"/>
  <c r="L108" i="10"/>
  <c r="K108" i="10"/>
  <c r="J108" i="10"/>
  <c r="J110" i="10" s="1"/>
  <c r="J158" i="10" s="1"/>
  <c r="I108" i="10"/>
  <c r="I110" i="10" s="1"/>
  <c r="I158" i="10" s="1"/>
  <c r="H108" i="10"/>
  <c r="G108" i="10"/>
  <c r="F108" i="10"/>
  <c r="F110" i="10" s="1"/>
  <c r="E108" i="10"/>
  <c r="D108" i="10"/>
  <c r="D110" i="10" s="1"/>
  <c r="C108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N94" i="10"/>
  <c r="M94" i="10"/>
  <c r="L94" i="10"/>
  <c r="L103" i="10" s="1"/>
  <c r="K94" i="10"/>
  <c r="J94" i="10"/>
  <c r="I94" i="10"/>
  <c r="H94" i="10"/>
  <c r="G94" i="10"/>
  <c r="F94" i="10"/>
  <c r="E94" i="10"/>
  <c r="D94" i="10"/>
  <c r="D103" i="10" s="1"/>
  <c r="C94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N80" i="10"/>
  <c r="M80" i="10"/>
  <c r="L80" i="10"/>
  <c r="K80" i="10"/>
  <c r="J80" i="10"/>
  <c r="I80" i="10"/>
  <c r="H80" i="10"/>
  <c r="H85" i="10" s="1"/>
  <c r="G80" i="10"/>
  <c r="F80" i="10"/>
  <c r="E80" i="10"/>
  <c r="D80" i="10"/>
  <c r="C80" i="10"/>
  <c r="N79" i="10"/>
  <c r="M79" i="10"/>
  <c r="L79" i="10"/>
  <c r="L157" i="10" s="1"/>
  <c r="K79" i="10"/>
  <c r="J79" i="10"/>
  <c r="I79" i="10"/>
  <c r="H79" i="10"/>
  <c r="G79" i="10"/>
  <c r="F79" i="10"/>
  <c r="E79" i="10"/>
  <c r="D79" i="10"/>
  <c r="D157" i="10" s="1"/>
  <c r="C79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N77" i="10"/>
  <c r="M77" i="10"/>
  <c r="L77" i="10"/>
  <c r="L155" i="10" s="1"/>
  <c r="K77" i="10"/>
  <c r="J77" i="10"/>
  <c r="I77" i="10"/>
  <c r="H77" i="10"/>
  <c r="G77" i="10"/>
  <c r="F77" i="10"/>
  <c r="E77" i="10"/>
  <c r="D77" i="10"/>
  <c r="C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74" i="10"/>
  <c r="M74" i="10"/>
  <c r="L74" i="10"/>
  <c r="K74" i="10"/>
  <c r="J74" i="10"/>
  <c r="I74" i="10"/>
  <c r="H74" i="10"/>
  <c r="H86" i="10" s="1"/>
  <c r="G74" i="10"/>
  <c r="F74" i="10"/>
  <c r="E74" i="10"/>
  <c r="D74" i="10"/>
  <c r="C74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N67" i="10"/>
  <c r="M67" i="10"/>
  <c r="L67" i="10"/>
  <c r="K67" i="10"/>
  <c r="J67" i="10"/>
  <c r="I67" i="10"/>
  <c r="H67" i="10"/>
  <c r="H163" i="10" s="1"/>
  <c r="G67" i="10"/>
  <c r="F67" i="10"/>
  <c r="E67" i="10"/>
  <c r="D67" i="10"/>
  <c r="C67" i="10"/>
  <c r="N64" i="10"/>
  <c r="M64" i="10"/>
  <c r="L64" i="10"/>
  <c r="L68" i="10" s="1"/>
  <c r="K64" i="10"/>
  <c r="K68" i="10" s="1"/>
  <c r="J64" i="10"/>
  <c r="I64" i="10"/>
  <c r="H64" i="10"/>
  <c r="G64" i="10"/>
  <c r="F64" i="10"/>
  <c r="E64" i="10"/>
  <c r="D64" i="10"/>
  <c r="D68" i="10" s="1"/>
  <c r="C64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N58" i="10"/>
  <c r="N69" i="10" s="1"/>
  <c r="M58" i="10"/>
  <c r="L58" i="10"/>
  <c r="L69" i="10" s="1"/>
  <c r="K58" i="10"/>
  <c r="J58" i="10"/>
  <c r="J69" i="10" s="1"/>
  <c r="I58" i="10"/>
  <c r="H58" i="10"/>
  <c r="G58" i="10"/>
  <c r="F58" i="10"/>
  <c r="E58" i="10"/>
  <c r="D58" i="10"/>
  <c r="D69" i="10" s="1"/>
  <c r="C58" i="10"/>
  <c r="N57" i="10"/>
  <c r="M57" i="10"/>
  <c r="L57" i="10"/>
  <c r="K57" i="10"/>
  <c r="J57" i="10"/>
  <c r="I57" i="10"/>
  <c r="H57" i="10"/>
  <c r="H68" i="10" s="1"/>
  <c r="G57" i="10"/>
  <c r="F57" i="10"/>
  <c r="E57" i="10"/>
  <c r="D57" i="10"/>
  <c r="C57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N45" i="10"/>
  <c r="N162" i="10" s="1"/>
  <c r="M45" i="10"/>
  <c r="M162" i="10" s="1"/>
  <c r="L45" i="10"/>
  <c r="L162" i="10" s="1"/>
  <c r="K45" i="10"/>
  <c r="K162" i="10" s="1"/>
  <c r="J45" i="10"/>
  <c r="J162" i="10" s="1"/>
  <c r="I45" i="10"/>
  <c r="H45" i="10"/>
  <c r="G45" i="10"/>
  <c r="F45" i="10"/>
  <c r="F162" i="10" s="1"/>
  <c r="E45" i="10"/>
  <c r="E162" i="10" s="1"/>
  <c r="D45" i="10"/>
  <c r="D162" i="10" s="1"/>
  <c r="C45" i="10"/>
  <c r="C162" i="10" s="1"/>
  <c r="N44" i="10"/>
  <c r="M44" i="10"/>
  <c r="M161" i="10" s="1"/>
  <c r="L44" i="10"/>
  <c r="K44" i="10"/>
  <c r="J44" i="10"/>
  <c r="J161" i="10" s="1"/>
  <c r="I44" i="10"/>
  <c r="I161" i="10" s="1"/>
  <c r="H44" i="10"/>
  <c r="H161" i="10" s="1"/>
  <c r="G44" i="10"/>
  <c r="G161" i="10" s="1"/>
  <c r="F44" i="10"/>
  <c r="F161" i="10" s="1"/>
  <c r="E44" i="10"/>
  <c r="E161" i="10" s="1"/>
  <c r="D44" i="10"/>
  <c r="C44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9" i="10"/>
  <c r="M39" i="10"/>
  <c r="L39" i="10"/>
  <c r="K39" i="10"/>
  <c r="K53" i="10" s="1"/>
  <c r="J39" i="10"/>
  <c r="I39" i="10"/>
  <c r="H39" i="10"/>
  <c r="G39" i="10"/>
  <c r="F39" i="10"/>
  <c r="E39" i="10"/>
  <c r="D39" i="10"/>
  <c r="D53" i="10" s="1"/>
  <c r="C39" i="10"/>
  <c r="N38" i="10"/>
  <c r="M38" i="10"/>
  <c r="L38" i="10"/>
  <c r="K38" i="10"/>
  <c r="J38" i="10"/>
  <c r="I38" i="10"/>
  <c r="H38" i="10"/>
  <c r="H52" i="10" s="1"/>
  <c r="G38" i="10"/>
  <c r="F38" i="10"/>
  <c r="E38" i="10"/>
  <c r="D38" i="10"/>
  <c r="C38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N24" i="10"/>
  <c r="M24" i="10"/>
  <c r="L24" i="10"/>
  <c r="K24" i="10"/>
  <c r="K154" i="10" s="1"/>
  <c r="J24" i="10"/>
  <c r="J154" i="10" s="1"/>
  <c r="I24" i="10"/>
  <c r="H24" i="10"/>
  <c r="G24" i="10"/>
  <c r="F24" i="10"/>
  <c r="E24" i="10"/>
  <c r="D24" i="10"/>
  <c r="D154" i="10" s="1"/>
  <c r="C24" i="10"/>
  <c r="C154" i="10" s="1"/>
  <c r="N23" i="10"/>
  <c r="M23" i="10"/>
  <c r="L23" i="10"/>
  <c r="K23" i="10"/>
  <c r="J23" i="10"/>
  <c r="I23" i="10"/>
  <c r="H23" i="10"/>
  <c r="H153" i="10" s="1"/>
  <c r="G23" i="10"/>
  <c r="F23" i="10"/>
  <c r="E23" i="10"/>
  <c r="D23" i="10"/>
  <c r="C23" i="10"/>
  <c r="N22" i="10"/>
  <c r="M22" i="10"/>
  <c r="L22" i="10"/>
  <c r="K22" i="10"/>
  <c r="K34" i="10" s="1"/>
  <c r="J22" i="10"/>
  <c r="I22" i="10"/>
  <c r="H22" i="10"/>
  <c r="G22" i="10"/>
  <c r="F22" i="10"/>
  <c r="E22" i="10"/>
  <c r="D22" i="10"/>
  <c r="C22" i="10"/>
  <c r="N21" i="10"/>
  <c r="M21" i="10"/>
  <c r="L21" i="10"/>
  <c r="K21" i="10"/>
  <c r="J21" i="10"/>
  <c r="I21" i="10"/>
  <c r="H21" i="10"/>
  <c r="H151" i="10" s="1"/>
  <c r="G21" i="10"/>
  <c r="F21" i="10"/>
  <c r="E21" i="10"/>
  <c r="D21" i="10"/>
  <c r="C21" i="10"/>
  <c r="N15" i="10"/>
  <c r="M15" i="10"/>
  <c r="L15" i="10"/>
  <c r="L163" i="10" s="1"/>
  <c r="K15" i="10"/>
  <c r="J15" i="10"/>
  <c r="I15" i="10"/>
  <c r="H15" i="10"/>
  <c r="G15" i="10"/>
  <c r="F15" i="10"/>
  <c r="E15" i="10"/>
  <c r="D15" i="10"/>
  <c r="C15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N11" i="10"/>
  <c r="M11" i="10"/>
  <c r="L11" i="10"/>
  <c r="L159" i="10" s="1"/>
  <c r="K11" i="10"/>
  <c r="J11" i="10"/>
  <c r="J159" i="10" s="1"/>
  <c r="I11" i="10"/>
  <c r="H11" i="10"/>
  <c r="G11" i="10"/>
  <c r="F11" i="10"/>
  <c r="E11" i="10"/>
  <c r="D11" i="10"/>
  <c r="D159" i="10" s="1"/>
  <c r="C11" i="10"/>
  <c r="N10" i="10"/>
  <c r="N157" i="10" s="1"/>
  <c r="M10" i="10"/>
  <c r="L10" i="10"/>
  <c r="K10" i="10"/>
  <c r="J10" i="10"/>
  <c r="I10" i="10"/>
  <c r="H10" i="10"/>
  <c r="G10" i="10"/>
  <c r="F10" i="10"/>
  <c r="E10" i="10"/>
  <c r="D10" i="10"/>
  <c r="C10" i="10"/>
  <c r="N9" i="10"/>
  <c r="M9" i="10"/>
  <c r="L9" i="10"/>
  <c r="L156" i="10" s="1"/>
  <c r="K9" i="10"/>
  <c r="J9" i="10"/>
  <c r="J156" i="10" s="1"/>
  <c r="I9" i="10"/>
  <c r="H9" i="10"/>
  <c r="G9" i="10"/>
  <c r="F9" i="10"/>
  <c r="E9" i="10"/>
  <c r="D9" i="10"/>
  <c r="D156" i="10" s="1"/>
  <c r="C9" i="10"/>
  <c r="N8" i="10"/>
  <c r="N155" i="10" s="1"/>
  <c r="M8" i="10"/>
  <c r="L8" i="10"/>
  <c r="K8" i="10"/>
  <c r="J8" i="10"/>
  <c r="I8" i="10"/>
  <c r="H8" i="10"/>
  <c r="H155" i="10" s="1"/>
  <c r="G8" i="10"/>
  <c r="F8" i="10"/>
  <c r="E8" i="10"/>
  <c r="D8" i="10"/>
  <c r="C8" i="10"/>
  <c r="N7" i="10"/>
  <c r="M7" i="10"/>
  <c r="L7" i="10"/>
  <c r="L153" i="10" s="1"/>
  <c r="K7" i="10"/>
  <c r="J7" i="10"/>
  <c r="I7" i="10"/>
  <c r="H7" i="10"/>
  <c r="G7" i="10"/>
  <c r="F7" i="10"/>
  <c r="E7" i="10"/>
  <c r="D7" i="10"/>
  <c r="D153" i="10" s="1"/>
  <c r="C7" i="10"/>
  <c r="N6" i="10"/>
  <c r="M6" i="10"/>
  <c r="L6" i="10"/>
  <c r="K6" i="10"/>
  <c r="J6" i="10"/>
  <c r="I6" i="10"/>
  <c r="H6" i="10"/>
  <c r="G6" i="10"/>
  <c r="F6" i="10"/>
  <c r="E6" i="10"/>
  <c r="D6" i="10"/>
  <c r="C6" i="10"/>
  <c r="N5" i="10"/>
  <c r="M5" i="10"/>
  <c r="L5" i="10"/>
  <c r="L151" i="10" s="1"/>
  <c r="K5" i="10"/>
  <c r="J5" i="10"/>
  <c r="J151" i="10" s="1"/>
  <c r="I5" i="10"/>
  <c r="H5" i="10"/>
  <c r="G5" i="10"/>
  <c r="F5" i="10"/>
  <c r="E5" i="10"/>
  <c r="D5" i="10"/>
  <c r="D151" i="10" s="1"/>
  <c r="C5" i="10"/>
  <c r="R168" i="10"/>
  <c r="R167" i="10"/>
  <c r="R166" i="10"/>
  <c r="R165" i="10"/>
  <c r="Q165" i="10"/>
  <c r="R164" i="10"/>
  <c r="Q164" i="10"/>
  <c r="R163" i="10"/>
  <c r="Q163" i="10"/>
  <c r="R162" i="10"/>
  <c r="Q162" i="10"/>
  <c r="R161" i="10"/>
  <c r="Q161" i="10"/>
  <c r="R160" i="10"/>
  <c r="Q160" i="10"/>
  <c r="R159" i="10"/>
  <c r="Q159" i="10"/>
  <c r="R158" i="10"/>
  <c r="Q158" i="10"/>
  <c r="R157" i="10"/>
  <c r="Q157" i="10"/>
  <c r="R156" i="10"/>
  <c r="Q156" i="10"/>
  <c r="R155" i="10"/>
  <c r="Q155" i="10"/>
  <c r="R154" i="10"/>
  <c r="Q154" i="10"/>
  <c r="R153" i="10"/>
  <c r="Q153" i="10"/>
  <c r="R152" i="10"/>
  <c r="Q152" i="10"/>
  <c r="R151" i="10"/>
  <c r="Q151" i="10"/>
  <c r="Q150" i="10"/>
  <c r="R148" i="10"/>
  <c r="R147" i="10"/>
  <c r="R146" i="10"/>
  <c r="G146" i="10"/>
  <c r="R145" i="10"/>
  <c r="Q145" i="10"/>
  <c r="G147" i="10"/>
  <c r="R144" i="10"/>
  <c r="Q144" i="10"/>
  <c r="L146" i="10"/>
  <c r="K146" i="10"/>
  <c r="D146" i="10"/>
  <c r="Q143" i="10"/>
  <c r="R141" i="10"/>
  <c r="R140" i="10"/>
  <c r="R139" i="10"/>
  <c r="R138" i="10"/>
  <c r="Q138" i="10"/>
  <c r="R137" i="10"/>
  <c r="Q137" i="10"/>
  <c r="R136" i="10"/>
  <c r="Q136" i="10"/>
  <c r="R135" i="10"/>
  <c r="Q135" i="10"/>
  <c r="R134" i="10"/>
  <c r="Q134" i="10"/>
  <c r="R133" i="10"/>
  <c r="Q133" i="10"/>
  <c r="T132" i="10"/>
  <c r="R132" i="10"/>
  <c r="Q132" i="10"/>
  <c r="R131" i="10"/>
  <c r="Q131" i="10"/>
  <c r="R130" i="10"/>
  <c r="Q130" i="10"/>
  <c r="R129" i="10"/>
  <c r="Q129" i="10"/>
  <c r="G139" i="10"/>
  <c r="Q128" i="10"/>
  <c r="R126" i="10"/>
  <c r="R125" i="10"/>
  <c r="R124" i="10"/>
  <c r="R123" i="10"/>
  <c r="Q123" i="10"/>
  <c r="R122" i="10"/>
  <c r="Q122" i="10"/>
  <c r="R121" i="10"/>
  <c r="Q121" i="10"/>
  <c r="R120" i="10"/>
  <c r="Q120" i="10"/>
  <c r="R119" i="10"/>
  <c r="Q119" i="10"/>
  <c r="R118" i="10"/>
  <c r="Q118" i="10"/>
  <c r="R117" i="10"/>
  <c r="Q117" i="10"/>
  <c r="R116" i="10"/>
  <c r="Q116" i="10"/>
  <c r="R115" i="10"/>
  <c r="Q115" i="10"/>
  <c r="K125" i="10"/>
  <c r="R114" i="10"/>
  <c r="Q114" i="10"/>
  <c r="Q113" i="10"/>
  <c r="R111" i="10"/>
  <c r="R110" i="10"/>
  <c r="H110" i="10"/>
  <c r="H158" i="10" s="1"/>
  <c r="G110" i="10"/>
  <c r="G158" i="10" s="1"/>
  <c r="R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R108" i="10"/>
  <c r="Q108" i="10"/>
  <c r="L110" i="10"/>
  <c r="L158" i="10" s="1"/>
  <c r="E110" i="10"/>
  <c r="E158" i="10" s="1"/>
  <c r="V107" i="10"/>
  <c r="U107" i="10"/>
  <c r="T107" i="10"/>
  <c r="S107" i="10"/>
  <c r="R107" i="10"/>
  <c r="Q107" i="10"/>
  <c r="O107" i="10"/>
  <c r="O109" i="10" s="1"/>
  <c r="Q106" i="10"/>
  <c r="R104" i="10"/>
  <c r="R103" i="10"/>
  <c r="R102" i="10"/>
  <c r="R101" i="10"/>
  <c r="Q101" i="10"/>
  <c r="R98" i="10"/>
  <c r="Q98" i="10"/>
  <c r="R97" i="10"/>
  <c r="Q97" i="10"/>
  <c r="R96" i="10"/>
  <c r="Q96" i="10"/>
  <c r="R95" i="10"/>
  <c r="Q95" i="10"/>
  <c r="R94" i="10"/>
  <c r="Q94" i="10"/>
  <c r="R93" i="10"/>
  <c r="Q93" i="10"/>
  <c r="R92" i="10"/>
  <c r="Q92" i="10"/>
  <c r="R91" i="10"/>
  <c r="Q91" i="10"/>
  <c r="R90" i="10"/>
  <c r="Q90" i="10"/>
  <c r="Q89" i="10"/>
  <c r="R87" i="10"/>
  <c r="R86" i="10"/>
  <c r="R85" i="10"/>
  <c r="R84" i="10"/>
  <c r="Q84" i="10"/>
  <c r="R81" i="10"/>
  <c r="Q81" i="10"/>
  <c r="R80" i="10"/>
  <c r="Q80" i="10"/>
  <c r="R79" i="10"/>
  <c r="Q79" i="10"/>
  <c r="R78" i="10"/>
  <c r="Q78" i="10"/>
  <c r="R77" i="10"/>
  <c r="Q77" i="10"/>
  <c r="R76" i="10"/>
  <c r="Q76" i="10"/>
  <c r="R75" i="10"/>
  <c r="Q75" i="10"/>
  <c r="R74" i="10"/>
  <c r="Q74" i="10"/>
  <c r="R73" i="10"/>
  <c r="Q73" i="10"/>
  <c r="Q72" i="10"/>
  <c r="R70" i="10"/>
  <c r="R69" i="10"/>
  <c r="R68" i="10"/>
  <c r="R67" i="10"/>
  <c r="Q67" i="10"/>
  <c r="R64" i="10"/>
  <c r="Q64" i="10"/>
  <c r="R63" i="10"/>
  <c r="Q63" i="10"/>
  <c r="R62" i="10"/>
  <c r="Q62" i="10"/>
  <c r="R61" i="10"/>
  <c r="Q61" i="10"/>
  <c r="R60" i="10"/>
  <c r="Q60" i="10"/>
  <c r="R59" i="10"/>
  <c r="Q59" i="10"/>
  <c r="R58" i="10"/>
  <c r="Q58" i="10"/>
  <c r="H69" i="10"/>
  <c r="R57" i="10"/>
  <c r="Q57" i="10"/>
  <c r="Q56" i="10"/>
  <c r="R54" i="10"/>
  <c r="R53" i="10"/>
  <c r="R52" i="10"/>
  <c r="R51" i="10"/>
  <c r="Q51" i="10"/>
  <c r="R48" i="10"/>
  <c r="Q48" i="10"/>
  <c r="R47" i="10"/>
  <c r="Q47" i="10"/>
  <c r="R46" i="10"/>
  <c r="Q46" i="10"/>
  <c r="R45" i="10"/>
  <c r="Q45" i="10"/>
  <c r="H162" i="10"/>
  <c r="G162" i="10"/>
  <c r="R44" i="10"/>
  <c r="Q44" i="10"/>
  <c r="L161" i="10"/>
  <c r="K161" i="10"/>
  <c r="C161" i="10"/>
  <c r="R43" i="10"/>
  <c r="Q43" i="10"/>
  <c r="R42" i="10"/>
  <c r="Q42" i="10"/>
  <c r="R41" i="10"/>
  <c r="Q41" i="10"/>
  <c r="R40" i="10"/>
  <c r="Q40" i="10"/>
  <c r="R39" i="10"/>
  <c r="Q39" i="10"/>
  <c r="R38" i="10"/>
  <c r="Q38" i="10"/>
  <c r="Q37" i="10"/>
  <c r="R35" i="10"/>
  <c r="R34" i="10"/>
  <c r="R33" i="10"/>
  <c r="R32" i="10"/>
  <c r="Q32" i="10"/>
  <c r="R29" i="10"/>
  <c r="Q29" i="10"/>
  <c r="R28" i="10"/>
  <c r="Q28" i="10"/>
  <c r="R27" i="10"/>
  <c r="Q27" i="10"/>
  <c r="R26" i="10"/>
  <c r="Q26" i="10"/>
  <c r="R25" i="10"/>
  <c r="Q25" i="10"/>
  <c r="R24" i="10"/>
  <c r="Q24" i="10"/>
  <c r="R23" i="10"/>
  <c r="Q23" i="10"/>
  <c r="R22" i="10"/>
  <c r="Q22" i="10"/>
  <c r="R21" i="10"/>
  <c r="Q21" i="10"/>
  <c r="Q20" i="10"/>
  <c r="R18" i="10"/>
  <c r="R17" i="10"/>
  <c r="R16" i="10"/>
  <c r="R15" i="10"/>
  <c r="Q15" i="10"/>
  <c r="R12" i="10"/>
  <c r="Q12" i="10"/>
  <c r="R11" i="10"/>
  <c r="Q11" i="10"/>
  <c r="H159" i="10"/>
  <c r="R10" i="10"/>
  <c r="Q10" i="10"/>
  <c r="R9" i="10"/>
  <c r="Q9" i="10"/>
  <c r="H156" i="10"/>
  <c r="R8" i="10"/>
  <c r="Q8" i="10"/>
  <c r="D155" i="10"/>
  <c r="R7" i="10"/>
  <c r="Q7" i="10"/>
  <c r="R6" i="10"/>
  <c r="Q6" i="10"/>
  <c r="R5" i="10"/>
  <c r="Q5" i="10"/>
  <c r="Q4" i="10"/>
  <c r="N59" i="7"/>
  <c r="O59" i="7"/>
  <c r="P59" i="7"/>
  <c r="Q59" i="7"/>
  <c r="R59" i="7"/>
  <c r="S59" i="7"/>
  <c r="M59" i="7"/>
  <c r="J54" i="7"/>
  <c r="I54" i="7"/>
  <c r="H54" i="7"/>
  <c r="G54" i="7"/>
  <c r="F54" i="7"/>
  <c r="E54" i="7"/>
  <c r="D54" i="7"/>
  <c r="C54" i="7"/>
  <c r="B54" i="7"/>
  <c r="R146" i="9"/>
  <c r="Q146" i="9"/>
  <c r="D132" i="9"/>
  <c r="E132" i="9"/>
  <c r="F132" i="9"/>
  <c r="G132" i="9"/>
  <c r="H132" i="9"/>
  <c r="I132" i="9"/>
  <c r="J132" i="9"/>
  <c r="K132" i="9"/>
  <c r="L132" i="9"/>
  <c r="M132" i="9"/>
  <c r="N132" i="9"/>
  <c r="D133" i="9"/>
  <c r="E133" i="9"/>
  <c r="F133" i="9"/>
  <c r="G133" i="9"/>
  <c r="H133" i="9"/>
  <c r="I133" i="9"/>
  <c r="J133" i="9"/>
  <c r="K133" i="9"/>
  <c r="L133" i="9"/>
  <c r="M133" i="9"/>
  <c r="N133" i="9"/>
  <c r="C133" i="9"/>
  <c r="C132" i="9"/>
  <c r="N128" i="9"/>
  <c r="D117" i="9"/>
  <c r="E117" i="9"/>
  <c r="F117" i="9"/>
  <c r="G117" i="9"/>
  <c r="H117" i="9"/>
  <c r="I117" i="9"/>
  <c r="J117" i="9"/>
  <c r="K117" i="9"/>
  <c r="K127" i="9" s="1"/>
  <c r="L117" i="9"/>
  <c r="M117" i="9"/>
  <c r="N117" i="9"/>
  <c r="D118" i="9"/>
  <c r="E118" i="9"/>
  <c r="F118" i="9"/>
  <c r="G118" i="9"/>
  <c r="H118" i="9"/>
  <c r="H128" i="9" s="1"/>
  <c r="I118" i="9"/>
  <c r="J118" i="9"/>
  <c r="K118" i="9"/>
  <c r="L118" i="9"/>
  <c r="M118" i="9"/>
  <c r="N118" i="9"/>
  <c r="D119" i="9"/>
  <c r="E119" i="9"/>
  <c r="F119" i="9"/>
  <c r="G119" i="9"/>
  <c r="H119" i="9"/>
  <c r="I119" i="9"/>
  <c r="J119" i="9"/>
  <c r="K119" i="9"/>
  <c r="L119" i="9"/>
  <c r="M119" i="9"/>
  <c r="N119" i="9"/>
  <c r="D120" i="9"/>
  <c r="E120" i="9"/>
  <c r="F120" i="9"/>
  <c r="G120" i="9"/>
  <c r="H120" i="9"/>
  <c r="I120" i="9"/>
  <c r="J120" i="9"/>
  <c r="K120" i="9"/>
  <c r="L120" i="9"/>
  <c r="M120" i="9"/>
  <c r="N120" i="9"/>
  <c r="D121" i="9"/>
  <c r="E121" i="9"/>
  <c r="F121" i="9"/>
  <c r="G121" i="9"/>
  <c r="H121" i="9"/>
  <c r="I121" i="9"/>
  <c r="J121" i="9"/>
  <c r="K121" i="9"/>
  <c r="L121" i="9"/>
  <c r="M121" i="9"/>
  <c r="N121" i="9"/>
  <c r="D122" i="9"/>
  <c r="E122" i="9"/>
  <c r="F122" i="9"/>
  <c r="G122" i="9"/>
  <c r="H122" i="9"/>
  <c r="I122" i="9"/>
  <c r="J122" i="9"/>
  <c r="K122" i="9"/>
  <c r="L122" i="9"/>
  <c r="M122" i="9"/>
  <c r="N122" i="9"/>
  <c r="D123" i="9"/>
  <c r="E123" i="9"/>
  <c r="F123" i="9"/>
  <c r="G123" i="9"/>
  <c r="H123" i="9"/>
  <c r="I123" i="9"/>
  <c r="J123" i="9"/>
  <c r="K123" i="9"/>
  <c r="L123" i="9"/>
  <c r="M123" i="9"/>
  <c r="N123" i="9"/>
  <c r="D124" i="9"/>
  <c r="E124" i="9"/>
  <c r="F124" i="9"/>
  <c r="G124" i="9"/>
  <c r="H124" i="9"/>
  <c r="I124" i="9"/>
  <c r="J124" i="9"/>
  <c r="K124" i="9"/>
  <c r="L124" i="9"/>
  <c r="M124" i="9"/>
  <c r="N124" i="9"/>
  <c r="D125" i="9"/>
  <c r="E125" i="9"/>
  <c r="F125" i="9"/>
  <c r="G125" i="9"/>
  <c r="H125" i="9"/>
  <c r="I125" i="9"/>
  <c r="J125" i="9"/>
  <c r="K125" i="9"/>
  <c r="L125" i="9"/>
  <c r="M125" i="9"/>
  <c r="N125" i="9"/>
  <c r="D126" i="9"/>
  <c r="E126" i="9"/>
  <c r="F126" i="9"/>
  <c r="G126" i="9"/>
  <c r="H126" i="9"/>
  <c r="I126" i="9"/>
  <c r="J126" i="9"/>
  <c r="K126" i="9"/>
  <c r="L126" i="9"/>
  <c r="M126" i="9"/>
  <c r="N126" i="9"/>
  <c r="C125" i="9"/>
  <c r="C123" i="9"/>
  <c r="C121" i="9"/>
  <c r="C120" i="9"/>
  <c r="C118" i="9"/>
  <c r="C126" i="9"/>
  <c r="C124" i="9"/>
  <c r="C122" i="9"/>
  <c r="C119" i="9"/>
  <c r="C117" i="9"/>
  <c r="D102" i="9"/>
  <c r="E102" i="9"/>
  <c r="F102" i="9"/>
  <c r="G102" i="9"/>
  <c r="H102" i="9"/>
  <c r="I102" i="9"/>
  <c r="J102" i="9"/>
  <c r="K102" i="9"/>
  <c r="L102" i="9"/>
  <c r="M102" i="9"/>
  <c r="N102" i="9"/>
  <c r="D103" i="9"/>
  <c r="E103" i="9"/>
  <c r="F103" i="9"/>
  <c r="G103" i="9"/>
  <c r="H103" i="9"/>
  <c r="I103" i="9"/>
  <c r="J103" i="9"/>
  <c r="K103" i="9"/>
  <c r="L103" i="9"/>
  <c r="M103" i="9"/>
  <c r="N103" i="9"/>
  <c r="D104" i="9"/>
  <c r="E104" i="9"/>
  <c r="F104" i="9"/>
  <c r="G104" i="9"/>
  <c r="H104" i="9"/>
  <c r="I104" i="9"/>
  <c r="J104" i="9"/>
  <c r="K104" i="9"/>
  <c r="L104" i="9"/>
  <c r="M104" i="9"/>
  <c r="N104" i="9"/>
  <c r="D105" i="9"/>
  <c r="E105" i="9"/>
  <c r="F105" i="9"/>
  <c r="G105" i="9"/>
  <c r="H105" i="9"/>
  <c r="I105" i="9"/>
  <c r="J105" i="9"/>
  <c r="K105" i="9"/>
  <c r="L105" i="9"/>
  <c r="M105" i="9"/>
  <c r="N105" i="9"/>
  <c r="D106" i="9"/>
  <c r="E106" i="9"/>
  <c r="F106" i="9"/>
  <c r="G106" i="9"/>
  <c r="H106" i="9"/>
  <c r="I106" i="9"/>
  <c r="J106" i="9"/>
  <c r="K106" i="9"/>
  <c r="L106" i="9"/>
  <c r="M106" i="9"/>
  <c r="N106" i="9"/>
  <c r="D107" i="9"/>
  <c r="E107" i="9"/>
  <c r="F107" i="9"/>
  <c r="G107" i="9"/>
  <c r="H107" i="9"/>
  <c r="I107" i="9"/>
  <c r="J107" i="9"/>
  <c r="K107" i="9"/>
  <c r="L107" i="9"/>
  <c r="M107" i="9"/>
  <c r="N107" i="9"/>
  <c r="D108" i="9"/>
  <c r="E108" i="9"/>
  <c r="F108" i="9"/>
  <c r="G108" i="9"/>
  <c r="H108" i="9"/>
  <c r="I108" i="9"/>
  <c r="J108" i="9"/>
  <c r="K108" i="9"/>
  <c r="L108" i="9"/>
  <c r="M108" i="9"/>
  <c r="N108" i="9"/>
  <c r="D109" i="9"/>
  <c r="E109" i="9"/>
  <c r="F109" i="9"/>
  <c r="G109" i="9"/>
  <c r="H109" i="9"/>
  <c r="I109" i="9"/>
  <c r="J109" i="9"/>
  <c r="K109" i="9"/>
  <c r="L109" i="9"/>
  <c r="M109" i="9"/>
  <c r="N109" i="9"/>
  <c r="D110" i="9"/>
  <c r="E110" i="9"/>
  <c r="F110" i="9"/>
  <c r="G110" i="9"/>
  <c r="H110" i="9"/>
  <c r="I110" i="9"/>
  <c r="J110" i="9"/>
  <c r="K110" i="9"/>
  <c r="L110" i="9"/>
  <c r="M110" i="9"/>
  <c r="N110" i="9"/>
  <c r="D111" i="9"/>
  <c r="E111" i="9"/>
  <c r="F111" i="9"/>
  <c r="G111" i="9"/>
  <c r="H111" i="9"/>
  <c r="I111" i="9"/>
  <c r="J111" i="9"/>
  <c r="K111" i="9"/>
  <c r="L111" i="9"/>
  <c r="M111" i="9"/>
  <c r="N111" i="9"/>
  <c r="C108" i="9"/>
  <c r="C106" i="9"/>
  <c r="C105" i="9"/>
  <c r="C103" i="9"/>
  <c r="C111" i="9"/>
  <c r="C107" i="9"/>
  <c r="C104" i="9"/>
  <c r="C102" i="9"/>
  <c r="V82" i="10" l="1"/>
  <c r="S75" i="10"/>
  <c r="T91" i="10"/>
  <c r="E69" i="10"/>
  <c r="M69" i="10"/>
  <c r="O83" i="10"/>
  <c r="S51" i="10"/>
  <c r="C85" i="10"/>
  <c r="L53" i="10"/>
  <c r="V100" i="10"/>
  <c r="G52" i="10"/>
  <c r="S96" i="10"/>
  <c r="T66" i="10"/>
  <c r="U5" i="10"/>
  <c r="E152" i="10"/>
  <c r="M152" i="10"/>
  <c r="I153" i="10"/>
  <c r="E155" i="10"/>
  <c r="M155" i="10"/>
  <c r="I156" i="10"/>
  <c r="E157" i="10"/>
  <c r="M157" i="10"/>
  <c r="V157" i="10" s="1"/>
  <c r="I159" i="10"/>
  <c r="S12" i="10"/>
  <c r="U15" i="10"/>
  <c r="E151" i="10"/>
  <c r="M33" i="10"/>
  <c r="I34" i="10"/>
  <c r="E153" i="10"/>
  <c r="M153" i="10"/>
  <c r="S25" i="10"/>
  <c r="U26" i="10"/>
  <c r="S27" i="10"/>
  <c r="U28" i="10"/>
  <c r="S29" i="10"/>
  <c r="E52" i="10"/>
  <c r="M52" i="10"/>
  <c r="V40" i="10"/>
  <c r="U43" i="10"/>
  <c r="I52" i="10"/>
  <c r="E53" i="10"/>
  <c r="U51" i="10"/>
  <c r="E68" i="10"/>
  <c r="M68" i="10"/>
  <c r="M70" i="10" s="1"/>
  <c r="U58" i="10"/>
  <c r="S61" i="10"/>
  <c r="S63" i="10"/>
  <c r="I68" i="10"/>
  <c r="S95" i="10"/>
  <c r="V83" i="10"/>
  <c r="D86" i="10"/>
  <c r="S82" i="10"/>
  <c r="T100" i="10"/>
  <c r="U99" i="10"/>
  <c r="O99" i="10"/>
  <c r="S100" i="10"/>
  <c r="E163" i="10"/>
  <c r="M163" i="10"/>
  <c r="E86" i="10"/>
  <c r="M86" i="10"/>
  <c r="V76" i="10"/>
  <c r="M85" i="10"/>
  <c r="M87" i="10" s="1"/>
  <c r="E103" i="10"/>
  <c r="M103" i="10"/>
  <c r="S114" i="10"/>
  <c r="S120" i="10"/>
  <c r="V99" i="10"/>
  <c r="G111" i="10"/>
  <c r="T65" i="10"/>
  <c r="I155" i="10"/>
  <c r="E156" i="10"/>
  <c r="M156" i="10"/>
  <c r="I157" i="10"/>
  <c r="E159" i="10"/>
  <c r="I160" i="10"/>
  <c r="I125" i="10"/>
  <c r="E125" i="10"/>
  <c r="M125" i="10"/>
  <c r="M165" i="10"/>
  <c r="E140" i="10"/>
  <c r="I139" i="10"/>
  <c r="T99" i="10"/>
  <c r="O100" i="10"/>
  <c r="V66" i="10"/>
  <c r="U65" i="10"/>
  <c r="S9" i="10"/>
  <c r="S22" i="10"/>
  <c r="S26" i="10"/>
  <c r="S28" i="10"/>
  <c r="S32" i="10"/>
  <c r="S39" i="10"/>
  <c r="S41" i="10"/>
  <c r="S43" i="10"/>
  <c r="C69" i="10"/>
  <c r="K69" i="10"/>
  <c r="K70" i="10" s="1"/>
  <c r="S62" i="10"/>
  <c r="S64" i="10"/>
  <c r="S79" i="10"/>
  <c r="S81" i="10"/>
  <c r="S92" i="10"/>
  <c r="S117" i="10"/>
  <c r="S123" i="10"/>
  <c r="S132" i="10"/>
  <c r="W132" i="10" s="1"/>
  <c r="S49" i="10"/>
  <c r="O65" i="10"/>
  <c r="T83" i="10"/>
  <c r="U82" i="10"/>
  <c r="S83" i="10"/>
  <c r="U31" i="10"/>
  <c r="U66" i="10"/>
  <c r="V65" i="10"/>
  <c r="T82" i="10"/>
  <c r="U46" i="10"/>
  <c r="G69" i="10"/>
  <c r="K165" i="10"/>
  <c r="V49" i="10"/>
  <c r="T49" i="10"/>
  <c r="S65" i="10"/>
  <c r="L86" i="10"/>
  <c r="S122" i="10"/>
  <c r="S129" i="10"/>
  <c r="S131" i="10"/>
  <c r="M164" i="10"/>
  <c r="O66" i="10"/>
  <c r="G53" i="10"/>
  <c r="G54" i="10" s="1"/>
  <c r="G68" i="10"/>
  <c r="S60" i="10"/>
  <c r="G163" i="10"/>
  <c r="K85" i="10"/>
  <c r="G86" i="10"/>
  <c r="G154" i="10"/>
  <c r="S77" i="10"/>
  <c r="K157" i="10"/>
  <c r="G159" i="10"/>
  <c r="K160" i="10"/>
  <c r="G103" i="10"/>
  <c r="C124" i="10"/>
  <c r="C140" i="10"/>
  <c r="K140" i="10"/>
  <c r="C139" i="10"/>
  <c r="V31" i="10"/>
  <c r="S31" i="10"/>
  <c r="V14" i="10"/>
  <c r="S66" i="10"/>
  <c r="O82" i="10"/>
  <c r="T117" i="10"/>
  <c r="T134" i="10"/>
  <c r="T136" i="10"/>
  <c r="T13" i="10"/>
  <c r="S30" i="10"/>
  <c r="U30" i="10"/>
  <c r="T50" i="10"/>
  <c r="O50" i="10"/>
  <c r="U49" i="10"/>
  <c r="E164" i="10"/>
  <c r="H34" i="10"/>
  <c r="V13" i="10"/>
  <c r="S136" i="10"/>
  <c r="E85" i="10"/>
  <c r="S50" i="10"/>
  <c r="M159" i="10"/>
  <c r="V92" i="10"/>
  <c r="H164" i="10"/>
  <c r="U50" i="10"/>
  <c r="S57" i="10"/>
  <c r="S130" i="10"/>
  <c r="G156" i="10"/>
  <c r="G125" i="10"/>
  <c r="E165" i="10"/>
  <c r="M151" i="10"/>
  <c r="S24" i="10"/>
  <c r="U98" i="10"/>
  <c r="S135" i="10"/>
  <c r="S137" i="10"/>
  <c r="T12" i="10"/>
  <c r="T21" i="10"/>
  <c r="T23" i="10"/>
  <c r="T25" i="10"/>
  <c r="T38" i="10"/>
  <c r="T40" i="10"/>
  <c r="T42" i="10"/>
  <c r="T46" i="10"/>
  <c r="T48" i="10"/>
  <c r="T57" i="10"/>
  <c r="T61" i="10"/>
  <c r="T67" i="10"/>
  <c r="T76" i="10"/>
  <c r="T78" i="10"/>
  <c r="T80" i="10"/>
  <c r="T84" i="10"/>
  <c r="T93" i="10"/>
  <c r="T95" i="10"/>
  <c r="T97" i="10"/>
  <c r="T101" i="10"/>
  <c r="T116" i="10"/>
  <c r="T118" i="10"/>
  <c r="T120" i="10"/>
  <c r="T122" i="10"/>
  <c r="F139" i="10"/>
  <c r="N139" i="10"/>
  <c r="J140" i="10"/>
  <c r="T131" i="10"/>
  <c r="T144" i="10"/>
  <c r="T146" i="10" s="1"/>
  <c r="N148" i="10"/>
  <c r="G33" i="10"/>
  <c r="O49" i="10"/>
  <c r="S73" i="10"/>
  <c r="S134" i="10"/>
  <c r="L52" i="10"/>
  <c r="L54" i="10" s="1"/>
  <c r="S13" i="10"/>
  <c r="V30" i="10"/>
  <c r="V50" i="10"/>
  <c r="M34" i="10"/>
  <c r="M35" i="10" s="1"/>
  <c r="C165" i="10"/>
  <c r="G165" i="10"/>
  <c r="D34" i="10"/>
  <c r="O30" i="10"/>
  <c r="G164" i="10"/>
  <c r="T30" i="10"/>
  <c r="D165" i="10"/>
  <c r="V63" i="10"/>
  <c r="V78" i="10"/>
  <c r="U94" i="10"/>
  <c r="V101" i="10"/>
  <c r="U117" i="10"/>
  <c r="V118" i="10"/>
  <c r="V120" i="10"/>
  <c r="I152" i="10"/>
  <c r="E34" i="10"/>
  <c r="I151" i="10"/>
  <c r="M17" i="10"/>
  <c r="S67" i="10"/>
  <c r="S109" i="10"/>
  <c r="F164" i="10"/>
  <c r="F146" i="10"/>
  <c r="O31" i="10"/>
  <c r="V25" i="10"/>
  <c r="V29" i="10"/>
  <c r="V42" i="10"/>
  <c r="V44" i="10"/>
  <c r="U62" i="10"/>
  <c r="U79" i="10"/>
  <c r="U64" i="10"/>
  <c r="S91" i="10"/>
  <c r="S47" i="10"/>
  <c r="S145" i="10"/>
  <c r="V27" i="10"/>
  <c r="U47" i="10"/>
  <c r="U60" i="10"/>
  <c r="U92" i="10"/>
  <c r="V95" i="10"/>
  <c r="U13" i="10"/>
  <c r="D164" i="10"/>
  <c r="L164" i="10"/>
  <c r="L166" i="10" s="1"/>
  <c r="V123" i="10"/>
  <c r="V130" i="10"/>
  <c r="S14" i="10"/>
  <c r="T31" i="10"/>
  <c r="V46" i="10"/>
  <c r="V59" i="10"/>
  <c r="V67" i="10"/>
  <c r="U81" i="10"/>
  <c r="I163" i="10"/>
  <c r="V91" i="10"/>
  <c r="N125" i="10"/>
  <c r="I165" i="10"/>
  <c r="V48" i="10"/>
  <c r="V61" i="10"/>
  <c r="U75" i="10"/>
  <c r="V84" i="10"/>
  <c r="V93" i="10"/>
  <c r="V97" i="10"/>
  <c r="U123" i="10"/>
  <c r="E33" i="10"/>
  <c r="U6" i="10"/>
  <c r="J155" i="10"/>
  <c r="N156" i="10"/>
  <c r="J157" i="10"/>
  <c r="U14" i="10"/>
  <c r="M139" i="10"/>
  <c r="U41" i="10"/>
  <c r="U77" i="10"/>
  <c r="V80" i="10"/>
  <c r="U96" i="10"/>
  <c r="V116" i="10"/>
  <c r="U119" i="10"/>
  <c r="H111" i="10"/>
  <c r="L140" i="10"/>
  <c r="G153" i="10"/>
  <c r="S23" i="10"/>
  <c r="C52" i="10"/>
  <c r="K52" i="10"/>
  <c r="K54" i="10" s="1"/>
  <c r="S59" i="10"/>
  <c r="U80" i="10"/>
  <c r="U95" i="10"/>
  <c r="G140" i="10"/>
  <c r="S133" i="10"/>
  <c r="T14" i="10"/>
  <c r="J164" i="10"/>
  <c r="L70" i="10"/>
  <c r="O14" i="10"/>
  <c r="T137" i="10"/>
  <c r="O13" i="10"/>
  <c r="L148" i="10"/>
  <c r="O5" i="10"/>
  <c r="N159" i="10"/>
  <c r="J160" i="10"/>
  <c r="N163" i="10"/>
  <c r="U21" i="10"/>
  <c r="F152" i="10"/>
  <c r="N34" i="10"/>
  <c r="J153" i="10"/>
  <c r="T26" i="10"/>
  <c r="V26" i="10"/>
  <c r="U27" i="10"/>
  <c r="T28" i="10"/>
  <c r="N33" i="10"/>
  <c r="U29" i="10"/>
  <c r="T32" i="10"/>
  <c r="V32" i="10"/>
  <c r="J52" i="10"/>
  <c r="F53" i="10"/>
  <c r="N53" i="10"/>
  <c r="U40" i="10"/>
  <c r="T41" i="10"/>
  <c r="V41" i="10"/>
  <c r="U42" i="10"/>
  <c r="T43" i="10"/>
  <c r="V43" i="10"/>
  <c r="T47" i="10"/>
  <c r="V47" i="10"/>
  <c r="U48" i="10"/>
  <c r="T51" i="10"/>
  <c r="V51" i="10"/>
  <c r="T58" i="10"/>
  <c r="T60" i="10"/>
  <c r="V60" i="10"/>
  <c r="T62" i="10"/>
  <c r="V62" i="10"/>
  <c r="V64" i="10"/>
  <c r="O67" i="10"/>
  <c r="T73" i="10"/>
  <c r="N85" i="10"/>
  <c r="T75" i="10"/>
  <c r="V75" i="10"/>
  <c r="U76" i="10"/>
  <c r="T77" i="10"/>
  <c r="V77" i="10"/>
  <c r="U78" i="10"/>
  <c r="F157" i="10"/>
  <c r="V79" i="10"/>
  <c r="O81" i="10"/>
  <c r="V81" i="10"/>
  <c r="U84" i="10"/>
  <c r="U91" i="10"/>
  <c r="O92" i="10"/>
  <c r="U93" i="10"/>
  <c r="O94" i="10"/>
  <c r="N103" i="10"/>
  <c r="O96" i="10"/>
  <c r="V96" i="10"/>
  <c r="O98" i="10"/>
  <c r="V98" i="10"/>
  <c r="U101" i="10"/>
  <c r="U114" i="10"/>
  <c r="V115" i="10"/>
  <c r="V117" i="10"/>
  <c r="W117" i="10" s="1"/>
  <c r="J125" i="10"/>
  <c r="T119" i="10"/>
  <c r="V119" i="10"/>
  <c r="U120" i="10"/>
  <c r="N164" i="10"/>
  <c r="J165" i="10"/>
  <c r="J139" i="10"/>
  <c r="U131" i="10"/>
  <c r="U133" i="10"/>
  <c r="U135" i="10"/>
  <c r="E70" i="10"/>
  <c r="F33" i="10"/>
  <c r="N17" i="10"/>
  <c r="O29" i="10"/>
  <c r="N52" i="10"/>
  <c r="J53" i="10"/>
  <c r="O59" i="10"/>
  <c r="O63" i="10"/>
  <c r="J85" i="10"/>
  <c r="N86" i="10"/>
  <c r="O93" i="10"/>
  <c r="V131" i="10"/>
  <c r="U132" i="10"/>
  <c r="V133" i="10"/>
  <c r="U134" i="10"/>
  <c r="O135" i="10"/>
  <c r="V135" i="10"/>
  <c r="U136" i="10"/>
  <c r="V137" i="10"/>
  <c r="U138" i="10"/>
  <c r="W107" i="10"/>
  <c r="O22" i="10"/>
  <c r="T123" i="10"/>
  <c r="V132" i="10"/>
  <c r="V134" i="10"/>
  <c r="V136" i="10"/>
  <c r="T138" i="10"/>
  <c r="V138" i="10"/>
  <c r="T161" i="10"/>
  <c r="H141" i="10"/>
  <c r="F158" i="10"/>
  <c r="T158" i="10" s="1"/>
  <c r="F111" i="10"/>
  <c r="T79" i="10"/>
  <c r="M148" i="10"/>
  <c r="U145" i="10"/>
  <c r="U147" i="10" s="1"/>
  <c r="G148" i="10"/>
  <c r="V28" i="10"/>
  <c r="N160" i="10"/>
  <c r="J33" i="10"/>
  <c r="T22" i="10"/>
  <c r="O26" i="10"/>
  <c r="E54" i="10"/>
  <c r="O47" i="10"/>
  <c r="D70" i="10"/>
  <c r="O61" i="10"/>
  <c r="U118" i="10"/>
  <c r="V129" i="10"/>
  <c r="F34" i="10"/>
  <c r="N152" i="10"/>
  <c r="F155" i="10"/>
  <c r="V22" i="10"/>
  <c r="U39" i="10"/>
  <c r="N161" i="10"/>
  <c r="T59" i="10"/>
  <c r="T63" i="10"/>
  <c r="F85" i="10"/>
  <c r="V94" i="10"/>
  <c r="E148" i="10"/>
  <c r="V145" i="10"/>
  <c r="V147" i="10" s="1"/>
  <c r="I111" i="10"/>
  <c r="O77" i="10"/>
  <c r="T108" i="10"/>
  <c r="T110" i="10" s="1"/>
  <c r="J111" i="10"/>
  <c r="V114" i="10"/>
  <c r="U144" i="10"/>
  <c r="U146" i="10" s="1"/>
  <c r="J152" i="10"/>
  <c r="F160" i="10"/>
  <c r="U38" i="10"/>
  <c r="V39" i="10"/>
  <c r="U161" i="10"/>
  <c r="U44" i="10"/>
  <c r="K148" i="10"/>
  <c r="F148" i="10"/>
  <c r="S38" i="10"/>
  <c r="O38" i="10"/>
  <c r="S48" i="10"/>
  <c r="O48" i="10"/>
  <c r="U73" i="10"/>
  <c r="I85" i="10"/>
  <c r="U9" i="10"/>
  <c r="O23" i="10"/>
  <c r="C34" i="10"/>
  <c r="I162" i="10"/>
  <c r="U162" i="10" s="1"/>
  <c r="U45" i="10"/>
  <c r="C152" i="10"/>
  <c r="O6" i="10"/>
  <c r="C17" i="10"/>
  <c r="K152" i="10"/>
  <c r="K17" i="10"/>
  <c r="G151" i="10"/>
  <c r="G16" i="10"/>
  <c r="L152" i="10"/>
  <c r="L17" i="10"/>
  <c r="V6" i="10"/>
  <c r="S7" i="10"/>
  <c r="V9" i="10"/>
  <c r="S10" i="10"/>
  <c r="F159" i="10"/>
  <c r="T11" i="10"/>
  <c r="C160" i="10"/>
  <c r="O12" i="10"/>
  <c r="U12" i="10"/>
  <c r="I16" i="10"/>
  <c r="C33" i="10"/>
  <c r="S21" i="10"/>
  <c r="K33" i="10"/>
  <c r="K35" i="10" s="1"/>
  <c r="J34" i="10"/>
  <c r="O24" i="10"/>
  <c r="S46" i="10"/>
  <c r="O46" i="10"/>
  <c r="T64" i="10"/>
  <c r="F68" i="10"/>
  <c r="F69" i="10"/>
  <c r="N151" i="10"/>
  <c r="N16" i="10"/>
  <c r="V11" i="10"/>
  <c r="E16" i="10"/>
  <c r="U7" i="10"/>
  <c r="T10" i="10"/>
  <c r="O11" i="10"/>
  <c r="D160" i="10"/>
  <c r="L160" i="10"/>
  <c r="V12" i="10"/>
  <c r="J16" i="10"/>
  <c r="E17" i="10"/>
  <c r="D33" i="10"/>
  <c r="V21" i="10"/>
  <c r="U23" i="10"/>
  <c r="O28" i="10"/>
  <c r="U32" i="10"/>
  <c r="O58" i="10"/>
  <c r="O60" i="10"/>
  <c r="O62" i="10"/>
  <c r="O64" i="10"/>
  <c r="F163" i="10"/>
  <c r="T15" i="10"/>
  <c r="O15" i="10"/>
  <c r="S5" i="10"/>
  <c r="V7" i="10"/>
  <c r="S8" i="10"/>
  <c r="F156" i="10"/>
  <c r="T9" i="10"/>
  <c r="C157" i="10"/>
  <c r="O10" i="10"/>
  <c r="U10" i="10"/>
  <c r="E160" i="10"/>
  <c r="M160" i="10"/>
  <c r="L16" i="10"/>
  <c r="F17" i="10"/>
  <c r="U22" i="10"/>
  <c r="O25" i="10"/>
  <c r="O32" i="10"/>
  <c r="H53" i="10"/>
  <c r="H54" i="10" s="1"/>
  <c r="T39" i="10"/>
  <c r="O43" i="10"/>
  <c r="D161" i="10"/>
  <c r="S161" i="10" s="1"/>
  <c r="S44" i="10"/>
  <c r="O44" i="10"/>
  <c r="I53" i="10"/>
  <c r="I54" i="10" s="1"/>
  <c r="H70" i="10"/>
  <c r="F151" i="10"/>
  <c r="T5" i="10"/>
  <c r="F16" i="10"/>
  <c r="H157" i="10"/>
  <c r="H152" i="10"/>
  <c r="H17" i="10"/>
  <c r="T8" i="10"/>
  <c r="O9" i="10"/>
  <c r="V10" i="10"/>
  <c r="V15" i="10"/>
  <c r="M16" i="10"/>
  <c r="G17" i="10"/>
  <c r="L34" i="10"/>
  <c r="S42" i="10"/>
  <c r="O42" i="10"/>
  <c r="D52" i="10"/>
  <c r="D54" i="10" s="1"/>
  <c r="H87" i="10"/>
  <c r="H16" i="10"/>
  <c r="V5" i="10"/>
  <c r="S6" i="10"/>
  <c r="F153" i="10"/>
  <c r="T7" i="10"/>
  <c r="N153" i="10"/>
  <c r="C155" i="10"/>
  <c r="O8" i="10"/>
  <c r="C16" i="10"/>
  <c r="K155" i="10"/>
  <c r="K16" i="10"/>
  <c r="U8" i="10"/>
  <c r="S11" i="10"/>
  <c r="D163" i="10"/>
  <c r="S15" i="10"/>
  <c r="I17" i="10"/>
  <c r="O21" i="10"/>
  <c r="V23" i="10"/>
  <c r="T24" i="10"/>
  <c r="T27" i="10"/>
  <c r="V38" i="10"/>
  <c r="O41" i="10"/>
  <c r="J68" i="10"/>
  <c r="J70" i="10" s="1"/>
  <c r="U57" i="10"/>
  <c r="U59" i="10"/>
  <c r="U61" i="10"/>
  <c r="U63" i="10"/>
  <c r="U67" i="10"/>
  <c r="D152" i="10"/>
  <c r="D17" i="10"/>
  <c r="T6" i="10"/>
  <c r="O7" i="10"/>
  <c r="V155" i="10"/>
  <c r="V8" i="10"/>
  <c r="U11" i="10"/>
  <c r="H160" i="10"/>
  <c r="D16" i="10"/>
  <c r="J17" i="10"/>
  <c r="H33" i="10"/>
  <c r="H35" i="10" s="1"/>
  <c r="G34" i="10"/>
  <c r="G35" i="10" s="1"/>
  <c r="L154" i="10"/>
  <c r="V24" i="10"/>
  <c r="U24" i="10"/>
  <c r="U25" i="10"/>
  <c r="O27" i="10"/>
  <c r="T29" i="10"/>
  <c r="O39" i="10"/>
  <c r="S40" i="10"/>
  <c r="O40" i="10"/>
  <c r="O51" i="10"/>
  <c r="C68" i="10"/>
  <c r="O57" i="10"/>
  <c r="O74" i="10"/>
  <c r="S76" i="10"/>
  <c r="O78" i="10"/>
  <c r="S80" i="10"/>
  <c r="O84" i="10"/>
  <c r="G85" i="10"/>
  <c r="G87" i="10" s="1"/>
  <c r="T90" i="10"/>
  <c r="T96" i="10"/>
  <c r="D125" i="10"/>
  <c r="O115" i="10"/>
  <c r="O90" i="10"/>
  <c r="O117" i="10"/>
  <c r="H147" i="10"/>
  <c r="H148" i="10" s="1"/>
  <c r="T145" i="10"/>
  <c r="T147" i="10" s="1"/>
  <c r="S45" i="10"/>
  <c r="F52" i="10"/>
  <c r="C53" i="10"/>
  <c r="I86" i="10"/>
  <c r="J103" i="10"/>
  <c r="F125" i="10"/>
  <c r="T115" i="10"/>
  <c r="T133" i="10"/>
  <c r="O133" i="10"/>
  <c r="E154" i="10"/>
  <c r="M154" i="10"/>
  <c r="I33" i="10"/>
  <c r="S162" i="10"/>
  <c r="T45" i="10"/>
  <c r="V57" i="10"/>
  <c r="J86" i="10"/>
  <c r="T74" i="10"/>
  <c r="O75" i="10"/>
  <c r="O79" i="10"/>
  <c r="T81" i="10"/>
  <c r="U90" i="10"/>
  <c r="H103" i="10"/>
  <c r="T92" i="10"/>
  <c r="S94" i="10"/>
  <c r="U97" i="10"/>
  <c r="V108" i="10"/>
  <c r="V110" i="10" s="1"/>
  <c r="D158" i="10"/>
  <c r="D111" i="10"/>
  <c r="U122" i="10"/>
  <c r="I148" i="10"/>
  <c r="F154" i="10"/>
  <c r="N154" i="10"/>
  <c r="V162" i="10"/>
  <c r="M53" i="10"/>
  <c r="M54" i="10" s="1"/>
  <c r="N68" i="10"/>
  <c r="N70" i="10" s="1"/>
  <c r="S58" i="10"/>
  <c r="I69" i="10"/>
  <c r="I70" i="10" s="1"/>
  <c r="D85" i="10"/>
  <c r="D87" i="10" s="1"/>
  <c r="L85" i="10"/>
  <c r="C86" i="10"/>
  <c r="S74" i="10"/>
  <c r="K86" i="10"/>
  <c r="U74" i="10"/>
  <c r="O76" i="10"/>
  <c r="S78" i="10"/>
  <c r="O80" i="10"/>
  <c r="S84" i="10"/>
  <c r="F86" i="10"/>
  <c r="V90" i="10"/>
  <c r="I103" i="10"/>
  <c r="O95" i="10"/>
  <c r="S98" i="10"/>
  <c r="O101" i="10"/>
  <c r="S101" i="10"/>
  <c r="C110" i="10"/>
  <c r="C158" i="10" s="1"/>
  <c r="S108" i="10"/>
  <c r="O108" i="10"/>
  <c r="O110" i="10" s="1"/>
  <c r="O111" i="10" s="1"/>
  <c r="K110" i="10"/>
  <c r="U108" i="10"/>
  <c r="U110" i="10" s="1"/>
  <c r="T114" i="10"/>
  <c r="U116" i="10"/>
  <c r="V122" i="10"/>
  <c r="L165" i="10"/>
  <c r="O129" i="10"/>
  <c r="O145" i="10"/>
  <c r="O147" i="10" s="1"/>
  <c r="V45" i="10"/>
  <c r="V74" i="10"/>
  <c r="O97" i="10"/>
  <c r="S97" i="10"/>
  <c r="S118" i="10"/>
  <c r="O118" i="10"/>
  <c r="F140" i="10"/>
  <c r="T130" i="10"/>
  <c r="N140" i="10"/>
  <c r="S144" i="10"/>
  <c r="S146" i="10" s="1"/>
  <c r="C146" i="10"/>
  <c r="O144" i="10"/>
  <c r="O146" i="10" s="1"/>
  <c r="J163" i="10"/>
  <c r="H154" i="10"/>
  <c r="L33" i="10"/>
  <c r="T162" i="10"/>
  <c r="O91" i="10"/>
  <c r="C103" i="10"/>
  <c r="K103" i="10"/>
  <c r="T94" i="10"/>
  <c r="F103" i="10"/>
  <c r="E111" i="10"/>
  <c r="M111" i="10"/>
  <c r="O116" i="10"/>
  <c r="S116" i="10"/>
  <c r="G141" i="10"/>
  <c r="D148" i="10"/>
  <c r="C151" i="10"/>
  <c r="K151" i="10"/>
  <c r="G152" i="10"/>
  <c r="C153" i="10"/>
  <c r="K153" i="10"/>
  <c r="G155" i="10"/>
  <c r="C156" i="10"/>
  <c r="K156" i="10"/>
  <c r="G157" i="10"/>
  <c r="C159" i="10"/>
  <c r="K159" i="10"/>
  <c r="G160" i="10"/>
  <c r="C163" i="10"/>
  <c r="K163" i="10"/>
  <c r="I154" i="10"/>
  <c r="U154" i="10" s="1"/>
  <c r="T44" i="10"/>
  <c r="O45" i="10"/>
  <c r="V58" i="10"/>
  <c r="O73" i="10"/>
  <c r="S93" i="10"/>
  <c r="T98" i="10"/>
  <c r="V109" i="10"/>
  <c r="U109" i="10"/>
  <c r="T109" i="10"/>
  <c r="N111" i="10"/>
  <c r="N158" i="10"/>
  <c r="V158" i="10" s="1"/>
  <c r="O120" i="10"/>
  <c r="O121" i="10"/>
  <c r="O114" i="10"/>
  <c r="S119" i="10"/>
  <c r="U129" i="10"/>
  <c r="O138" i="10"/>
  <c r="M140" i="10"/>
  <c r="V144" i="10"/>
  <c r="V146" i="10" s="1"/>
  <c r="O132" i="10"/>
  <c r="K139" i="10"/>
  <c r="K141" i="10" s="1"/>
  <c r="I140" i="10"/>
  <c r="I141" i="10" s="1"/>
  <c r="O137" i="10"/>
  <c r="L111" i="10"/>
  <c r="I164" i="10"/>
  <c r="F165" i="10"/>
  <c r="N165" i="10"/>
  <c r="D139" i="10"/>
  <c r="D141" i="10" s="1"/>
  <c r="L139" i="10"/>
  <c r="O131" i="10"/>
  <c r="O136" i="10"/>
  <c r="E139" i="10"/>
  <c r="E141" i="10" s="1"/>
  <c r="C147" i="10"/>
  <c r="S90" i="10"/>
  <c r="O119" i="10"/>
  <c r="T121" i="10"/>
  <c r="O122" i="10"/>
  <c r="O130" i="10"/>
  <c r="U130" i="10"/>
  <c r="T135" i="10"/>
  <c r="U137" i="10"/>
  <c r="V73" i="10"/>
  <c r="C164" i="10"/>
  <c r="S121" i="10"/>
  <c r="K164" i="10"/>
  <c r="U121" i="10"/>
  <c r="H165" i="10"/>
  <c r="T129" i="10"/>
  <c r="T139" i="10" s="1"/>
  <c r="S147" i="10"/>
  <c r="C125" i="10"/>
  <c r="S115" i="10"/>
  <c r="U115" i="10"/>
  <c r="V121" i="10"/>
  <c r="O123" i="10"/>
  <c r="O134" i="10"/>
  <c r="S138" i="10"/>
  <c r="J148" i="10"/>
  <c r="L128" i="9"/>
  <c r="D128" i="9"/>
  <c r="G128" i="9"/>
  <c r="F127" i="9"/>
  <c r="K128" i="9"/>
  <c r="K129" i="9" s="1"/>
  <c r="N127" i="9"/>
  <c r="N129" i="9" s="1"/>
  <c r="J128" i="9"/>
  <c r="M127" i="9"/>
  <c r="E127" i="9"/>
  <c r="I127" i="9"/>
  <c r="I128" i="9"/>
  <c r="L127" i="9"/>
  <c r="D127" i="9"/>
  <c r="C128" i="9"/>
  <c r="F128" i="9"/>
  <c r="F129" i="9" s="1"/>
  <c r="J127" i="9"/>
  <c r="C127" i="9"/>
  <c r="M128" i="9"/>
  <c r="E128" i="9"/>
  <c r="H127" i="9"/>
  <c r="H129" i="9" s="1"/>
  <c r="G127" i="9"/>
  <c r="G129" i="9" s="1"/>
  <c r="J129" i="9"/>
  <c r="D129" i="9"/>
  <c r="L129" i="9"/>
  <c r="D65" i="9"/>
  <c r="E65" i="9"/>
  <c r="F65" i="9"/>
  <c r="G65" i="9"/>
  <c r="H65" i="9"/>
  <c r="I65" i="9"/>
  <c r="J65" i="9"/>
  <c r="K65" i="9"/>
  <c r="L65" i="9"/>
  <c r="M65" i="9"/>
  <c r="N65" i="9"/>
  <c r="D66" i="9"/>
  <c r="E66" i="9"/>
  <c r="F66" i="9"/>
  <c r="G66" i="9"/>
  <c r="H66" i="9"/>
  <c r="I66" i="9"/>
  <c r="J66" i="9"/>
  <c r="K66" i="9"/>
  <c r="L66" i="9"/>
  <c r="M66" i="9"/>
  <c r="N66" i="9"/>
  <c r="D67" i="9"/>
  <c r="E67" i="9"/>
  <c r="F67" i="9"/>
  <c r="G67" i="9"/>
  <c r="H67" i="9"/>
  <c r="I67" i="9"/>
  <c r="J67" i="9"/>
  <c r="K67" i="9"/>
  <c r="L67" i="9"/>
  <c r="M67" i="9"/>
  <c r="N67" i="9"/>
  <c r="D68" i="9"/>
  <c r="E68" i="9"/>
  <c r="F68" i="9"/>
  <c r="G68" i="9"/>
  <c r="H68" i="9"/>
  <c r="I68" i="9"/>
  <c r="J68" i="9"/>
  <c r="K68" i="9"/>
  <c r="L68" i="9"/>
  <c r="M68" i="9"/>
  <c r="N68" i="9"/>
  <c r="D71" i="9"/>
  <c r="E71" i="9"/>
  <c r="F71" i="9"/>
  <c r="G71" i="9"/>
  <c r="H71" i="9"/>
  <c r="I71" i="9"/>
  <c r="J71" i="9"/>
  <c r="K71" i="9"/>
  <c r="L71" i="9"/>
  <c r="M71" i="9"/>
  <c r="N71" i="9"/>
  <c r="D72" i="9"/>
  <c r="E72" i="9"/>
  <c r="F72" i="9"/>
  <c r="G72" i="9"/>
  <c r="H72" i="9"/>
  <c r="I72" i="9"/>
  <c r="J72" i="9"/>
  <c r="K72" i="9"/>
  <c r="L72" i="9"/>
  <c r="M72" i="9"/>
  <c r="N72" i="9"/>
  <c r="D73" i="9"/>
  <c r="E73" i="9"/>
  <c r="F73" i="9"/>
  <c r="G73" i="9"/>
  <c r="H73" i="9"/>
  <c r="I73" i="9"/>
  <c r="J73" i="9"/>
  <c r="K73" i="9"/>
  <c r="L73" i="9"/>
  <c r="M73" i="9"/>
  <c r="N73" i="9"/>
  <c r="C67" i="9"/>
  <c r="D80" i="9"/>
  <c r="E80" i="9"/>
  <c r="F80" i="9"/>
  <c r="G80" i="9"/>
  <c r="H80" i="9"/>
  <c r="I80" i="9"/>
  <c r="J80" i="9"/>
  <c r="K80" i="9"/>
  <c r="L80" i="9"/>
  <c r="M80" i="9"/>
  <c r="N80" i="9"/>
  <c r="D81" i="9"/>
  <c r="E81" i="9"/>
  <c r="F81" i="9"/>
  <c r="G81" i="9"/>
  <c r="H81" i="9"/>
  <c r="I81" i="9"/>
  <c r="J81" i="9"/>
  <c r="K81" i="9"/>
  <c r="L81" i="9"/>
  <c r="M81" i="9"/>
  <c r="N81" i="9"/>
  <c r="D82" i="9"/>
  <c r="E82" i="9"/>
  <c r="F82" i="9"/>
  <c r="G82" i="9"/>
  <c r="H82" i="9"/>
  <c r="I82" i="9"/>
  <c r="J82" i="9"/>
  <c r="K82" i="9"/>
  <c r="L82" i="9"/>
  <c r="M82" i="9"/>
  <c r="N82" i="9"/>
  <c r="D83" i="9"/>
  <c r="E83" i="9"/>
  <c r="F83" i="9"/>
  <c r="G83" i="9"/>
  <c r="H83" i="9"/>
  <c r="I83" i="9"/>
  <c r="J83" i="9"/>
  <c r="K83" i="9"/>
  <c r="L83" i="9"/>
  <c r="M83" i="9"/>
  <c r="N83" i="9"/>
  <c r="D84" i="9"/>
  <c r="E84" i="9"/>
  <c r="F84" i="9"/>
  <c r="G84" i="9"/>
  <c r="H84" i="9"/>
  <c r="I84" i="9"/>
  <c r="J84" i="9"/>
  <c r="K84" i="9"/>
  <c r="L84" i="9"/>
  <c r="M84" i="9"/>
  <c r="N84" i="9"/>
  <c r="D86" i="9"/>
  <c r="E86" i="9"/>
  <c r="F86" i="9"/>
  <c r="G86" i="9"/>
  <c r="H86" i="9"/>
  <c r="I86" i="9"/>
  <c r="J86" i="9"/>
  <c r="K86" i="9"/>
  <c r="L86" i="9"/>
  <c r="M86" i="9"/>
  <c r="N86" i="9"/>
  <c r="D87" i="9"/>
  <c r="E87" i="9"/>
  <c r="F87" i="9"/>
  <c r="G87" i="9"/>
  <c r="H87" i="9"/>
  <c r="I87" i="9"/>
  <c r="J87" i="9"/>
  <c r="K87" i="9"/>
  <c r="L87" i="9"/>
  <c r="M87" i="9"/>
  <c r="N87" i="9"/>
  <c r="D88" i="9"/>
  <c r="E88" i="9"/>
  <c r="F88" i="9"/>
  <c r="G88" i="9"/>
  <c r="H88" i="9"/>
  <c r="I88" i="9"/>
  <c r="J88" i="9"/>
  <c r="K88" i="9"/>
  <c r="L88" i="9"/>
  <c r="M88" i="9"/>
  <c r="N88" i="9"/>
  <c r="D89" i="9"/>
  <c r="E89" i="9"/>
  <c r="F89" i="9"/>
  <c r="G89" i="9"/>
  <c r="H89" i="9"/>
  <c r="I89" i="9"/>
  <c r="J89" i="9"/>
  <c r="K89" i="9"/>
  <c r="L89" i="9"/>
  <c r="M89" i="9"/>
  <c r="N89" i="9"/>
  <c r="C73" i="9"/>
  <c r="C72" i="9"/>
  <c r="C71" i="9"/>
  <c r="C68" i="9"/>
  <c r="C66" i="9"/>
  <c r="C65" i="9"/>
  <c r="D51" i="9"/>
  <c r="E51" i="9"/>
  <c r="F51" i="9"/>
  <c r="G51" i="9"/>
  <c r="H51" i="9"/>
  <c r="I51" i="9"/>
  <c r="J51" i="9"/>
  <c r="K51" i="9"/>
  <c r="L51" i="9"/>
  <c r="M51" i="9"/>
  <c r="N51" i="9"/>
  <c r="D52" i="9"/>
  <c r="E52" i="9"/>
  <c r="F52" i="9"/>
  <c r="G52" i="9"/>
  <c r="H52" i="9"/>
  <c r="I52" i="9"/>
  <c r="J52" i="9"/>
  <c r="K52" i="9"/>
  <c r="L52" i="9"/>
  <c r="M52" i="9"/>
  <c r="N52" i="9"/>
  <c r="D53" i="9"/>
  <c r="E53" i="9"/>
  <c r="F53" i="9"/>
  <c r="G53" i="9"/>
  <c r="H53" i="9"/>
  <c r="I53" i="9"/>
  <c r="J53" i="9"/>
  <c r="K53" i="9"/>
  <c r="L53" i="9"/>
  <c r="M53" i="9"/>
  <c r="N53" i="9"/>
  <c r="D54" i="9"/>
  <c r="E54" i="9"/>
  <c r="F54" i="9"/>
  <c r="G54" i="9"/>
  <c r="H54" i="9"/>
  <c r="I54" i="9"/>
  <c r="J54" i="9"/>
  <c r="K54" i="9"/>
  <c r="L54" i="9"/>
  <c r="M54" i="9"/>
  <c r="N54" i="9"/>
  <c r="D57" i="9"/>
  <c r="E57" i="9"/>
  <c r="F57" i="9"/>
  <c r="G57" i="9"/>
  <c r="H57" i="9"/>
  <c r="I57" i="9"/>
  <c r="J57" i="9"/>
  <c r="K57" i="9"/>
  <c r="L57" i="9"/>
  <c r="M57" i="9"/>
  <c r="N57" i="9"/>
  <c r="D58" i="9"/>
  <c r="E58" i="9"/>
  <c r="F58" i="9"/>
  <c r="G58" i="9"/>
  <c r="H58" i="9"/>
  <c r="I58" i="9"/>
  <c r="J58" i="9"/>
  <c r="K58" i="9"/>
  <c r="L58" i="9"/>
  <c r="M58" i="9"/>
  <c r="N58" i="9"/>
  <c r="C54" i="9"/>
  <c r="C52" i="9"/>
  <c r="C58" i="9"/>
  <c r="C57" i="9"/>
  <c r="C53" i="9"/>
  <c r="C51" i="9"/>
  <c r="D40" i="9"/>
  <c r="E40" i="9"/>
  <c r="F40" i="9"/>
  <c r="G40" i="9"/>
  <c r="H40" i="9"/>
  <c r="I40" i="9"/>
  <c r="J40" i="9"/>
  <c r="K40" i="9"/>
  <c r="L40" i="9"/>
  <c r="M40" i="9"/>
  <c r="N40" i="9"/>
  <c r="D41" i="9"/>
  <c r="E41" i="9"/>
  <c r="F41" i="9"/>
  <c r="G41" i="9"/>
  <c r="H41" i="9"/>
  <c r="I41" i="9"/>
  <c r="J41" i="9"/>
  <c r="K41" i="9"/>
  <c r="L41" i="9"/>
  <c r="M41" i="9"/>
  <c r="N41" i="9"/>
  <c r="C41" i="9"/>
  <c r="C40" i="9"/>
  <c r="D34" i="9"/>
  <c r="E34" i="9"/>
  <c r="F34" i="9"/>
  <c r="G34" i="9"/>
  <c r="H34" i="9"/>
  <c r="I34" i="9"/>
  <c r="J34" i="9"/>
  <c r="K34" i="9"/>
  <c r="L34" i="9"/>
  <c r="M34" i="9"/>
  <c r="N34" i="9"/>
  <c r="D35" i="9"/>
  <c r="E35" i="9"/>
  <c r="F35" i="9"/>
  <c r="G35" i="9"/>
  <c r="H35" i="9"/>
  <c r="I35" i="9"/>
  <c r="J35" i="9"/>
  <c r="K35" i="9"/>
  <c r="L35" i="9"/>
  <c r="M35" i="9"/>
  <c r="N35" i="9"/>
  <c r="D36" i="9"/>
  <c r="E36" i="9"/>
  <c r="F36" i="9"/>
  <c r="G36" i="9"/>
  <c r="H36" i="9"/>
  <c r="I36" i="9"/>
  <c r="J36" i="9"/>
  <c r="K36" i="9"/>
  <c r="L36" i="9"/>
  <c r="M36" i="9"/>
  <c r="N36" i="9"/>
  <c r="D37" i="9"/>
  <c r="E37" i="9"/>
  <c r="F37" i="9"/>
  <c r="G37" i="9"/>
  <c r="H37" i="9"/>
  <c r="I37" i="9"/>
  <c r="J37" i="9"/>
  <c r="K37" i="9"/>
  <c r="L37" i="9"/>
  <c r="M37" i="9"/>
  <c r="N37" i="9"/>
  <c r="D42" i="9"/>
  <c r="E42" i="9"/>
  <c r="F42" i="9"/>
  <c r="G42" i="9"/>
  <c r="H42" i="9"/>
  <c r="I42" i="9"/>
  <c r="J42" i="9"/>
  <c r="K42" i="9"/>
  <c r="L42" i="9"/>
  <c r="M42" i="9"/>
  <c r="N42" i="9"/>
  <c r="D43" i="9"/>
  <c r="E43" i="9"/>
  <c r="F43" i="9"/>
  <c r="G43" i="9"/>
  <c r="H43" i="9"/>
  <c r="I43" i="9"/>
  <c r="J43" i="9"/>
  <c r="K43" i="9"/>
  <c r="L43" i="9"/>
  <c r="M43" i="9"/>
  <c r="N43" i="9"/>
  <c r="D44" i="9"/>
  <c r="E44" i="9"/>
  <c r="F44" i="9"/>
  <c r="G44" i="9"/>
  <c r="H44" i="9"/>
  <c r="I44" i="9"/>
  <c r="J44" i="9"/>
  <c r="K44" i="9"/>
  <c r="L44" i="9"/>
  <c r="M44" i="9"/>
  <c r="N44" i="9"/>
  <c r="C44" i="9"/>
  <c r="C43" i="9"/>
  <c r="C42" i="9"/>
  <c r="C37" i="9"/>
  <c r="C36" i="9"/>
  <c r="C35" i="9"/>
  <c r="C34" i="9"/>
  <c r="D19" i="9"/>
  <c r="E19" i="9"/>
  <c r="F19" i="9"/>
  <c r="G19" i="9"/>
  <c r="H19" i="9"/>
  <c r="I19" i="9"/>
  <c r="J19" i="9"/>
  <c r="K19" i="9"/>
  <c r="L19" i="9"/>
  <c r="M19" i="9"/>
  <c r="N19" i="9"/>
  <c r="D20" i="9"/>
  <c r="E20" i="9"/>
  <c r="F20" i="9"/>
  <c r="G20" i="9"/>
  <c r="H20" i="9"/>
  <c r="I20" i="9"/>
  <c r="J20" i="9"/>
  <c r="K20" i="9"/>
  <c r="L20" i="9"/>
  <c r="M20" i="9"/>
  <c r="N20" i="9"/>
  <c r="D21" i="9"/>
  <c r="E21" i="9"/>
  <c r="F21" i="9"/>
  <c r="G21" i="9"/>
  <c r="H21" i="9"/>
  <c r="I21" i="9"/>
  <c r="J21" i="9"/>
  <c r="K21" i="9"/>
  <c r="L21" i="9"/>
  <c r="M21" i="9"/>
  <c r="N21" i="9"/>
  <c r="D22" i="9"/>
  <c r="E22" i="9"/>
  <c r="F22" i="9"/>
  <c r="G22" i="9"/>
  <c r="H22" i="9"/>
  <c r="I22" i="9"/>
  <c r="J22" i="9"/>
  <c r="K22" i="9"/>
  <c r="L22" i="9"/>
  <c r="M22" i="9"/>
  <c r="N22" i="9"/>
  <c r="D25" i="9"/>
  <c r="E25" i="9"/>
  <c r="F25" i="9"/>
  <c r="G25" i="9"/>
  <c r="H25" i="9"/>
  <c r="I25" i="9"/>
  <c r="J25" i="9"/>
  <c r="K25" i="9"/>
  <c r="L25" i="9"/>
  <c r="M25" i="9"/>
  <c r="N25" i="9"/>
  <c r="D26" i="9"/>
  <c r="E26" i="9"/>
  <c r="F26" i="9"/>
  <c r="G26" i="9"/>
  <c r="H26" i="9"/>
  <c r="I26" i="9"/>
  <c r="J26" i="9"/>
  <c r="K26" i="9"/>
  <c r="L26" i="9"/>
  <c r="M26" i="9"/>
  <c r="N26" i="9"/>
  <c r="D27" i="9"/>
  <c r="E27" i="9"/>
  <c r="F27" i="9"/>
  <c r="G27" i="9"/>
  <c r="H27" i="9"/>
  <c r="I27" i="9"/>
  <c r="J27" i="9"/>
  <c r="K27" i="9"/>
  <c r="L27" i="9"/>
  <c r="M27" i="9"/>
  <c r="N27" i="9"/>
  <c r="C27" i="9"/>
  <c r="C26" i="9"/>
  <c r="C25" i="9"/>
  <c r="C22" i="9"/>
  <c r="C21" i="9"/>
  <c r="C20" i="9"/>
  <c r="C19" i="9"/>
  <c r="D5" i="9"/>
  <c r="E5" i="9"/>
  <c r="F5" i="9"/>
  <c r="G5" i="9"/>
  <c r="H5" i="9"/>
  <c r="I5" i="9"/>
  <c r="J5" i="9"/>
  <c r="K5" i="9"/>
  <c r="L5" i="9"/>
  <c r="M5" i="9"/>
  <c r="N5" i="9"/>
  <c r="D6" i="9"/>
  <c r="E6" i="9"/>
  <c r="F6" i="9"/>
  <c r="G6" i="9"/>
  <c r="H6" i="9"/>
  <c r="I6" i="9"/>
  <c r="J6" i="9"/>
  <c r="K6" i="9"/>
  <c r="L6" i="9"/>
  <c r="M6" i="9"/>
  <c r="N6" i="9"/>
  <c r="D7" i="9"/>
  <c r="E7" i="9"/>
  <c r="F7" i="9"/>
  <c r="G7" i="9"/>
  <c r="H7" i="9"/>
  <c r="I7" i="9"/>
  <c r="J7" i="9"/>
  <c r="K7" i="9"/>
  <c r="L7" i="9"/>
  <c r="M7" i="9"/>
  <c r="N7" i="9"/>
  <c r="D10" i="9"/>
  <c r="E10" i="9"/>
  <c r="F10" i="9"/>
  <c r="G10" i="9"/>
  <c r="H10" i="9"/>
  <c r="I10" i="9"/>
  <c r="J10" i="9"/>
  <c r="K10" i="9"/>
  <c r="L10" i="9"/>
  <c r="M10" i="9"/>
  <c r="N10" i="9"/>
  <c r="D11" i="9"/>
  <c r="E11" i="9"/>
  <c r="F11" i="9"/>
  <c r="G11" i="9"/>
  <c r="H11" i="9"/>
  <c r="I11" i="9"/>
  <c r="J11" i="9"/>
  <c r="K11" i="9"/>
  <c r="L11" i="9"/>
  <c r="M11" i="9"/>
  <c r="N11" i="9"/>
  <c r="D12" i="9"/>
  <c r="E12" i="9"/>
  <c r="F12" i="9"/>
  <c r="G12" i="9"/>
  <c r="H12" i="9"/>
  <c r="I12" i="9"/>
  <c r="J12" i="9"/>
  <c r="K12" i="9"/>
  <c r="L12" i="9"/>
  <c r="M12" i="9"/>
  <c r="N12" i="9"/>
  <c r="C12" i="9"/>
  <c r="C11" i="9"/>
  <c r="C10" i="9"/>
  <c r="C7" i="9"/>
  <c r="C6" i="9"/>
  <c r="C5" i="9"/>
  <c r="D96" i="9"/>
  <c r="D98" i="9" s="1"/>
  <c r="D146" i="9" s="1"/>
  <c r="E96" i="9"/>
  <c r="E98" i="9" s="1"/>
  <c r="E146" i="9" s="1"/>
  <c r="F96" i="9"/>
  <c r="F98" i="9" s="1"/>
  <c r="F146" i="9" s="1"/>
  <c r="G96" i="9"/>
  <c r="G98" i="9" s="1"/>
  <c r="G146" i="9" s="1"/>
  <c r="H96" i="9"/>
  <c r="H98" i="9" s="1"/>
  <c r="H146" i="9" s="1"/>
  <c r="I96" i="9"/>
  <c r="J96" i="9"/>
  <c r="J98" i="9" s="1"/>
  <c r="J146" i="9" s="1"/>
  <c r="K96" i="9"/>
  <c r="K98" i="9" s="1"/>
  <c r="K146" i="9" s="1"/>
  <c r="L96" i="9"/>
  <c r="L98" i="9" s="1"/>
  <c r="L146" i="9" s="1"/>
  <c r="M96" i="9"/>
  <c r="M98" i="9" s="1"/>
  <c r="M146" i="9" s="1"/>
  <c r="N96" i="9"/>
  <c r="N98" i="9" s="1"/>
  <c r="N146" i="9" s="1"/>
  <c r="C96" i="9"/>
  <c r="R99" i="9"/>
  <c r="R98" i="9"/>
  <c r="R97" i="9"/>
  <c r="R96" i="9"/>
  <c r="Q96" i="9"/>
  <c r="R95" i="9"/>
  <c r="U97" i="9" s="1"/>
  <c r="Q95" i="9"/>
  <c r="N97" i="9"/>
  <c r="M97" i="9"/>
  <c r="L97" i="9"/>
  <c r="K97" i="9"/>
  <c r="J97" i="9"/>
  <c r="U95" i="9"/>
  <c r="H97" i="9"/>
  <c r="G97" i="9"/>
  <c r="T95" i="9"/>
  <c r="E97" i="9"/>
  <c r="D97" i="9"/>
  <c r="C97" i="9"/>
  <c r="Q94" i="9"/>
  <c r="F33" i="8"/>
  <c r="G33" i="8"/>
  <c r="D32" i="8"/>
  <c r="F32" i="8"/>
  <c r="G32" i="8"/>
  <c r="H32" i="8"/>
  <c r="B32" i="8"/>
  <c r="H54" i="8"/>
  <c r="F54" i="8"/>
  <c r="I54" i="8"/>
  <c r="G54" i="8"/>
  <c r="E54" i="8"/>
  <c r="C54" i="8"/>
  <c r="B54" i="8"/>
  <c r="C141" i="10" l="1"/>
  <c r="I35" i="10"/>
  <c r="V153" i="10"/>
  <c r="U156" i="10"/>
  <c r="C70" i="10"/>
  <c r="G70" i="10"/>
  <c r="W83" i="10"/>
  <c r="E166" i="10"/>
  <c r="W93" i="10"/>
  <c r="H166" i="10"/>
  <c r="U69" i="10"/>
  <c r="U159" i="10"/>
  <c r="J54" i="10"/>
  <c r="W84" i="10"/>
  <c r="L87" i="10"/>
  <c r="T125" i="10"/>
  <c r="W134" i="10"/>
  <c r="W66" i="10"/>
  <c r="W100" i="10"/>
  <c r="W99" i="10"/>
  <c r="W95" i="10"/>
  <c r="V103" i="10"/>
  <c r="V104" i="10" s="1"/>
  <c r="E87" i="10"/>
  <c r="S34" i="10"/>
  <c r="L141" i="10"/>
  <c r="U153" i="10"/>
  <c r="K87" i="10"/>
  <c r="T163" i="10"/>
  <c r="V156" i="10"/>
  <c r="W120" i="10"/>
  <c r="S140" i="10"/>
  <c r="S68" i="10"/>
  <c r="W65" i="10"/>
  <c r="N141" i="10"/>
  <c r="J141" i="10"/>
  <c r="C126" i="10"/>
  <c r="M141" i="10"/>
  <c r="D35" i="10"/>
  <c r="U148" i="10"/>
  <c r="N87" i="10"/>
  <c r="V163" i="10"/>
  <c r="W137" i="10"/>
  <c r="W133" i="10"/>
  <c r="W91" i="10"/>
  <c r="W135" i="10"/>
  <c r="W61" i="10"/>
  <c r="W49" i="10"/>
  <c r="W82" i="10"/>
  <c r="T156" i="10"/>
  <c r="W46" i="10"/>
  <c r="U160" i="10"/>
  <c r="W138" i="10"/>
  <c r="T159" i="10"/>
  <c r="W75" i="10"/>
  <c r="W31" i="10"/>
  <c r="T164" i="10"/>
  <c r="W13" i="10"/>
  <c r="W29" i="10"/>
  <c r="T157" i="10"/>
  <c r="F141" i="10"/>
  <c r="T103" i="10"/>
  <c r="T155" i="10"/>
  <c r="F87" i="10"/>
  <c r="C87" i="10"/>
  <c r="W67" i="10"/>
  <c r="M166" i="10"/>
  <c r="V159" i="10"/>
  <c r="J87" i="10"/>
  <c r="U157" i="10"/>
  <c r="W92" i="10"/>
  <c r="T33" i="10"/>
  <c r="T153" i="10"/>
  <c r="V69" i="10"/>
  <c r="W119" i="10"/>
  <c r="W78" i="10"/>
  <c r="W80" i="10"/>
  <c r="T17" i="10"/>
  <c r="V86" i="10"/>
  <c r="W81" i="10"/>
  <c r="W79" i="10"/>
  <c r="F35" i="10"/>
  <c r="V85" i="10"/>
  <c r="V53" i="10"/>
  <c r="V102" i="10"/>
  <c r="W96" i="10"/>
  <c r="W25" i="10"/>
  <c r="V151" i="10"/>
  <c r="W26" i="10"/>
  <c r="W30" i="10"/>
  <c r="W63" i="10"/>
  <c r="E167" i="10"/>
  <c r="U155" i="10"/>
  <c r="T69" i="10"/>
  <c r="W47" i="10"/>
  <c r="W50" i="10"/>
  <c r="W62" i="10"/>
  <c r="W60" i="10"/>
  <c r="W59" i="10"/>
  <c r="O34" i="10"/>
  <c r="W131" i="10"/>
  <c r="W14" i="10"/>
  <c r="W123" i="10"/>
  <c r="W136" i="10"/>
  <c r="W77" i="10"/>
  <c r="W42" i="10"/>
  <c r="W43" i="10"/>
  <c r="S165" i="10"/>
  <c r="C54" i="10"/>
  <c r="W101" i="10"/>
  <c r="F54" i="10"/>
  <c r="C18" i="10"/>
  <c r="T52" i="10"/>
  <c r="V68" i="10"/>
  <c r="V70" i="10" s="1"/>
  <c r="U86" i="10"/>
  <c r="V52" i="10"/>
  <c r="V54" i="10" s="1"/>
  <c r="M18" i="10"/>
  <c r="W40" i="10"/>
  <c r="W48" i="10"/>
  <c r="O148" i="10"/>
  <c r="W76" i="10"/>
  <c r="V140" i="10"/>
  <c r="U103" i="10"/>
  <c r="W41" i="10"/>
  <c r="W28" i="10"/>
  <c r="E35" i="10"/>
  <c r="W27" i="10"/>
  <c r="W32" i="10"/>
  <c r="U165" i="10"/>
  <c r="N35" i="10"/>
  <c r="V164" i="10"/>
  <c r="T85" i="10"/>
  <c r="W51" i="10"/>
  <c r="U139" i="10"/>
  <c r="O103" i="10"/>
  <c r="V34" i="10"/>
  <c r="U34" i="10"/>
  <c r="W9" i="10"/>
  <c r="W23" i="10"/>
  <c r="S33" i="10"/>
  <c r="S35" i="10" s="1"/>
  <c r="V139" i="10"/>
  <c r="T140" i="10"/>
  <c r="T141" i="10" s="1"/>
  <c r="W64" i="10"/>
  <c r="U52" i="10"/>
  <c r="W145" i="10"/>
  <c r="W118" i="10"/>
  <c r="U17" i="10"/>
  <c r="D18" i="10"/>
  <c r="U152" i="10"/>
  <c r="U163" i="10"/>
  <c r="T160" i="10"/>
  <c r="L35" i="10"/>
  <c r="T148" i="10"/>
  <c r="J167" i="10"/>
  <c r="T68" i="10"/>
  <c r="U85" i="10"/>
  <c r="U87" i="10" s="1"/>
  <c r="N18" i="10"/>
  <c r="N54" i="10"/>
  <c r="U53" i="10"/>
  <c r="U124" i="10"/>
  <c r="O86" i="10"/>
  <c r="W24" i="10"/>
  <c r="T102" i="10"/>
  <c r="T104" i="10" s="1"/>
  <c r="W90" i="10"/>
  <c r="U102" i="10"/>
  <c r="F18" i="10"/>
  <c r="W114" i="10"/>
  <c r="T165" i="10"/>
  <c r="S139" i="10"/>
  <c r="U140" i="10"/>
  <c r="O161" i="10"/>
  <c r="V17" i="10"/>
  <c r="K166" i="10"/>
  <c r="H18" i="10"/>
  <c r="U164" i="10"/>
  <c r="M167" i="10"/>
  <c r="O16" i="10"/>
  <c r="V161" i="10"/>
  <c r="N167" i="10"/>
  <c r="U125" i="10"/>
  <c r="T86" i="10"/>
  <c r="W15" i="10"/>
  <c r="J35" i="10"/>
  <c r="C111" i="10"/>
  <c r="D166" i="10"/>
  <c r="L18" i="10"/>
  <c r="W109" i="10"/>
  <c r="T34" i="10"/>
  <c r="W11" i="10"/>
  <c r="U16" i="10"/>
  <c r="W122" i="10"/>
  <c r="W115" i="10"/>
  <c r="V148" i="10"/>
  <c r="O154" i="10"/>
  <c r="V124" i="10"/>
  <c r="T124" i="10"/>
  <c r="T126" i="10" s="1"/>
  <c r="T152" i="10"/>
  <c r="W130" i="10"/>
  <c r="V33" i="10"/>
  <c r="I18" i="10"/>
  <c r="W7" i="10"/>
  <c r="O165" i="10"/>
  <c r="C166" i="10"/>
  <c r="O151" i="10"/>
  <c r="S151" i="10"/>
  <c r="S52" i="10"/>
  <c r="S158" i="10"/>
  <c r="S16" i="10"/>
  <c r="U33" i="10"/>
  <c r="U68" i="10"/>
  <c r="U70" i="10" s="1"/>
  <c r="S154" i="10"/>
  <c r="T16" i="10"/>
  <c r="T18" i="10" s="1"/>
  <c r="W44" i="10"/>
  <c r="W5" i="10"/>
  <c r="U151" i="10"/>
  <c r="O157" i="10"/>
  <c r="S157" i="10"/>
  <c r="J166" i="10"/>
  <c r="J18" i="10"/>
  <c r="I166" i="10"/>
  <c r="O52" i="10"/>
  <c r="O124" i="10"/>
  <c r="T111" i="10"/>
  <c r="O85" i="10"/>
  <c r="S156" i="10"/>
  <c r="O156" i="10"/>
  <c r="W97" i="10"/>
  <c r="T154" i="10"/>
  <c r="W94" i="10"/>
  <c r="S103" i="10"/>
  <c r="O102" i="10"/>
  <c r="O104" i="10" s="1"/>
  <c r="O33" i="10"/>
  <c r="W57" i="10"/>
  <c r="V125" i="10"/>
  <c r="F167" i="10"/>
  <c r="W22" i="10"/>
  <c r="S160" i="10"/>
  <c r="O160" i="10"/>
  <c r="O17" i="10"/>
  <c r="W38" i="10"/>
  <c r="W12" i="10"/>
  <c r="W116" i="10"/>
  <c r="O139" i="10"/>
  <c r="W98" i="10"/>
  <c r="W45" i="10"/>
  <c r="W129" i="10"/>
  <c r="S85" i="10"/>
  <c r="I167" i="10"/>
  <c r="H167" i="10"/>
  <c r="H168" i="10" s="1"/>
  <c r="T53" i="10"/>
  <c r="T54" i="10" s="1"/>
  <c r="E18" i="10"/>
  <c r="L167" i="10"/>
  <c r="L168" i="10" s="1"/>
  <c r="V152" i="10"/>
  <c r="S152" i="10"/>
  <c r="C167" i="10"/>
  <c r="O152" i="10"/>
  <c r="O159" i="10"/>
  <c r="S159" i="10"/>
  <c r="W108" i="10"/>
  <c r="S110" i="10"/>
  <c r="W73" i="10"/>
  <c r="S124" i="10"/>
  <c r="K18" i="10"/>
  <c r="W6" i="10"/>
  <c r="O140" i="10"/>
  <c r="U111" i="10"/>
  <c r="O163" i="10"/>
  <c r="S163" i="10"/>
  <c r="C148" i="10"/>
  <c r="S69" i="10"/>
  <c r="W58" i="10"/>
  <c r="O125" i="10"/>
  <c r="V154" i="10"/>
  <c r="V16" i="10"/>
  <c r="W8" i="10"/>
  <c r="V160" i="10"/>
  <c r="F70" i="10"/>
  <c r="G18" i="10"/>
  <c r="S53" i="10"/>
  <c r="W74" i="10"/>
  <c r="S125" i="10"/>
  <c r="W147" i="10"/>
  <c r="W121" i="10"/>
  <c r="O153" i="10"/>
  <c r="S153" i="10"/>
  <c r="W144" i="10"/>
  <c r="K158" i="10"/>
  <c r="U158" i="10" s="1"/>
  <c r="K111" i="10"/>
  <c r="O162" i="10"/>
  <c r="S86" i="10"/>
  <c r="O53" i="10"/>
  <c r="O155" i="10"/>
  <c r="S155" i="10"/>
  <c r="S17" i="10"/>
  <c r="W21" i="10"/>
  <c r="W10" i="10"/>
  <c r="G166" i="10"/>
  <c r="I87" i="10"/>
  <c r="F166" i="10"/>
  <c r="T151" i="10"/>
  <c r="S148" i="10"/>
  <c r="W146" i="10"/>
  <c r="S164" i="10"/>
  <c r="O164" i="10"/>
  <c r="V111" i="10"/>
  <c r="G167" i="10"/>
  <c r="V165" i="10"/>
  <c r="S102" i="10"/>
  <c r="W162" i="10"/>
  <c r="D167" i="10"/>
  <c r="W39" i="10"/>
  <c r="N166" i="10"/>
  <c r="C35" i="10"/>
  <c r="S96" i="9"/>
  <c r="M129" i="9"/>
  <c r="I129" i="9"/>
  <c r="C129" i="9"/>
  <c r="E129" i="9"/>
  <c r="T146" i="9"/>
  <c r="V146" i="9"/>
  <c r="V96" i="9"/>
  <c r="V98" i="9" s="1"/>
  <c r="U96" i="9"/>
  <c r="U98" i="9" s="1"/>
  <c r="U99" i="9" s="1"/>
  <c r="N99" i="9"/>
  <c r="T96" i="9"/>
  <c r="T98" i="9" s="1"/>
  <c r="G99" i="9"/>
  <c r="H99" i="9"/>
  <c r="O96" i="9"/>
  <c r="O98" i="9" s="1"/>
  <c r="L99" i="9"/>
  <c r="J99" i="9"/>
  <c r="C98" i="9"/>
  <c r="K99" i="9"/>
  <c r="D99" i="9"/>
  <c r="E99" i="9"/>
  <c r="M99" i="9"/>
  <c r="O95" i="9"/>
  <c r="O97" i="9" s="1"/>
  <c r="I97" i="9"/>
  <c r="S95" i="9"/>
  <c r="T97" i="9"/>
  <c r="I98" i="9"/>
  <c r="I146" i="9" s="1"/>
  <c r="U146" i="9" s="1"/>
  <c r="S98" i="9"/>
  <c r="V95" i="9"/>
  <c r="V97" i="9" s="1"/>
  <c r="F97" i="9"/>
  <c r="F99" i="9" s="1"/>
  <c r="J54" i="8"/>
  <c r="D54" i="8"/>
  <c r="M21" i="8"/>
  <c r="H68" i="8"/>
  <c r="E168" i="10" l="1"/>
  <c r="S141" i="10"/>
  <c r="W155" i="10"/>
  <c r="M168" i="10"/>
  <c r="W153" i="10"/>
  <c r="V87" i="10"/>
  <c r="W159" i="10"/>
  <c r="W156" i="10"/>
  <c r="T166" i="10"/>
  <c r="V141" i="10"/>
  <c r="U104" i="10"/>
  <c r="U126" i="10"/>
  <c r="W157" i="10"/>
  <c r="O35" i="10"/>
  <c r="U141" i="10"/>
  <c r="W69" i="10"/>
  <c r="W163" i="10"/>
  <c r="T70" i="10"/>
  <c r="T87" i="10"/>
  <c r="V166" i="10"/>
  <c r="W86" i="10"/>
  <c r="U54" i="10"/>
  <c r="T167" i="10"/>
  <c r="W53" i="10"/>
  <c r="W68" i="10"/>
  <c r="W103" i="10"/>
  <c r="W140" i="10"/>
  <c r="V126" i="10"/>
  <c r="U167" i="10"/>
  <c r="N168" i="10"/>
  <c r="W34" i="10"/>
  <c r="V35" i="10"/>
  <c r="U35" i="10"/>
  <c r="W139" i="10"/>
  <c r="U18" i="10"/>
  <c r="O87" i="10"/>
  <c r="J168" i="10"/>
  <c r="W165" i="10"/>
  <c r="V18" i="10"/>
  <c r="O18" i="10"/>
  <c r="W17" i="10"/>
  <c r="D168" i="10"/>
  <c r="U166" i="10"/>
  <c r="I168" i="10"/>
  <c r="W164" i="10"/>
  <c r="T35" i="10"/>
  <c r="F168" i="10"/>
  <c r="W125" i="10"/>
  <c r="W33" i="10"/>
  <c r="O126" i="10"/>
  <c r="W161" i="10"/>
  <c r="W85" i="10"/>
  <c r="S87" i="10"/>
  <c r="W154" i="10"/>
  <c r="O158" i="10"/>
  <c r="O167" i="10" s="1"/>
  <c r="W110" i="10"/>
  <c r="W111" i="10" s="1"/>
  <c r="S111" i="10"/>
  <c r="W158" i="10"/>
  <c r="V167" i="10"/>
  <c r="S54" i="10"/>
  <c r="W52" i="10"/>
  <c r="G168" i="10"/>
  <c r="O141" i="10"/>
  <c r="W148" i="10"/>
  <c r="K167" i="10"/>
  <c r="K168" i="10" s="1"/>
  <c r="S18" i="10"/>
  <c r="W16" i="10"/>
  <c r="W151" i="10"/>
  <c r="S166" i="10"/>
  <c r="S104" i="10"/>
  <c r="W102" i="10"/>
  <c r="W160" i="10"/>
  <c r="O166" i="10"/>
  <c r="W124" i="10"/>
  <c r="S126" i="10"/>
  <c r="W152" i="10"/>
  <c r="S167" i="10"/>
  <c r="S70" i="10"/>
  <c r="O54" i="10"/>
  <c r="C168" i="10"/>
  <c r="W96" i="9"/>
  <c r="V99" i="9"/>
  <c r="C99" i="9"/>
  <c r="C146" i="9"/>
  <c r="O99" i="9"/>
  <c r="T99" i="9"/>
  <c r="I99" i="9"/>
  <c r="W95" i="9"/>
  <c r="S97" i="9"/>
  <c r="W98" i="9"/>
  <c r="W70" i="10" l="1"/>
  <c r="T168" i="10"/>
  <c r="W87" i="10"/>
  <c r="W104" i="10"/>
  <c r="W54" i="10"/>
  <c r="V168" i="10"/>
  <c r="U168" i="10"/>
  <c r="W141" i="10"/>
  <c r="W35" i="10"/>
  <c r="W18" i="10"/>
  <c r="W126" i="10"/>
  <c r="W167" i="10"/>
  <c r="S168" i="10"/>
  <c r="W166" i="10"/>
  <c r="O168" i="10"/>
  <c r="O146" i="9"/>
  <c r="S146" i="9"/>
  <c r="W146" i="9" s="1"/>
  <c r="W97" i="9"/>
  <c r="W99" i="9" s="1"/>
  <c r="S99" i="9"/>
  <c r="W168" i="10" l="1"/>
  <c r="U41" i="6" l="1"/>
  <c r="T41" i="6"/>
  <c r="S41" i="6"/>
  <c r="R41" i="6"/>
  <c r="Q41" i="6"/>
  <c r="H28" i="3"/>
  <c r="H27" i="3"/>
  <c r="H22" i="3"/>
  <c r="H23" i="3"/>
  <c r="H24" i="3"/>
  <c r="H25" i="3"/>
  <c r="H21" i="3"/>
  <c r="G28" i="3"/>
  <c r="G27" i="3"/>
  <c r="G22" i="3"/>
  <c r="G23" i="3"/>
  <c r="G24" i="3"/>
  <c r="G25" i="3"/>
  <c r="G21" i="3"/>
  <c r="N25" i="8"/>
  <c r="M25" i="8"/>
  <c r="O17" i="8"/>
  <c r="O18" i="8"/>
  <c r="O19" i="8"/>
  <c r="O20" i="8"/>
  <c r="O21" i="8"/>
  <c r="O22" i="8"/>
  <c r="O23" i="8"/>
  <c r="O24" i="8"/>
  <c r="V2" i="10"/>
  <c r="U2" i="10"/>
  <c r="T2" i="10"/>
  <c r="S2" i="10"/>
  <c r="D134" i="9"/>
  <c r="E134" i="9"/>
  <c r="F134" i="9"/>
  <c r="G134" i="9"/>
  <c r="H134" i="9"/>
  <c r="I134" i="9"/>
  <c r="J134" i="9"/>
  <c r="K134" i="9"/>
  <c r="L134" i="9"/>
  <c r="M134" i="9"/>
  <c r="N134" i="9"/>
  <c r="D135" i="9"/>
  <c r="E135" i="9"/>
  <c r="F135" i="9"/>
  <c r="G135" i="9"/>
  <c r="H135" i="9"/>
  <c r="I135" i="9"/>
  <c r="J135" i="9"/>
  <c r="K135" i="9"/>
  <c r="L135" i="9"/>
  <c r="M135" i="9"/>
  <c r="N135" i="9"/>
  <c r="C135" i="9"/>
  <c r="C134" i="9"/>
  <c r="C110" i="9"/>
  <c r="C113" i="9" s="1"/>
  <c r="C109" i="9"/>
  <c r="C112" i="9" s="1"/>
  <c r="C88" i="9"/>
  <c r="C81" i="9"/>
  <c r="C89" i="9"/>
  <c r="C87" i="9"/>
  <c r="C86" i="9"/>
  <c r="C82" i="9"/>
  <c r="C80" i="9"/>
  <c r="V2" i="9"/>
  <c r="U2" i="9"/>
  <c r="T2" i="9"/>
  <c r="S2" i="9"/>
  <c r="I68" i="7"/>
  <c r="I67" i="7"/>
  <c r="I65" i="7"/>
  <c r="I64" i="7"/>
  <c r="I62" i="7"/>
  <c r="I61" i="7"/>
  <c r="G67" i="7"/>
  <c r="F67" i="7"/>
  <c r="E67" i="7"/>
  <c r="D67" i="7"/>
  <c r="C67" i="7"/>
  <c r="B67" i="7"/>
  <c r="G65" i="7"/>
  <c r="F65" i="7"/>
  <c r="E65" i="7"/>
  <c r="G64" i="7"/>
  <c r="F64" i="7"/>
  <c r="E64" i="7"/>
  <c r="D64" i="7"/>
  <c r="B64" i="7"/>
  <c r="G62" i="7"/>
  <c r="F62" i="7"/>
  <c r="E62" i="7"/>
  <c r="G61" i="7"/>
  <c r="F61" i="7"/>
  <c r="E61" i="7"/>
  <c r="D61" i="7"/>
  <c r="C61" i="7"/>
  <c r="B61" i="7"/>
  <c r="I52" i="7"/>
  <c r="I46" i="7"/>
  <c r="I44" i="7"/>
  <c r="I43" i="7"/>
  <c r="I40" i="7"/>
  <c r="G53" i="7"/>
  <c r="F53" i="7"/>
  <c r="E53" i="7"/>
  <c r="B53" i="7"/>
  <c r="G52" i="7"/>
  <c r="F52" i="7"/>
  <c r="E52" i="7"/>
  <c r="C52" i="7"/>
  <c r="B52" i="7"/>
  <c r="G50" i="7"/>
  <c r="F50" i="7"/>
  <c r="E50" i="7"/>
  <c r="B50" i="7"/>
  <c r="G49" i="7"/>
  <c r="F49" i="7"/>
  <c r="E49" i="7"/>
  <c r="D49" i="7"/>
  <c r="C49" i="7"/>
  <c r="B49" i="7"/>
  <c r="G47" i="7"/>
  <c r="F47" i="7"/>
  <c r="E47" i="7"/>
  <c r="B47" i="7"/>
  <c r="G46" i="7"/>
  <c r="F46" i="7"/>
  <c r="E46" i="7"/>
  <c r="D46" i="7"/>
  <c r="C46" i="7"/>
  <c r="B46" i="7"/>
  <c r="G44" i="7"/>
  <c r="F44" i="7"/>
  <c r="B44" i="7"/>
  <c r="G43" i="7"/>
  <c r="F43" i="7"/>
  <c r="D43" i="7"/>
  <c r="C43" i="7"/>
  <c r="B43" i="7"/>
  <c r="G41" i="7"/>
  <c r="F41" i="7"/>
  <c r="E41" i="7"/>
  <c r="B41" i="7"/>
  <c r="G40" i="7"/>
  <c r="F40" i="7"/>
  <c r="E40" i="7"/>
  <c r="D40" i="7"/>
  <c r="C40" i="7"/>
  <c r="B40" i="7"/>
  <c r="I37" i="7"/>
  <c r="C37" i="7"/>
  <c r="D37" i="7"/>
  <c r="E37" i="7"/>
  <c r="F37" i="7"/>
  <c r="G37" i="7"/>
  <c r="C38" i="7"/>
  <c r="E38" i="7"/>
  <c r="F38" i="7"/>
  <c r="G38" i="7"/>
  <c r="B38" i="7"/>
  <c r="B37" i="7"/>
  <c r="I38" i="8"/>
  <c r="I41" i="8"/>
  <c r="G12" i="8"/>
  <c r="F12" i="8"/>
  <c r="I41" i="7" l="1"/>
  <c r="H12" i="8"/>
  <c r="O25" i="8"/>
  <c r="W2" i="10"/>
  <c r="D41" i="7"/>
  <c r="D38" i="7"/>
  <c r="I38" i="7"/>
  <c r="C41" i="7"/>
  <c r="O124" i="9"/>
  <c r="O123" i="9"/>
  <c r="O125" i="9"/>
  <c r="W2" i="9"/>
  <c r="O122" i="9"/>
  <c r="O126" i="9"/>
  <c r="O117" i="9"/>
  <c r="L136" i="9" l="1"/>
  <c r="I136" i="9"/>
  <c r="E136" i="9" l="1"/>
  <c r="M136" i="9"/>
  <c r="O133" i="9"/>
  <c r="O135" i="9" s="1"/>
  <c r="O132" i="9"/>
  <c r="O134" i="9" s="1"/>
  <c r="O111" i="9"/>
  <c r="O110" i="9"/>
  <c r="O109" i="9"/>
  <c r="O108" i="9"/>
  <c r="O107" i="9"/>
  <c r="O104" i="9"/>
  <c r="O102" i="9"/>
  <c r="O89" i="9"/>
  <c r="O88" i="9"/>
  <c r="O87" i="9"/>
  <c r="O86" i="9"/>
  <c r="O82" i="9"/>
  <c r="O81" i="9"/>
  <c r="O80" i="9"/>
  <c r="O73" i="9"/>
  <c r="O72" i="9"/>
  <c r="O71" i="9"/>
  <c r="O67" i="9"/>
  <c r="O66" i="9"/>
  <c r="O65" i="9"/>
  <c r="O58" i="9"/>
  <c r="O57" i="9"/>
  <c r="O53" i="9"/>
  <c r="O52" i="9"/>
  <c r="O51" i="9"/>
  <c r="O44" i="9"/>
  <c r="O43" i="9"/>
  <c r="O42" i="9"/>
  <c r="O36" i="9"/>
  <c r="O35" i="9"/>
  <c r="O34" i="9"/>
  <c r="O27" i="9"/>
  <c r="O26" i="9"/>
  <c r="O25" i="9"/>
  <c r="O22" i="9"/>
  <c r="O21" i="9"/>
  <c r="O20" i="9"/>
  <c r="O19" i="9"/>
  <c r="O12" i="9"/>
  <c r="O11" i="9"/>
  <c r="O10" i="9"/>
  <c r="O7" i="9"/>
  <c r="O6" i="9"/>
  <c r="O5" i="9"/>
  <c r="R156" i="9"/>
  <c r="R155" i="9"/>
  <c r="R154" i="9"/>
  <c r="R153" i="9"/>
  <c r="Q153" i="9"/>
  <c r="R152" i="9"/>
  <c r="Q152" i="9"/>
  <c r="R151" i="9"/>
  <c r="Q151" i="9"/>
  <c r="R150" i="9"/>
  <c r="Q150" i="9"/>
  <c r="R149" i="9"/>
  <c r="Q149" i="9"/>
  <c r="R148" i="9"/>
  <c r="Q148" i="9"/>
  <c r="R147" i="9"/>
  <c r="Q147" i="9"/>
  <c r="R145" i="9"/>
  <c r="Q145" i="9"/>
  <c r="R144" i="9"/>
  <c r="Q144" i="9"/>
  <c r="R143" i="9"/>
  <c r="Q143" i="9"/>
  <c r="R142" i="9"/>
  <c r="Q142" i="9"/>
  <c r="R141" i="9"/>
  <c r="Q141" i="9"/>
  <c r="R140" i="9"/>
  <c r="Q140" i="9"/>
  <c r="R139" i="9"/>
  <c r="Q139" i="9"/>
  <c r="Q138" i="9"/>
  <c r="R136" i="9"/>
  <c r="R135" i="9"/>
  <c r="R134" i="9"/>
  <c r="V133" i="9"/>
  <c r="U133" i="9"/>
  <c r="T133" i="9"/>
  <c r="S133" i="9"/>
  <c r="R133" i="9"/>
  <c r="Q133" i="9"/>
  <c r="V132" i="9"/>
  <c r="U132" i="9"/>
  <c r="T132" i="9"/>
  <c r="S132" i="9"/>
  <c r="R132" i="9"/>
  <c r="Q132" i="9"/>
  <c r="Q131" i="9"/>
  <c r="R129" i="9"/>
  <c r="R128" i="9"/>
  <c r="R127" i="9"/>
  <c r="V126" i="9"/>
  <c r="U126" i="9"/>
  <c r="T126" i="9"/>
  <c r="S126" i="9"/>
  <c r="R126" i="9"/>
  <c r="Q126" i="9"/>
  <c r="V125" i="9"/>
  <c r="U125" i="9"/>
  <c r="T125" i="9"/>
  <c r="S125" i="9"/>
  <c r="R125" i="9"/>
  <c r="Q125" i="9"/>
  <c r="V124" i="9"/>
  <c r="U124" i="9"/>
  <c r="T124" i="9"/>
  <c r="S124" i="9"/>
  <c r="R124" i="9"/>
  <c r="Q124" i="9"/>
  <c r="V123" i="9"/>
  <c r="U123" i="9"/>
  <c r="T123" i="9"/>
  <c r="S123" i="9"/>
  <c r="R123" i="9"/>
  <c r="Q123" i="9"/>
  <c r="V122" i="9"/>
  <c r="U122" i="9"/>
  <c r="T122" i="9"/>
  <c r="S122" i="9"/>
  <c r="R122" i="9"/>
  <c r="Q122" i="9"/>
  <c r="R121" i="9"/>
  <c r="Q121" i="9"/>
  <c r="R120" i="9"/>
  <c r="Q120" i="9"/>
  <c r="R119" i="9"/>
  <c r="Q119" i="9"/>
  <c r="R118" i="9"/>
  <c r="Q118" i="9"/>
  <c r="V117" i="9"/>
  <c r="U117" i="9"/>
  <c r="T117" i="9"/>
  <c r="S117" i="9"/>
  <c r="R117" i="9"/>
  <c r="Q117" i="9"/>
  <c r="Q116" i="9"/>
  <c r="R114" i="9"/>
  <c r="R113" i="9"/>
  <c r="R112" i="9"/>
  <c r="V111" i="9"/>
  <c r="U111" i="9"/>
  <c r="T111" i="9"/>
  <c r="S111" i="9"/>
  <c r="R111" i="9"/>
  <c r="Q111" i="9"/>
  <c r="V110" i="9"/>
  <c r="U110" i="9"/>
  <c r="T110" i="9"/>
  <c r="S110" i="9"/>
  <c r="R110" i="9"/>
  <c r="Q110" i="9"/>
  <c r="V109" i="9"/>
  <c r="U109" i="9"/>
  <c r="T109" i="9"/>
  <c r="S109" i="9"/>
  <c r="R109" i="9"/>
  <c r="Q109" i="9"/>
  <c r="V108" i="9"/>
  <c r="U108" i="9"/>
  <c r="T108" i="9"/>
  <c r="S108" i="9"/>
  <c r="R108" i="9"/>
  <c r="Q108" i="9"/>
  <c r="V107" i="9"/>
  <c r="U107" i="9"/>
  <c r="T107" i="9"/>
  <c r="S107" i="9"/>
  <c r="R107" i="9"/>
  <c r="Q107" i="9"/>
  <c r="R106" i="9"/>
  <c r="Q106" i="9"/>
  <c r="R105" i="9"/>
  <c r="Q105" i="9"/>
  <c r="V104" i="9"/>
  <c r="U104" i="9"/>
  <c r="T104" i="9"/>
  <c r="S104" i="9"/>
  <c r="R104" i="9"/>
  <c r="Q104" i="9"/>
  <c r="R103" i="9"/>
  <c r="Q103" i="9"/>
  <c r="V102" i="9"/>
  <c r="U102" i="9"/>
  <c r="T102" i="9"/>
  <c r="S102" i="9"/>
  <c r="R102" i="9"/>
  <c r="Q102" i="9"/>
  <c r="Q101" i="9"/>
  <c r="R92" i="9"/>
  <c r="R91" i="9"/>
  <c r="R90" i="9"/>
  <c r="V89" i="9"/>
  <c r="U89" i="9"/>
  <c r="T89" i="9"/>
  <c r="S89" i="9"/>
  <c r="R89" i="9"/>
  <c r="Q89" i="9"/>
  <c r="V88" i="9"/>
  <c r="U88" i="9"/>
  <c r="T88" i="9"/>
  <c r="S88" i="9"/>
  <c r="R88" i="9"/>
  <c r="Q88" i="9"/>
  <c r="V87" i="9"/>
  <c r="U87" i="9"/>
  <c r="T87" i="9"/>
  <c r="S87" i="9"/>
  <c r="R87" i="9"/>
  <c r="Q87" i="9"/>
  <c r="V86" i="9"/>
  <c r="U86" i="9"/>
  <c r="T86" i="9"/>
  <c r="S86" i="9"/>
  <c r="R86" i="9"/>
  <c r="Q86" i="9"/>
  <c r="R85" i="9"/>
  <c r="Q85" i="9"/>
  <c r="R84" i="9"/>
  <c r="Q84" i="9"/>
  <c r="R83" i="9"/>
  <c r="Q83" i="9"/>
  <c r="V82" i="9"/>
  <c r="U82" i="9"/>
  <c r="T82" i="9"/>
  <c r="S82" i="9"/>
  <c r="R82" i="9"/>
  <c r="Q82" i="9"/>
  <c r="V81" i="9"/>
  <c r="U81" i="9"/>
  <c r="T81" i="9"/>
  <c r="S81" i="9"/>
  <c r="R81" i="9"/>
  <c r="Q81" i="9"/>
  <c r="V80" i="9"/>
  <c r="U80" i="9"/>
  <c r="T80" i="9"/>
  <c r="S80" i="9"/>
  <c r="R80" i="9"/>
  <c r="Q80" i="9"/>
  <c r="Q79" i="9"/>
  <c r="R77" i="9"/>
  <c r="R76" i="9"/>
  <c r="R75" i="9"/>
  <c r="R74" i="9"/>
  <c r="Q74" i="9"/>
  <c r="V73" i="9"/>
  <c r="U73" i="9"/>
  <c r="T73" i="9"/>
  <c r="S73" i="9"/>
  <c r="R73" i="9"/>
  <c r="Q73" i="9"/>
  <c r="V72" i="9"/>
  <c r="U72" i="9"/>
  <c r="T72" i="9"/>
  <c r="S72" i="9"/>
  <c r="R72" i="9"/>
  <c r="Q72" i="9"/>
  <c r="V71" i="9"/>
  <c r="U71" i="9"/>
  <c r="T71" i="9"/>
  <c r="S71" i="9"/>
  <c r="R71" i="9"/>
  <c r="Q71" i="9"/>
  <c r="R70" i="9"/>
  <c r="Q70" i="9"/>
  <c r="R69" i="9"/>
  <c r="Q69" i="9"/>
  <c r="R68" i="9"/>
  <c r="Q68" i="9"/>
  <c r="V67" i="9"/>
  <c r="U67" i="9"/>
  <c r="T67" i="9"/>
  <c r="S67" i="9"/>
  <c r="R67" i="9"/>
  <c r="Q67" i="9"/>
  <c r="V66" i="9"/>
  <c r="U66" i="9"/>
  <c r="T66" i="9"/>
  <c r="S66" i="9"/>
  <c r="R66" i="9"/>
  <c r="Q66" i="9"/>
  <c r="V65" i="9"/>
  <c r="U65" i="9"/>
  <c r="T65" i="9"/>
  <c r="S65" i="9"/>
  <c r="R65" i="9"/>
  <c r="Q65" i="9"/>
  <c r="Q64" i="9"/>
  <c r="R62" i="9"/>
  <c r="R61" i="9"/>
  <c r="R60" i="9"/>
  <c r="R59" i="9"/>
  <c r="Q59" i="9"/>
  <c r="V58" i="9"/>
  <c r="U58" i="9"/>
  <c r="T58" i="9"/>
  <c r="S58" i="9"/>
  <c r="R58" i="9"/>
  <c r="Q58" i="9"/>
  <c r="V57" i="9"/>
  <c r="U57" i="9"/>
  <c r="T57" i="9"/>
  <c r="S57" i="9"/>
  <c r="R57" i="9"/>
  <c r="Q57" i="9"/>
  <c r="R56" i="9"/>
  <c r="Q56" i="9"/>
  <c r="R55" i="9"/>
  <c r="Q55" i="9"/>
  <c r="R54" i="9"/>
  <c r="Q54" i="9"/>
  <c r="V53" i="9"/>
  <c r="U53" i="9"/>
  <c r="T53" i="9"/>
  <c r="S53" i="9"/>
  <c r="R53" i="9"/>
  <c r="Q53" i="9"/>
  <c r="V52" i="9"/>
  <c r="U52" i="9"/>
  <c r="T52" i="9"/>
  <c r="S52" i="9"/>
  <c r="R52" i="9"/>
  <c r="Q52" i="9"/>
  <c r="V51" i="9"/>
  <c r="U51" i="9"/>
  <c r="T51" i="9"/>
  <c r="S51" i="9"/>
  <c r="R51" i="9"/>
  <c r="Q51" i="9"/>
  <c r="Q50" i="9"/>
  <c r="R48" i="9"/>
  <c r="R47" i="9"/>
  <c r="R46" i="9"/>
  <c r="R45" i="9"/>
  <c r="Q45" i="9"/>
  <c r="V44" i="9"/>
  <c r="U44" i="9"/>
  <c r="T44" i="9"/>
  <c r="S44" i="9"/>
  <c r="R44" i="9"/>
  <c r="Q44" i="9"/>
  <c r="V43" i="9"/>
  <c r="U43" i="9"/>
  <c r="T43" i="9"/>
  <c r="S43" i="9"/>
  <c r="R43" i="9"/>
  <c r="Q43" i="9"/>
  <c r="V42" i="9"/>
  <c r="U42" i="9"/>
  <c r="T42" i="9"/>
  <c r="S42" i="9"/>
  <c r="R42" i="9"/>
  <c r="Q42" i="9"/>
  <c r="R41" i="9"/>
  <c r="Q41" i="9"/>
  <c r="R40" i="9"/>
  <c r="Q40" i="9"/>
  <c r="R39" i="9"/>
  <c r="Q39" i="9"/>
  <c r="R38" i="9"/>
  <c r="Q38" i="9"/>
  <c r="R37" i="9"/>
  <c r="Q37" i="9"/>
  <c r="V36" i="9"/>
  <c r="U36" i="9"/>
  <c r="T36" i="9"/>
  <c r="S36" i="9"/>
  <c r="R36" i="9"/>
  <c r="Q36" i="9"/>
  <c r="V35" i="9"/>
  <c r="U35" i="9"/>
  <c r="T35" i="9"/>
  <c r="S35" i="9"/>
  <c r="R35" i="9"/>
  <c r="Q35" i="9"/>
  <c r="V34" i="9"/>
  <c r="U34" i="9"/>
  <c r="T34" i="9"/>
  <c r="S34" i="9"/>
  <c r="R34" i="9"/>
  <c r="Q34" i="9"/>
  <c r="Q33" i="9"/>
  <c r="R31" i="9"/>
  <c r="R30" i="9"/>
  <c r="R29" i="9"/>
  <c r="R28" i="9"/>
  <c r="Q28" i="9"/>
  <c r="V27" i="9"/>
  <c r="U27" i="9"/>
  <c r="T27" i="9"/>
  <c r="S27" i="9"/>
  <c r="R27" i="9"/>
  <c r="Q27" i="9"/>
  <c r="V26" i="9"/>
  <c r="U26" i="9"/>
  <c r="T26" i="9"/>
  <c r="S26" i="9"/>
  <c r="R26" i="9"/>
  <c r="Q26" i="9"/>
  <c r="V25" i="9"/>
  <c r="U25" i="9"/>
  <c r="T25" i="9"/>
  <c r="S25" i="9"/>
  <c r="R25" i="9"/>
  <c r="Q25" i="9"/>
  <c r="R24" i="9"/>
  <c r="Q24" i="9"/>
  <c r="R23" i="9"/>
  <c r="Q23" i="9"/>
  <c r="V22" i="9"/>
  <c r="U22" i="9"/>
  <c r="T22" i="9"/>
  <c r="S22" i="9"/>
  <c r="R22" i="9"/>
  <c r="Q22" i="9"/>
  <c r="V21" i="9"/>
  <c r="U21" i="9"/>
  <c r="T21" i="9"/>
  <c r="S21" i="9"/>
  <c r="R21" i="9"/>
  <c r="Q21" i="9"/>
  <c r="V20" i="9"/>
  <c r="U20" i="9"/>
  <c r="T20" i="9"/>
  <c r="S20" i="9"/>
  <c r="R20" i="9"/>
  <c r="Q20" i="9"/>
  <c r="V19" i="9"/>
  <c r="U19" i="9"/>
  <c r="T19" i="9"/>
  <c r="S19" i="9"/>
  <c r="R19" i="9"/>
  <c r="Q19" i="9"/>
  <c r="Q18" i="9"/>
  <c r="R16" i="9"/>
  <c r="R15" i="9"/>
  <c r="R14" i="9"/>
  <c r="R13" i="9"/>
  <c r="Q13" i="9"/>
  <c r="V12" i="9"/>
  <c r="U12" i="9"/>
  <c r="T12" i="9"/>
  <c r="S12" i="9"/>
  <c r="R12" i="9"/>
  <c r="Q12" i="9"/>
  <c r="V11" i="9"/>
  <c r="U11" i="9"/>
  <c r="T11" i="9"/>
  <c r="S11" i="9"/>
  <c r="R11" i="9"/>
  <c r="Q11" i="9"/>
  <c r="V10" i="9"/>
  <c r="U10" i="9"/>
  <c r="T10" i="9"/>
  <c r="S10" i="9"/>
  <c r="R10" i="9"/>
  <c r="Q10" i="9"/>
  <c r="R9" i="9"/>
  <c r="Q9" i="9"/>
  <c r="R8" i="9"/>
  <c r="Q8" i="9"/>
  <c r="V7" i="9"/>
  <c r="U7" i="9"/>
  <c r="T7" i="9"/>
  <c r="S7" i="9"/>
  <c r="R7" i="9"/>
  <c r="Q7" i="9"/>
  <c r="V6" i="9"/>
  <c r="U6" i="9"/>
  <c r="T6" i="9"/>
  <c r="S6" i="9"/>
  <c r="R6" i="9"/>
  <c r="Q6" i="9"/>
  <c r="V5" i="9"/>
  <c r="U5" i="9"/>
  <c r="T5" i="9"/>
  <c r="S5" i="9"/>
  <c r="R5" i="9"/>
  <c r="Q5" i="9"/>
  <c r="Q4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Q90" i="8"/>
  <c r="F75" i="8"/>
  <c r="E75" i="8"/>
  <c r="D75" i="8"/>
  <c r="C75" i="8"/>
  <c r="B75" i="8"/>
  <c r="G74" i="8"/>
  <c r="G73" i="8"/>
  <c r="J68" i="8"/>
  <c r="J67" i="8"/>
  <c r="I66" i="8"/>
  <c r="H66" i="8"/>
  <c r="G66" i="8"/>
  <c r="G66" i="7" s="1"/>
  <c r="F66" i="8"/>
  <c r="F66" i="7" s="1"/>
  <c r="E66" i="8"/>
  <c r="E66" i="7" s="1"/>
  <c r="D66" i="8"/>
  <c r="D66" i="7" s="1"/>
  <c r="C66" i="8"/>
  <c r="C66" i="7" s="1"/>
  <c r="B66" i="8"/>
  <c r="B66" i="7" s="1"/>
  <c r="D65" i="8"/>
  <c r="C65" i="8"/>
  <c r="B65" i="8"/>
  <c r="C64" i="8"/>
  <c r="I63" i="8"/>
  <c r="H63" i="8"/>
  <c r="G63" i="8"/>
  <c r="F63" i="8"/>
  <c r="E63" i="8"/>
  <c r="D62" i="8"/>
  <c r="C62" i="8"/>
  <c r="B62" i="8"/>
  <c r="J61" i="8"/>
  <c r="I60" i="8"/>
  <c r="H60" i="8"/>
  <c r="G60" i="8"/>
  <c r="F60" i="8"/>
  <c r="E60" i="8"/>
  <c r="H53" i="8"/>
  <c r="G51" i="8"/>
  <c r="F51" i="8"/>
  <c r="E51" i="8"/>
  <c r="H48" i="8"/>
  <c r="G48" i="8"/>
  <c r="F48" i="8"/>
  <c r="E48" i="8"/>
  <c r="H45" i="8"/>
  <c r="G45" i="8"/>
  <c r="F45" i="8"/>
  <c r="E45" i="8"/>
  <c r="I42" i="8"/>
  <c r="H42" i="8"/>
  <c r="G42" i="8"/>
  <c r="H39" i="8"/>
  <c r="G39" i="8"/>
  <c r="F39" i="8"/>
  <c r="E39" i="8"/>
  <c r="H36" i="8"/>
  <c r="G36" i="8"/>
  <c r="F36" i="8"/>
  <c r="E36" i="8"/>
  <c r="E43" i="8"/>
  <c r="C23" i="8"/>
  <c r="I20" i="8"/>
  <c r="H20" i="8"/>
  <c r="G20" i="8"/>
  <c r="F20" i="8"/>
  <c r="E20" i="8"/>
  <c r="D20" i="8"/>
  <c r="C20" i="8"/>
  <c r="B20" i="8"/>
  <c r="J19" i="8"/>
  <c r="J18" i="8"/>
  <c r="C14" i="8"/>
  <c r="B14" i="8"/>
  <c r="D12" i="8"/>
  <c r="D11" i="8"/>
  <c r="D10" i="8"/>
  <c r="D9" i="8"/>
  <c r="D8" i="8"/>
  <c r="D7" i="8"/>
  <c r="D6" i="8"/>
  <c r="B25" i="7"/>
  <c r="I24" i="7"/>
  <c r="H24" i="7"/>
  <c r="G24" i="7"/>
  <c r="F24" i="7"/>
  <c r="F42" i="7" s="1"/>
  <c r="E24" i="7"/>
  <c r="D24" i="7"/>
  <c r="C24" i="7"/>
  <c r="B24" i="7"/>
  <c r="G32" i="7"/>
  <c r="H32" i="7"/>
  <c r="F33" i="7"/>
  <c r="G33" i="7"/>
  <c r="E36" i="7"/>
  <c r="G36" i="7"/>
  <c r="H36" i="7"/>
  <c r="F36" i="7"/>
  <c r="E39" i="7"/>
  <c r="F39" i="7"/>
  <c r="G39" i="7"/>
  <c r="H39" i="7"/>
  <c r="G42" i="7"/>
  <c r="H42" i="7"/>
  <c r="I42" i="7"/>
  <c r="E45" i="7"/>
  <c r="F45" i="7"/>
  <c r="G45" i="7"/>
  <c r="H45" i="7"/>
  <c r="E48" i="7"/>
  <c r="G48" i="7"/>
  <c r="H48" i="7"/>
  <c r="F48" i="7"/>
  <c r="E51" i="7"/>
  <c r="G51" i="7"/>
  <c r="F51" i="7"/>
  <c r="H53" i="7"/>
  <c r="E60" i="7"/>
  <c r="F60" i="7"/>
  <c r="G60" i="7"/>
  <c r="H60" i="7"/>
  <c r="I60" i="7"/>
  <c r="J61" i="7"/>
  <c r="E63" i="7"/>
  <c r="F63" i="7"/>
  <c r="G63" i="7"/>
  <c r="H63" i="7"/>
  <c r="I63" i="7"/>
  <c r="I66" i="7"/>
  <c r="J67" i="7"/>
  <c r="H68" i="7"/>
  <c r="J68" i="7" s="1"/>
  <c r="C20" i="7"/>
  <c r="D20" i="7"/>
  <c r="E20" i="7"/>
  <c r="F20" i="7"/>
  <c r="G20" i="7"/>
  <c r="H20" i="7"/>
  <c r="I20" i="7"/>
  <c r="B20" i="7"/>
  <c r="Q90" i="7"/>
  <c r="F75" i="7"/>
  <c r="E75" i="7"/>
  <c r="D75" i="7"/>
  <c r="C75" i="7"/>
  <c r="B75" i="7"/>
  <c r="G74" i="7"/>
  <c r="G73" i="7"/>
  <c r="C23" i="7"/>
  <c r="C25" i="7" s="1"/>
  <c r="J19" i="7"/>
  <c r="J18" i="7"/>
  <c r="C14" i="7"/>
  <c r="B14" i="7"/>
  <c r="G13" i="7"/>
  <c r="F13" i="7"/>
  <c r="G12" i="7"/>
  <c r="F12" i="7"/>
  <c r="D12" i="7"/>
  <c r="G11" i="7"/>
  <c r="F11" i="7"/>
  <c r="H11" i="7" s="1"/>
  <c r="D11" i="7"/>
  <c r="G10" i="7"/>
  <c r="F10" i="7"/>
  <c r="D10" i="7"/>
  <c r="G9" i="7"/>
  <c r="F9" i="7"/>
  <c r="D9" i="7"/>
  <c r="G8" i="7"/>
  <c r="F8" i="7"/>
  <c r="D8" i="7"/>
  <c r="G7" i="7"/>
  <c r="F7" i="7"/>
  <c r="D7" i="7"/>
  <c r="G6" i="7"/>
  <c r="F6" i="7"/>
  <c r="D6" i="7"/>
  <c r="H13" i="7" l="1"/>
  <c r="H9" i="7"/>
  <c r="I9" i="7" s="1"/>
  <c r="H7" i="7"/>
  <c r="H12" i="7"/>
  <c r="I12" i="7" s="1"/>
  <c r="H8" i="7"/>
  <c r="I8" i="7" s="1"/>
  <c r="B33" i="8"/>
  <c r="C32" i="8"/>
  <c r="E32" i="8"/>
  <c r="H51" i="8"/>
  <c r="H35" i="8" s="1"/>
  <c r="H33" i="8"/>
  <c r="C33" i="8"/>
  <c r="B63" i="8"/>
  <c r="G35" i="8"/>
  <c r="G59" i="8"/>
  <c r="I32" i="8"/>
  <c r="I59" i="8"/>
  <c r="J65" i="8"/>
  <c r="E59" i="8"/>
  <c r="G75" i="8"/>
  <c r="D63" i="8"/>
  <c r="D65" i="7"/>
  <c r="D63" i="7" s="1"/>
  <c r="I49" i="7"/>
  <c r="G59" i="7"/>
  <c r="D14" i="8"/>
  <c r="C60" i="8"/>
  <c r="M112" i="9"/>
  <c r="E112" i="9"/>
  <c r="D112" i="9"/>
  <c r="K112" i="9"/>
  <c r="G112" i="9"/>
  <c r="J112" i="9"/>
  <c r="H112" i="9"/>
  <c r="C62" i="7"/>
  <c r="C60" i="7" s="1"/>
  <c r="N112" i="9"/>
  <c r="B60" i="8"/>
  <c r="B59" i="8" s="1"/>
  <c r="B62" i="7"/>
  <c r="B60" i="7" s="1"/>
  <c r="C64" i="7"/>
  <c r="J62" i="8"/>
  <c r="J60" i="8" s="1"/>
  <c r="D62" i="7"/>
  <c r="D60" i="7" s="1"/>
  <c r="J64" i="8"/>
  <c r="F59" i="8"/>
  <c r="B65" i="7"/>
  <c r="C63" i="8"/>
  <c r="C65" i="7"/>
  <c r="J66" i="8"/>
  <c r="J63" i="8"/>
  <c r="H59" i="8"/>
  <c r="G31" i="8"/>
  <c r="H149" i="9"/>
  <c r="E43" i="7"/>
  <c r="J149" i="9"/>
  <c r="K149" i="9"/>
  <c r="D149" i="9"/>
  <c r="E149" i="9"/>
  <c r="M149" i="9"/>
  <c r="G149" i="9"/>
  <c r="N149" i="9"/>
  <c r="O112" i="9"/>
  <c r="J20" i="8"/>
  <c r="J49" i="8"/>
  <c r="O136" i="9"/>
  <c r="W82" i="9"/>
  <c r="W108" i="9"/>
  <c r="W125" i="9"/>
  <c r="W132" i="9"/>
  <c r="W20" i="9"/>
  <c r="W80" i="9"/>
  <c r="W51" i="9"/>
  <c r="W81" i="9"/>
  <c r="W35" i="9"/>
  <c r="W58" i="9"/>
  <c r="W65" i="9"/>
  <c r="T135" i="9"/>
  <c r="W133" i="9"/>
  <c r="W117" i="9"/>
  <c r="T145" i="9"/>
  <c r="T148" i="9"/>
  <c r="W71" i="9"/>
  <c r="W88" i="9"/>
  <c r="W36" i="9"/>
  <c r="W25" i="9"/>
  <c r="W72" i="9"/>
  <c r="W87" i="9"/>
  <c r="W107" i="9"/>
  <c r="W110" i="9"/>
  <c r="W122" i="9"/>
  <c r="W126" i="9"/>
  <c r="V135" i="9"/>
  <c r="W44" i="9"/>
  <c r="W67" i="9"/>
  <c r="W27" i="9"/>
  <c r="W43" i="9"/>
  <c r="W66" i="9"/>
  <c r="W109" i="9"/>
  <c r="W124" i="9"/>
  <c r="W86" i="9"/>
  <c r="W22" i="9"/>
  <c r="W34" i="9"/>
  <c r="W57" i="9"/>
  <c r="W73" i="9"/>
  <c r="W89" i="9"/>
  <c r="W104" i="9"/>
  <c r="U134" i="9"/>
  <c r="W10" i="9"/>
  <c r="W42" i="9"/>
  <c r="W53" i="9"/>
  <c r="W111" i="9"/>
  <c r="U145" i="9"/>
  <c r="U148" i="9"/>
  <c r="U153" i="9"/>
  <c r="W6" i="9"/>
  <c r="W21" i="9"/>
  <c r="W26" i="9"/>
  <c r="W52" i="9"/>
  <c r="W102" i="9"/>
  <c r="W123" i="9"/>
  <c r="S135" i="9"/>
  <c r="S145" i="9"/>
  <c r="O148" i="9"/>
  <c r="O153" i="9"/>
  <c r="V139" i="9"/>
  <c r="V145" i="9"/>
  <c r="V148" i="9"/>
  <c r="V153" i="9"/>
  <c r="U147" i="9"/>
  <c r="U152" i="9"/>
  <c r="W12" i="9"/>
  <c r="O147" i="9"/>
  <c r="O152" i="9"/>
  <c r="W11" i="9"/>
  <c r="V147" i="9"/>
  <c r="S152" i="9"/>
  <c r="V152" i="9"/>
  <c r="T153" i="9"/>
  <c r="W7" i="9"/>
  <c r="T147" i="9"/>
  <c r="T152" i="9"/>
  <c r="W5" i="9"/>
  <c r="T112" i="9"/>
  <c r="T134" i="9"/>
  <c r="U135" i="9"/>
  <c r="S153" i="9"/>
  <c r="U112" i="9"/>
  <c r="W19" i="9"/>
  <c r="V112" i="9"/>
  <c r="V134" i="9"/>
  <c r="S139" i="9"/>
  <c r="S148" i="9"/>
  <c r="O145" i="9"/>
  <c r="T139" i="9"/>
  <c r="S147" i="9"/>
  <c r="S112" i="9"/>
  <c r="S134" i="9"/>
  <c r="U139" i="9"/>
  <c r="O139" i="9"/>
  <c r="F42" i="8"/>
  <c r="F35" i="8" s="1"/>
  <c r="B48" i="8"/>
  <c r="D60" i="8"/>
  <c r="D59" i="8" s="1"/>
  <c r="B51" i="8"/>
  <c r="J24" i="8"/>
  <c r="J43" i="8"/>
  <c r="I12" i="8"/>
  <c r="D23" i="8"/>
  <c r="B26" i="8"/>
  <c r="B42" i="8"/>
  <c r="C26" i="8"/>
  <c r="D14" i="7"/>
  <c r="H10" i="7"/>
  <c r="I10" i="7" s="1"/>
  <c r="I59" i="7"/>
  <c r="E59" i="7"/>
  <c r="F59" i="7"/>
  <c r="B42" i="7"/>
  <c r="C32" i="7"/>
  <c r="H33" i="7"/>
  <c r="G35" i="7"/>
  <c r="B36" i="7"/>
  <c r="J46" i="7"/>
  <c r="D39" i="7"/>
  <c r="J40" i="7"/>
  <c r="B48" i="7"/>
  <c r="F35" i="7"/>
  <c r="J66" i="7"/>
  <c r="C39" i="7"/>
  <c r="B39" i="7"/>
  <c r="B45" i="7"/>
  <c r="C36" i="7"/>
  <c r="F32" i="7"/>
  <c r="B51" i="7"/>
  <c r="H51" i="7"/>
  <c r="H35" i="7" s="1"/>
  <c r="J37" i="7"/>
  <c r="H66" i="7"/>
  <c r="H6" i="7"/>
  <c r="I6" i="7" s="1"/>
  <c r="G75" i="7"/>
  <c r="G14" i="7"/>
  <c r="J20" i="7"/>
  <c r="I7" i="7"/>
  <c r="I13" i="7"/>
  <c r="I11" i="7"/>
  <c r="F14" i="7"/>
  <c r="D23" i="7"/>
  <c r="D25" i="7" s="1"/>
  <c r="B26" i="7"/>
  <c r="C26" i="7"/>
  <c r="J24" i="7"/>
  <c r="H59" i="7" l="1"/>
  <c r="J64" i="7"/>
  <c r="I32" i="7"/>
  <c r="E32" i="7"/>
  <c r="J49" i="7"/>
  <c r="C63" i="7"/>
  <c r="D59" i="7"/>
  <c r="G31" i="7"/>
  <c r="H31" i="8"/>
  <c r="F31" i="8"/>
  <c r="Q35" i="8"/>
  <c r="Q59" i="8"/>
  <c r="R59" i="8"/>
  <c r="J62" i="7"/>
  <c r="J60" i="7" s="1"/>
  <c r="R35" i="8"/>
  <c r="R64" i="8"/>
  <c r="R49" i="8"/>
  <c r="R37" i="8"/>
  <c r="R36" i="8" s="1"/>
  <c r="R61" i="8"/>
  <c r="R56" i="8"/>
  <c r="R43" i="8"/>
  <c r="R42" i="8" s="1"/>
  <c r="R62" i="8"/>
  <c r="R47" i="8"/>
  <c r="R46" i="8"/>
  <c r="R44" i="8"/>
  <c r="R55" i="8"/>
  <c r="R67" i="8"/>
  <c r="R52" i="8"/>
  <c r="R40" i="8"/>
  <c r="R39" i="8" s="1"/>
  <c r="R65" i="8"/>
  <c r="R50" i="8"/>
  <c r="R38" i="8"/>
  <c r="R53" i="8"/>
  <c r="R41" i="8"/>
  <c r="R68" i="8"/>
  <c r="R33" i="8"/>
  <c r="R32" i="8"/>
  <c r="R31" i="8" s="1"/>
  <c r="S33" i="8"/>
  <c r="C59" i="8"/>
  <c r="T120" i="9"/>
  <c r="B33" i="7"/>
  <c r="J59" i="8"/>
  <c r="T121" i="9"/>
  <c r="V121" i="9"/>
  <c r="O120" i="9"/>
  <c r="S120" i="9"/>
  <c r="O106" i="9"/>
  <c r="S106" i="9"/>
  <c r="D113" i="9"/>
  <c r="D114" i="9" s="1"/>
  <c r="D140" i="9"/>
  <c r="N113" i="9"/>
  <c r="N114" i="9" s="1"/>
  <c r="N140" i="9"/>
  <c r="U120" i="9"/>
  <c r="V118" i="9"/>
  <c r="U119" i="9"/>
  <c r="U127" i="9" s="1"/>
  <c r="I141" i="9"/>
  <c r="L113" i="9"/>
  <c r="V103" i="9"/>
  <c r="L140" i="9"/>
  <c r="L112" i="9"/>
  <c r="V105" i="9"/>
  <c r="U118" i="9"/>
  <c r="J136" i="9"/>
  <c r="J141" i="9"/>
  <c r="E141" i="9"/>
  <c r="I113" i="9"/>
  <c r="I140" i="9"/>
  <c r="U103" i="9"/>
  <c r="O118" i="9"/>
  <c r="S118" i="9"/>
  <c r="M141" i="9"/>
  <c r="V120" i="9"/>
  <c r="V106" i="9"/>
  <c r="O119" i="9"/>
  <c r="O127" i="9" s="1"/>
  <c r="C141" i="9"/>
  <c r="S119" i="9"/>
  <c r="J113" i="9"/>
  <c r="J114" i="9" s="1"/>
  <c r="J140" i="9"/>
  <c r="E113" i="9"/>
  <c r="E114" i="9" s="1"/>
  <c r="E140" i="9"/>
  <c r="O103" i="9"/>
  <c r="S103" i="9"/>
  <c r="C140" i="9"/>
  <c r="B63" i="7"/>
  <c r="J65" i="7"/>
  <c r="J63" i="7" s="1"/>
  <c r="J59" i="7" s="1"/>
  <c r="K136" i="9"/>
  <c r="K141" i="9"/>
  <c r="M113" i="9"/>
  <c r="M114" i="9" s="1"/>
  <c r="M140" i="9"/>
  <c r="K113" i="9"/>
  <c r="K114" i="9" s="1"/>
  <c r="K140" i="9"/>
  <c r="U121" i="9"/>
  <c r="T106" i="9"/>
  <c r="T118" i="9"/>
  <c r="U106" i="9"/>
  <c r="D136" i="9"/>
  <c r="D141" i="9"/>
  <c r="F141" i="9"/>
  <c r="T119" i="9"/>
  <c r="T127" i="9" s="1"/>
  <c r="G136" i="9"/>
  <c r="G141" i="9"/>
  <c r="G113" i="9"/>
  <c r="G114" i="9" s="1"/>
  <c r="G140" i="9"/>
  <c r="S105" i="9"/>
  <c r="O105" i="9"/>
  <c r="L141" i="9"/>
  <c r="V119" i="9"/>
  <c r="V127" i="9" s="1"/>
  <c r="N136" i="9"/>
  <c r="N141" i="9"/>
  <c r="H141" i="9"/>
  <c r="F113" i="9"/>
  <c r="F140" i="9"/>
  <c r="T103" i="9"/>
  <c r="H113" i="9"/>
  <c r="H114" i="9" s="1"/>
  <c r="H140" i="9"/>
  <c r="F112" i="9"/>
  <c r="T105" i="9"/>
  <c r="I112" i="9"/>
  <c r="U105" i="9"/>
  <c r="O121" i="9"/>
  <c r="S121" i="9"/>
  <c r="V40" i="9"/>
  <c r="L149" i="9"/>
  <c r="V149" i="9" s="1"/>
  <c r="C51" i="8"/>
  <c r="C53" i="7"/>
  <c r="C83" i="9"/>
  <c r="F149" i="9"/>
  <c r="T149" i="9" s="1"/>
  <c r="T40" i="9"/>
  <c r="C47" i="7"/>
  <c r="D52" i="7"/>
  <c r="C84" i="9"/>
  <c r="U40" i="9"/>
  <c r="I149" i="9"/>
  <c r="U149" i="9" s="1"/>
  <c r="C50" i="7"/>
  <c r="C42" i="8"/>
  <c r="C44" i="7"/>
  <c r="C149" i="9"/>
  <c r="O40" i="9"/>
  <c r="S40" i="9"/>
  <c r="J52" i="8"/>
  <c r="W147" i="9"/>
  <c r="V136" i="9"/>
  <c r="W145" i="9"/>
  <c r="W152" i="9"/>
  <c r="W135" i="9"/>
  <c r="T136" i="9"/>
  <c r="W153" i="9"/>
  <c r="W148" i="9"/>
  <c r="W139" i="9"/>
  <c r="W112" i="9"/>
  <c r="U136" i="9"/>
  <c r="S136" i="9"/>
  <c r="W134" i="9"/>
  <c r="B39" i="8"/>
  <c r="J40" i="8"/>
  <c r="J46" i="8"/>
  <c r="B45" i="8"/>
  <c r="B36" i="8"/>
  <c r="J37" i="8"/>
  <c r="C36" i="8"/>
  <c r="E23" i="8"/>
  <c r="C39" i="8"/>
  <c r="C45" i="8"/>
  <c r="C48" i="8"/>
  <c r="H31" i="7"/>
  <c r="S67" i="7" s="1"/>
  <c r="F31" i="7"/>
  <c r="Q32" i="7" s="1"/>
  <c r="H14" i="7"/>
  <c r="J6" i="7" s="1"/>
  <c r="B35" i="7"/>
  <c r="B32" i="7"/>
  <c r="J43" i="7"/>
  <c r="E23" i="7"/>
  <c r="E25" i="7" s="1"/>
  <c r="Q35" i="7" l="1"/>
  <c r="S35" i="7"/>
  <c r="R55" i="7"/>
  <c r="R56" i="7"/>
  <c r="R49" i="7"/>
  <c r="R52" i="7"/>
  <c r="R41" i="7"/>
  <c r="R38" i="7"/>
  <c r="R53" i="7"/>
  <c r="R37" i="7"/>
  <c r="R36" i="7" s="1"/>
  <c r="R68" i="7"/>
  <c r="R62" i="7"/>
  <c r="R40" i="7"/>
  <c r="R44" i="7"/>
  <c r="R46" i="7"/>
  <c r="R47" i="7"/>
  <c r="R65" i="7"/>
  <c r="R43" i="7"/>
  <c r="R42" i="7" s="1"/>
  <c r="R50" i="7"/>
  <c r="R64" i="7"/>
  <c r="R61" i="7"/>
  <c r="R60" i="7" s="1"/>
  <c r="R33" i="7"/>
  <c r="R67" i="7"/>
  <c r="R32" i="7"/>
  <c r="R31" i="7" s="1"/>
  <c r="B31" i="7"/>
  <c r="M35" i="7"/>
  <c r="S33" i="7"/>
  <c r="C59" i="7"/>
  <c r="R35" i="7"/>
  <c r="Q55" i="7"/>
  <c r="Q56" i="7"/>
  <c r="Q52" i="7"/>
  <c r="Q53" i="7"/>
  <c r="Q37" i="7"/>
  <c r="Q36" i="7" s="1"/>
  <c r="Q68" i="7"/>
  <c r="Q66" i="7" s="1"/>
  <c r="Q46" i="7"/>
  <c r="Q45" i="7" s="1"/>
  <c r="Q62" i="7"/>
  <c r="Q65" i="7"/>
  <c r="Q50" i="7"/>
  <c r="Q44" i="7"/>
  <c r="Q38" i="7"/>
  <c r="Q41" i="7"/>
  <c r="Q43" i="7"/>
  <c r="Q42" i="7" s="1"/>
  <c r="Q49" i="7"/>
  <c r="Q48" i="7" s="1"/>
  <c r="Q47" i="7"/>
  <c r="Q40" i="7"/>
  <c r="Q33" i="7"/>
  <c r="Q31" i="7" s="1"/>
  <c r="Q61" i="7"/>
  <c r="Q67" i="7"/>
  <c r="Q64" i="7"/>
  <c r="Q63" i="7" s="1"/>
  <c r="S52" i="7"/>
  <c r="S51" i="7" s="1"/>
  <c r="S55" i="7"/>
  <c r="S44" i="7"/>
  <c r="S47" i="7"/>
  <c r="S62" i="7"/>
  <c r="S50" i="7"/>
  <c r="S68" i="7"/>
  <c r="S66" i="7" s="1"/>
  <c r="S41" i="7"/>
  <c r="S40" i="7"/>
  <c r="S39" i="7" s="1"/>
  <c r="S56" i="7"/>
  <c r="S43" i="7"/>
  <c r="S42" i="7" s="1"/>
  <c r="S46" i="7"/>
  <c r="S45" i="7" s="1"/>
  <c r="S65" i="7"/>
  <c r="S38" i="7"/>
  <c r="S37" i="7"/>
  <c r="S36" i="7" s="1"/>
  <c r="S49" i="7"/>
  <c r="S48" i="7" s="1"/>
  <c r="S64" i="7"/>
  <c r="S63" i="7" s="1"/>
  <c r="S61" i="7"/>
  <c r="S60" i="7" s="1"/>
  <c r="S32" i="7"/>
  <c r="S53" i="7"/>
  <c r="C51" i="7"/>
  <c r="J14" i="7"/>
  <c r="C48" i="7"/>
  <c r="B59" i="7"/>
  <c r="S59" i="8"/>
  <c r="S38" i="8"/>
  <c r="S65" i="8"/>
  <c r="S40" i="8"/>
  <c r="S52" i="8"/>
  <c r="S67" i="8"/>
  <c r="S55" i="8"/>
  <c r="S37" i="8"/>
  <c r="S41" i="8"/>
  <c r="S68" i="8"/>
  <c r="S64" i="8"/>
  <c r="S63" i="8" s="1"/>
  <c r="S43" i="8"/>
  <c r="S49" i="8"/>
  <c r="S48" i="8" s="1"/>
  <c r="S50" i="8"/>
  <c r="S44" i="8"/>
  <c r="S56" i="8"/>
  <c r="S46" i="8"/>
  <c r="S61" i="8"/>
  <c r="S47" i="8"/>
  <c r="S62" i="8"/>
  <c r="S53" i="8"/>
  <c r="T128" i="9"/>
  <c r="T129" i="9" s="1"/>
  <c r="R51" i="8"/>
  <c r="B35" i="8"/>
  <c r="R66" i="8"/>
  <c r="R60" i="8"/>
  <c r="R54" i="8"/>
  <c r="Q67" i="8"/>
  <c r="Q52" i="8"/>
  <c r="Q51" i="8" s="1"/>
  <c r="Q40" i="8"/>
  <c r="Q37" i="8"/>
  <c r="Q62" i="8"/>
  <c r="Q46" i="8"/>
  <c r="Q65" i="8"/>
  <c r="Q50" i="8"/>
  <c r="Q38" i="8"/>
  <c r="Q64" i="8"/>
  <c r="Q63" i="8" s="1"/>
  <c r="Q49" i="8"/>
  <c r="Q47" i="8"/>
  <c r="Q61" i="8"/>
  <c r="Q60" i="8" s="1"/>
  <c r="Q55" i="8"/>
  <c r="Q43" i="8"/>
  <c r="Q68" i="8"/>
  <c r="Q53" i="8"/>
  <c r="Q41" i="8"/>
  <c r="Q56" i="8"/>
  <c r="Q44" i="8"/>
  <c r="Q32" i="8"/>
  <c r="Q33" i="8"/>
  <c r="R48" i="8"/>
  <c r="S32" i="8"/>
  <c r="S31" i="8" s="1"/>
  <c r="C35" i="8"/>
  <c r="R45" i="8"/>
  <c r="R63" i="8"/>
  <c r="S35" i="8"/>
  <c r="W121" i="9"/>
  <c r="I114" i="9"/>
  <c r="C114" i="9"/>
  <c r="T140" i="9"/>
  <c r="V141" i="9"/>
  <c r="U140" i="9"/>
  <c r="U128" i="9"/>
  <c r="U129" i="9" s="1"/>
  <c r="L114" i="9"/>
  <c r="F114" i="9"/>
  <c r="O140" i="9"/>
  <c r="S140" i="9"/>
  <c r="S127" i="9"/>
  <c r="W119" i="9"/>
  <c r="O128" i="9"/>
  <c r="O129" i="9" s="1"/>
  <c r="V140" i="9"/>
  <c r="H136" i="9"/>
  <c r="W105" i="9"/>
  <c r="S113" i="9"/>
  <c r="W103" i="9"/>
  <c r="S141" i="9"/>
  <c r="O141" i="9"/>
  <c r="V113" i="9"/>
  <c r="V114" i="9" s="1"/>
  <c r="V128" i="9"/>
  <c r="V129" i="9" s="1"/>
  <c r="O113" i="9"/>
  <c r="O114" i="9" s="1"/>
  <c r="W106" i="9"/>
  <c r="T113" i="9"/>
  <c r="T114" i="9" s="1"/>
  <c r="U141" i="9"/>
  <c r="T141" i="9"/>
  <c r="W120" i="9"/>
  <c r="F136" i="9"/>
  <c r="S128" i="9"/>
  <c r="W118" i="9"/>
  <c r="U113" i="9"/>
  <c r="U114" i="9" s="1"/>
  <c r="K142" i="9"/>
  <c r="H142" i="9"/>
  <c r="U68" i="9"/>
  <c r="C91" i="9"/>
  <c r="O84" i="9"/>
  <c r="O90" i="9" s="1"/>
  <c r="S84" i="9"/>
  <c r="C45" i="7"/>
  <c r="U37" i="9"/>
  <c r="I142" i="9"/>
  <c r="J52" i="7"/>
  <c r="D32" i="7"/>
  <c r="F91" i="9"/>
  <c r="T84" i="9"/>
  <c r="T90" i="9" s="1"/>
  <c r="L142" i="9"/>
  <c r="V37" i="9"/>
  <c r="D91" i="9"/>
  <c r="N91" i="9"/>
  <c r="G91" i="9"/>
  <c r="S54" i="9"/>
  <c r="O54" i="9"/>
  <c r="T83" i="9"/>
  <c r="V83" i="9"/>
  <c r="T68" i="9"/>
  <c r="M142" i="9"/>
  <c r="G142" i="9"/>
  <c r="E142" i="9"/>
  <c r="C33" i="7"/>
  <c r="C42" i="7"/>
  <c r="J91" i="9"/>
  <c r="L91" i="9"/>
  <c r="V84" i="9"/>
  <c r="V90" i="9" s="1"/>
  <c r="I91" i="9"/>
  <c r="U84" i="9"/>
  <c r="U90" i="9" s="1"/>
  <c r="T54" i="9"/>
  <c r="U83" i="9"/>
  <c r="V54" i="9"/>
  <c r="V68" i="9"/>
  <c r="E91" i="9"/>
  <c r="U54" i="9"/>
  <c r="O83" i="9"/>
  <c r="S83" i="9"/>
  <c r="J142" i="9"/>
  <c r="N142" i="9"/>
  <c r="F142" i="9"/>
  <c r="T37" i="9"/>
  <c r="K91" i="9"/>
  <c r="M91" i="9"/>
  <c r="W40" i="9"/>
  <c r="D142" i="9"/>
  <c r="S149" i="9"/>
  <c r="W149" i="9" s="1"/>
  <c r="O149" i="9"/>
  <c r="O37" i="9"/>
  <c r="C142" i="9"/>
  <c r="S37" i="9"/>
  <c r="S68" i="9"/>
  <c r="O68" i="9"/>
  <c r="H91" i="9"/>
  <c r="J32" i="8"/>
  <c r="W136" i="9"/>
  <c r="C31" i="8"/>
  <c r="F23" i="8"/>
  <c r="D50" i="8"/>
  <c r="D53" i="8"/>
  <c r="D26" i="8"/>
  <c r="J7" i="7"/>
  <c r="I14" i="7"/>
  <c r="J13" i="7"/>
  <c r="J11" i="7"/>
  <c r="J8" i="7"/>
  <c r="D36" i="7"/>
  <c r="J12" i="7"/>
  <c r="J10" i="7"/>
  <c r="J9" i="7"/>
  <c r="F23" i="7"/>
  <c r="F25" i="7" s="1"/>
  <c r="D26" i="7"/>
  <c r="S54" i="7" l="1"/>
  <c r="M56" i="7"/>
  <c r="M55" i="7"/>
  <c r="M54" i="7" s="1"/>
  <c r="M50" i="7"/>
  <c r="M37" i="7"/>
  <c r="M53" i="7"/>
  <c r="M38" i="7"/>
  <c r="M40" i="7"/>
  <c r="M68" i="7"/>
  <c r="M49" i="7"/>
  <c r="M65" i="7"/>
  <c r="M52" i="7"/>
  <c r="M44" i="7"/>
  <c r="M47" i="7"/>
  <c r="M43" i="7"/>
  <c r="M42" i="7" s="1"/>
  <c r="M62" i="7"/>
  <c r="M41" i="7"/>
  <c r="M46" i="7"/>
  <c r="M67" i="7"/>
  <c r="M66" i="7" s="1"/>
  <c r="M61" i="7"/>
  <c r="M60" i="7" s="1"/>
  <c r="M33" i="7"/>
  <c r="J32" i="7"/>
  <c r="R66" i="7"/>
  <c r="R45" i="7"/>
  <c r="Q60" i="7"/>
  <c r="Q51" i="7"/>
  <c r="R51" i="7"/>
  <c r="M64" i="7"/>
  <c r="M63" i="7" s="1"/>
  <c r="R39" i="7"/>
  <c r="R48" i="7"/>
  <c r="S31" i="7"/>
  <c r="Q39" i="7"/>
  <c r="Q54" i="7"/>
  <c r="M32" i="7"/>
  <c r="R63" i="7"/>
  <c r="R54" i="7"/>
  <c r="S60" i="8"/>
  <c r="S45" i="8"/>
  <c r="I85" i="9"/>
  <c r="J85" i="9"/>
  <c r="K85" i="9"/>
  <c r="D85" i="9"/>
  <c r="L85" i="9"/>
  <c r="E85" i="9"/>
  <c r="E90" i="9" s="1"/>
  <c r="E92" i="9" s="1"/>
  <c r="M85" i="9"/>
  <c r="M90" i="9" s="1"/>
  <c r="M92" i="9" s="1"/>
  <c r="F85" i="9"/>
  <c r="N85" i="9"/>
  <c r="G85" i="9"/>
  <c r="H85" i="9"/>
  <c r="W128" i="9"/>
  <c r="N67" i="8"/>
  <c r="N52" i="8"/>
  <c r="N40" i="8"/>
  <c r="N37" i="8"/>
  <c r="N47" i="8"/>
  <c r="N61" i="8"/>
  <c r="N60" i="8" s="1"/>
  <c r="N50" i="8"/>
  <c r="N38" i="8"/>
  <c r="N49" i="8"/>
  <c r="N46" i="8"/>
  <c r="N55" i="8"/>
  <c r="N43" i="8"/>
  <c r="N68" i="8"/>
  <c r="N53" i="8"/>
  <c r="N41" i="8"/>
  <c r="N56" i="8"/>
  <c r="N44" i="8"/>
  <c r="N42" i="8" s="1"/>
  <c r="N62" i="8"/>
  <c r="N64" i="8"/>
  <c r="N65" i="8"/>
  <c r="N32" i="8"/>
  <c r="N33" i="8"/>
  <c r="S36" i="8"/>
  <c r="Q36" i="8"/>
  <c r="Q66" i="8"/>
  <c r="Q42" i="8"/>
  <c r="D33" i="8"/>
  <c r="N59" i="8"/>
  <c r="S42" i="8"/>
  <c r="Q31" i="8"/>
  <c r="Q54" i="8"/>
  <c r="Q45" i="8"/>
  <c r="N35" i="8"/>
  <c r="S39" i="8"/>
  <c r="S54" i="8"/>
  <c r="S51" i="8"/>
  <c r="S66" i="8"/>
  <c r="Q48" i="8"/>
  <c r="Q39" i="8"/>
  <c r="W141" i="9"/>
  <c r="W113" i="9"/>
  <c r="W114" i="9" s="1"/>
  <c r="S114" i="9"/>
  <c r="W127" i="9"/>
  <c r="S129" i="9"/>
  <c r="W140" i="9"/>
  <c r="C35" i="7"/>
  <c r="D47" i="7"/>
  <c r="T142" i="9"/>
  <c r="D50" i="7"/>
  <c r="V142" i="9"/>
  <c r="W84" i="9"/>
  <c r="S90" i="9"/>
  <c r="W54" i="9"/>
  <c r="U142" i="9"/>
  <c r="W83" i="9"/>
  <c r="W68" i="9"/>
  <c r="D44" i="7"/>
  <c r="W37" i="9"/>
  <c r="G90" i="9"/>
  <c r="G92" i="9" s="1"/>
  <c r="H90" i="9"/>
  <c r="H92" i="9" s="1"/>
  <c r="N90" i="9"/>
  <c r="N92" i="9" s="1"/>
  <c r="K90" i="9"/>
  <c r="K92" i="9" s="1"/>
  <c r="D90" i="9"/>
  <c r="D92" i="9" s="1"/>
  <c r="J90" i="9"/>
  <c r="J92" i="9" s="1"/>
  <c r="D53" i="7"/>
  <c r="C85" i="9"/>
  <c r="O142" i="9"/>
  <c r="S142" i="9"/>
  <c r="E44" i="8"/>
  <c r="E26" i="8"/>
  <c r="D42" i="8"/>
  <c r="B31" i="8"/>
  <c r="M35" i="8" s="1"/>
  <c r="D48" i="8"/>
  <c r="D51" i="8"/>
  <c r="D36" i="8"/>
  <c r="D45" i="8"/>
  <c r="D39" i="8"/>
  <c r="E26" i="7"/>
  <c r="G23" i="7"/>
  <c r="G25" i="7" s="1"/>
  <c r="D51" i="7" l="1"/>
  <c r="M31" i="7"/>
  <c r="M51" i="7"/>
  <c r="M36" i="7"/>
  <c r="C31" i="7"/>
  <c r="M45" i="7"/>
  <c r="M48" i="7"/>
  <c r="D48" i="7"/>
  <c r="M39" i="7"/>
  <c r="W129" i="9"/>
  <c r="E33" i="8"/>
  <c r="D35" i="8"/>
  <c r="N31" i="8"/>
  <c r="M68" i="8"/>
  <c r="M49" i="8"/>
  <c r="M48" i="8" s="1"/>
  <c r="M40" i="8"/>
  <c r="M56" i="8"/>
  <c r="M64" i="8"/>
  <c r="M46" i="8"/>
  <c r="M67" i="8"/>
  <c r="M50" i="8"/>
  <c r="M41" i="8"/>
  <c r="M47" i="8"/>
  <c r="M55" i="8"/>
  <c r="M53" i="8"/>
  <c r="M44" i="8"/>
  <c r="M37" i="8"/>
  <c r="M36" i="8" s="1"/>
  <c r="M38" i="8"/>
  <c r="M61" i="8"/>
  <c r="M43" i="8"/>
  <c r="M42" i="8" s="1"/>
  <c r="M52" i="8"/>
  <c r="M51" i="8" s="1"/>
  <c r="M32" i="8"/>
  <c r="M62" i="8"/>
  <c r="M65" i="8"/>
  <c r="M59" i="8"/>
  <c r="M33" i="8"/>
  <c r="N36" i="8"/>
  <c r="N63" i="8"/>
  <c r="N54" i="8"/>
  <c r="N39" i="8"/>
  <c r="N45" i="8"/>
  <c r="N51" i="8"/>
  <c r="N48" i="8"/>
  <c r="N66" i="8"/>
  <c r="W90" i="9"/>
  <c r="D45" i="7"/>
  <c r="W142" i="9"/>
  <c r="D42" i="7"/>
  <c r="D33" i="7"/>
  <c r="U85" i="9"/>
  <c r="U91" i="9" s="1"/>
  <c r="U92" i="9" s="1"/>
  <c r="I90" i="9"/>
  <c r="I92" i="9" s="1"/>
  <c r="T85" i="9"/>
  <c r="T91" i="9" s="1"/>
  <c r="T92" i="9" s="1"/>
  <c r="F90" i="9"/>
  <c r="F92" i="9" s="1"/>
  <c r="S85" i="9"/>
  <c r="O85" i="9"/>
  <c r="O91" i="9" s="1"/>
  <c r="O92" i="9" s="1"/>
  <c r="C90" i="9"/>
  <c r="C92" i="9" s="1"/>
  <c r="V85" i="9"/>
  <c r="V91" i="9" s="1"/>
  <c r="V92" i="9" s="1"/>
  <c r="L90" i="9"/>
  <c r="L92" i="9" s="1"/>
  <c r="J44" i="8"/>
  <c r="J42" i="8" s="1"/>
  <c r="E150" i="9"/>
  <c r="M150" i="9"/>
  <c r="N150" i="9"/>
  <c r="E44" i="7"/>
  <c r="H150" i="9"/>
  <c r="J150" i="9"/>
  <c r="D150" i="9"/>
  <c r="G150" i="9"/>
  <c r="K150" i="9"/>
  <c r="G26" i="8"/>
  <c r="H23" i="8"/>
  <c r="F26" i="8"/>
  <c r="E42" i="8"/>
  <c r="F26" i="7"/>
  <c r="G26" i="7"/>
  <c r="H23" i="7"/>
  <c r="H25" i="7" s="1"/>
  <c r="N56" i="7" l="1"/>
  <c r="N55" i="7"/>
  <c r="N54" i="7" s="1"/>
  <c r="N46" i="7"/>
  <c r="N62" i="7"/>
  <c r="N49" i="7"/>
  <c r="N37" i="7"/>
  <c r="N36" i="7" s="1"/>
  <c r="N43" i="7"/>
  <c r="N42" i="7" s="1"/>
  <c r="N38" i="7"/>
  <c r="N68" i="7"/>
  <c r="N40" i="7"/>
  <c r="N52" i="7"/>
  <c r="N51" i="7" s="1"/>
  <c r="N41" i="7"/>
  <c r="N67" i="7"/>
  <c r="N66" i="7" s="1"/>
  <c r="N32" i="7"/>
  <c r="N31" i="7" s="1"/>
  <c r="N65" i="7"/>
  <c r="N61" i="7"/>
  <c r="N64" i="7"/>
  <c r="N53" i="7"/>
  <c r="N44" i="7"/>
  <c r="N47" i="7"/>
  <c r="N50" i="7"/>
  <c r="N33" i="7"/>
  <c r="N35" i="7"/>
  <c r="E31" i="8"/>
  <c r="P33" i="8" s="1"/>
  <c r="E35" i="8"/>
  <c r="M60" i="8"/>
  <c r="M31" i="8"/>
  <c r="M54" i="8"/>
  <c r="M39" i="8"/>
  <c r="M66" i="8"/>
  <c r="M45" i="8"/>
  <c r="M63" i="8"/>
  <c r="D35" i="7"/>
  <c r="E42" i="7"/>
  <c r="E35" i="7" s="1"/>
  <c r="E33" i="7"/>
  <c r="W85" i="9"/>
  <c r="S91" i="9"/>
  <c r="I150" i="9"/>
  <c r="U150" i="9" s="1"/>
  <c r="U41" i="9"/>
  <c r="F150" i="9"/>
  <c r="T150" i="9" s="1"/>
  <c r="T41" i="9"/>
  <c r="V41" i="9"/>
  <c r="L150" i="9"/>
  <c r="V150" i="9" s="1"/>
  <c r="C150" i="9"/>
  <c r="O41" i="9"/>
  <c r="S41" i="9"/>
  <c r="J44" i="7"/>
  <c r="J42" i="7" s="1"/>
  <c r="D31" i="8"/>
  <c r="I23" i="8"/>
  <c r="I23" i="7"/>
  <c r="I25" i="7" s="1"/>
  <c r="H26" i="7"/>
  <c r="N48" i="7" l="1"/>
  <c r="D31" i="7"/>
  <c r="O35" i="7"/>
  <c r="N45" i="7"/>
  <c r="N39" i="7"/>
  <c r="E31" i="7"/>
  <c r="P33" i="7" s="1"/>
  <c r="P35" i="7"/>
  <c r="N63" i="7"/>
  <c r="N60" i="7"/>
  <c r="O35" i="8"/>
  <c r="E9" i="9"/>
  <c r="K39" i="9"/>
  <c r="K47" i="9" s="1"/>
  <c r="P35" i="8"/>
  <c r="O61" i="8"/>
  <c r="O46" i="8"/>
  <c r="N55" i="9" s="1"/>
  <c r="O43" i="8"/>
  <c r="L38" i="9" s="1"/>
  <c r="O68" i="8"/>
  <c r="O41" i="8"/>
  <c r="K24" i="9" s="1"/>
  <c r="K30" i="9" s="1"/>
  <c r="O52" i="8"/>
  <c r="O56" i="8"/>
  <c r="O44" i="8"/>
  <c r="J39" i="9" s="1"/>
  <c r="J47" i="9" s="1"/>
  <c r="O55" i="8"/>
  <c r="O67" i="8"/>
  <c r="O40" i="8"/>
  <c r="E23" i="9" s="1"/>
  <c r="O64" i="8"/>
  <c r="O49" i="8"/>
  <c r="G69" i="9" s="1"/>
  <c r="O37" i="8"/>
  <c r="L8" i="9" s="1"/>
  <c r="O47" i="8"/>
  <c r="N56" i="9" s="1"/>
  <c r="N61" i="9" s="1"/>
  <c r="O32" i="8"/>
  <c r="O38" i="8"/>
  <c r="L9" i="9" s="1"/>
  <c r="O65" i="8"/>
  <c r="O62" i="8"/>
  <c r="O59" i="8"/>
  <c r="O53" i="8"/>
  <c r="O50" i="8"/>
  <c r="D70" i="9" s="1"/>
  <c r="D76" i="9" s="1"/>
  <c r="O33" i="8"/>
  <c r="P62" i="8"/>
  <c r="P47" i="8"/>
  <c r="P56" i="8"/>
  <c r="P55" i="8"/>
  <c r="P54" i="8" s="1"/>
  <c r="P68" i="8"/>
  <c r="P41" i="8"/>
  <c r="P61" i="8"/>
  <c r="P60" i="8" s="1"/>
  <c r="P46" i="8"/>
  <c r="P45" i="8" s="1"/>
  <c r="P53" i="8"/>
  <c r="P65" i="8"/>
  <c r="P50" i="8"/>
  <c r="P38" i="8"/>
  <c r="P64" i="8"/>
  <c r="P63" i="8" s="1"/>
  <c r="P49" i="8"/>
  <c r="P37" i="8"/>
  <c r="P36" i="8" s="1"/>
  <c r="P67" i="8"/>
  <c r="P66" i="8" s="1"/>
  <c r="P52" i="8"/>
  <c r="P51" i="8" s="1"/>
  <c r="P40" i="8"/>
  <c r="P43" i="8"/>
  <c r="P59" i="8"/>
  <c r="P32" i="8"/>
  <c r="P31" i="8" s="1"/>
  <c r="P44" i="8"/>
  <c r="W41" i="9"/>
  <c r="W91" i="9"/>
  <c r="W92" i="9" s="1"/>
  <c r="S92" i="9"/>
  <c r="O150" i="9"/>
  <c r="S150" i="9"/>
  <c r="W150" i="9" s="1"/>
  <c r="I50" i="8"/>
  <c r="I47" i="8"/>
  <c r="I53" i="8"/>
  <c r="I26" i="8"/>
  <c r="H26" i="8"/>
  <c r="J25" i="8"/>
  <c r="I26" i="7"/>
  <c r="J25" i="7"/>
  <c r="O56" i="7" l="1"/>
  <c r="O55" i="7"/>
  <c r="O54" i="7" s="1"/>
  <c r="O46" i="7"/>
  <c r="O49" i="7"/>
  <c r="O37" i="7"/>
  <c r="O36" i="7" s="1"/>
  <c r="O40" i="7"/>
  <c r="O39" i="7" s="1"/>
  <c r="O68" i="7"/>
  <c r="O66" i="7" s="1"/>
  <c r="O62" i="7"/>
  <c r="O65" i="7"/>
  <c r="O43" i="7"/>
  <c r="O42" i="7" s="1"/>
  <c r="O41" i="7"/>
  <c r="O38" i="7"/>
  <c r="O67" i="7"/>
  <c r="O61" i="7"/>
  <c r="O64" i="7"/>
  <c r="O63" i="7" s="1"/>
  <c r="O52" i="7"/>
  <c r="O32" i="7"/>
  <c r="O44" i="7"/>
  <c r="O53" i="7"/>
  <c r="O50" i="7"/>
  <c r="O47" i="7"/>
  <c r="O33" i="7"/>
  <c r="P56" i="7"/>
  <c r="P55" i="7"/>
  <c r="P38" i="7"/>
  <c r="P50" i="7"/>
  <c r="P40" i="7"/>
  <c r="P41" i="7"/>
  <c r="P65" i="7"/>
  <c r="P62" i="7"/>
  <c r="P68" i="7"/>
  <c r="P37" i="7"/>
  <c r="P53" i="7"/>
  <c r="P47" i="7"/>
  <c r="P46" i="7"/>
  <c r="P45" i="7" s="1"/>
  <c r="P49" i="7"/>
  <c r="P52" i="7"/>
  <c r="P51" i="7" s="1"/>
  <c r="P67" i="7"/>
  <c r="P64" i="7"/>
  <c r="P61" i="7"/>
  <c r="P43" i="7"/>
  <c r="P32" i="7"/>
  <c r="P31" i="7" s="1"/>
  <c r="P44" i="7"/>
  <c r="C69" i="9"/>
  <c r="M24" i="9"/>
  <c r="M30" i="9" s="1"/>
  <c r="H23" i="9"/>
  <c r="L24" i="9"/>
  <c r="D8" i="9"/>
  <c r="C38" i="9"/>
  <c r="E38" i="9"/>
  <c r="G8" i="9"/>
  <c r="C23" i="9"/>
  <c r="H69" i="9"/>
  <c r="N38" i="9"/>
  <c r="E24" i="9"/>
  <c r="E30" i="9" s="1"/>
  <c r="J38" i="9"/>
  <c r="J24" i="9"/>
  <c r="J30" i="9" s="1"/>
  <c r="F38" i="9"/>
  <c r="T38" i="9" s="1"/>
  <c r="H8" i="9"/>
  <c r="G38" i="9"/>
  <c r="H38" i="9"/>
  <c r="M69" i="9"/>
  <c r="N24" i="9"/>
  <c r="N30" i="9" s="1"/>
  <c r="J69" i="9"/>
  <c r="E8" i="9"/>
  <c r="C8" i="9"/>
  <c r="N69" i="9"/>
  <c r="I8" i="9"/>
  <c r="I23" i="9"/>
  <c r="K9" i="9"/>
  <c r="K15" i="9" s="1"/>
  <c r="N39" i="9"/>
  <c r="N47" i="9" s="1"/>
  <c r="F69" i="9"/>
  <c r="E69" i="9"/>
  <c r="F24" i="9"/>
  <c r="F30" i="9" s="1"/>
  <c r="I24" i="9"/>
  <c r="I30" i="9" s="1"/>
  <c r="C24" i="9"/>
  <c r="G24" i="9"/>
  <c r="G30" i="9" s="1"/>
  <c r="C70" i="9"/>
  <c r="C76" i="9" s="1"/>
  <c r="N8" i="9"/>
  <c r="I38" i="9"/>
  <c r="L15" i="9"/>
  <c r="O60" i="8"/>
  <c r="J56" i="9"/>
  <c r="J61" i="9" s="1"/>
  <c r="C39" i="9"/>
  <c r="M38" i="9"/>
  <c r="M9" i="9"/>
  <c r="D38" i="9"/>
  <c r="D9" i="9"/>
  <c r="F56" i="9"/>
  <c r="L39" i="9"/>
  <c r="G39" i="9"/>
  <c r="G47" i="9" s="1"/>
  <c r="K8" i="9"/>
  <c r="F23" i="9"/>
  <c r="E70" i="9"/>
  <c r="E76" i="9" s="1"/>
  <c r="M39" i="9"/>
  <c r="M47" i="9" s="1"/>
  <c r="E39" i="9"/>
  <c r="E47" i="9" s="1"/>
  <c r="M55" i="9"/>
  <c r="E15" i="9"/>
  <c r="C55" i="9"/>
  <c r="I55" i="9"/>
  <c r="E55" i="9"/>
  <c r="N9" i="9"/>
  <c r="H56" i="9"/>
  <c r="H61" i="9" s="1"/>
  <c r="G56" i="9"/>
  <c r="G61" i="9" s="1"/>
  <c r="G70" i="9"/>
  <c r="G76" i="9" s="1"/>
  <c r="M56" i="9"/>
  <c r="M61" i="9" s="1"/>
  <c r="J9" i="9"/>
  <c r="F39" i="9"/>
  <c r="I9" i="9"/>
  <c r="K70" i="9"/>
  <c r="K76" i="9" s="1"/>
  <c r="C9" i="9"/>
  <c r="F9" i="9"/>
  <c r="K55" i="9"/>
  <c r="J55" i="9"/>
  <c r="F8" i="9"/>
  <c r="E56" i="9"/>
  <c r="E61" i="9" s="1"/>
  <c r="M8" i="9"/>
  <c r="K56" i="9"/>
  <c r="K61" i="9" s="1"/>
  <c r="G9" i="9"/>
  <c r="I56" i="9"/>
  <c r="H9" i="9"/>
  <c r="H55" i="9"/>
  <c r="L56" i="9"/>
  <c r="T69" i="9"/>
  <c r="O36" i="8"/>
  <c r="L55" i="9"/>
  <c r="F55" i="9"/>
  <c r="E143" i="9"/>
  <c r="J8" i="9"/>
  <c r="I70" i="9"/>
  <c r="H70" i="9"/>
  <c r="H76" i="9" s="1"/>
  <c r="H39" i="9"/>
  <c r="H47" i="9" s="1"/>
  <c r="L30" i="9"/>
  <c r="N70" i="9"/>
  <c r="N76" i="9" s="1"/>
  <c r="D56" i="9"/>
  <c r="D61" i="9" s="1"/>
  <c r="O48" i="8"/>
  <c r="D39" i="9"/>
  <c r="D47" i="9" s="1"/>
  <c r="H24" i="9"/>
  <c r="H30" i="9" s="1"/>
  <c r="D55" i="9"/>
  <c r="J23" i="9"/>
  <c r="L69" i="9"/>
  <c r="I39" i="9"/>
  <c r="K69" i="9"/>
  <c r="K38" i="9"/>
  <c r="L23" i="9"/>
  <c r="D24" i="9"/>
  <c r="D30" i="9" s="1"/>
  <c r="F70" i="9"/>
  <c r="G55" i="9"/>
  <c r="M23" i="9"/>
  <c r="L70" i="9"/>
  <c r="C30" i="9"/>
  <c r="O63" i="8"/>
  <c r="C56" i="9"/>
  <c r="K23" i="9"/>
  <c r="J70" i="9"/>
  <c r="J76" i="9" s="1"/>
  <c r="D69" i="9"/>
  <c r="D23" i="9"/>
  <c r="D143" i="9" s="1"/>
  <c r="G23" i="9"/>
  <c r="I69" i="9"/>
  <c r="N23" i="9"/>
  <c r="M70" i="9"/>
  <c r="M76" i="9" s="1"/>
  <c r="O51" i="8"/>
  <c r="I33" i="8"/>
  <c r="J33" i="8" s="1"/>
  <c r="O39" i="8"/>
  <c r="O42" i="8"/>
  <c r="P42" i="8"/>
  <c r="P48" i="8"/>
  <c r="O66" i="8"/>
  <c r="O45" i="8"/>
  <c r="P39" i="8"/>
  <c r="O54" i="8"/>
  <c r="O31" i="8"/>
  <c r="I53" i="7"/>
  <c r="I50" i="7"/>
  <c r="I47" i="7"/>
  <c r="J26" i="8"/>
  <c r="H27" i="8" s="1"/>
  <c r="I39" i="8"/>
  <c r="J41" i="8"/>
  <c r="J39" i="8" s="1"/>
  <c r="I45" i="8"/>
  <c r="J47" i="8"/>
  <c r="J45" i="8" s="1"/>
  <c r="I36" i="8"/>
  <c r="J38" i="8"/>
  <c r="J36" i="8" s="1"/>
  <c r="I51" i="8"/>
  <c r="J53" i="8"/>
  <c r="J51" i="8" s="1"/>
  <c r="I48" i="8"/>
  <c r="J50" i="8"/>
  <c r="J48" i="8" s="1"/>
  <c r="I36" i="7"/>
  <c r="J38" i="7"/>
  <c r="J36" i="7" s="1"/>
  <c r="I39" i="7"/>
  <c r="J41" i="7"/>
  <c r="J39" i="7" s="1"/>
  <c r="J26" i="7"/>
  <c r="P39" i="7" l="1"/>
  <c r="P48" i="7"/>
  <c r="O45" i="7"/>
  <c r="P42" i="7"/>
  <c r="P60" i="7"/>
  <c r="P36" i="7"/>
  <c r="P54" i="7"/>
  <c r="O31" i="7"/>
  <c r="I48" i="7"/>
  <c r="I51" i="7"/>
  <c r="O48" i="7"/>
  <c r="I45" i="7"/>
  <c r="P63" i="7"/>
  <c r="P66" i="7"/>
  <c r="O51" i="7"/>
  <c r="O60" i="7"/>
  <c r="J47" i="7"/>
  <c r="J45" i="7" s="1"/>
  <c r="S8" i="9"/>
  <c r="V8" i="9"/>
  <c r="S69" i="9"/>
  <c r="S38" i="9"/>
  <c r="U24" i="9"/>
  <c r="U30" i="9" s="1"/>
  <c r="V23" i="9"/>
  <c r="O24" i="9"/>
  <c r="O30" i="9" s="1"/>
  <c r="H143" i="9"/>
  <c r="G143" i="9"/>
  <c r="C143" i="9"/>
  <c r="S143" i="9" s="1"/>
  <c r="S24" i="9"/>
  <c r="E144" i="9"/>
  <c r="E155" i="9" s="1"/>
  <c r="T23" i="9"/>
  <c r="K143" i="9"/>
  <c r="V24" i="9"/>
  <c r="V30" i="9" s="1"/>
  <c r="S70" i="9"/>
  <c r="S76" i="9" s="1"/>
  <c r="U23" i="9"/>
  <c r="N143" i="9"/>
  <c r="T24" i="9"/>
  <c r="T30" i="9" s="1"/>
  <c r="L61" i="9"/>
  <c r="V56" i="9"/>
  <c r="V61" i="9" s="1"/>
  <c r="G15" i="9"/>
  <c r="G144" i="9"/>
  <c r="G155" i="9" s="1"/>
  <c r="I61" i="9"/>
  <c r="U56" i="9"/>
  <c r="U61" i="9" s="1"/>
  <c r="T8" i="9"/>
  <c r="F143" i="9"/>
  <c r="U55" i="9"/>
  <c r="M15" i="9"/>
  <c r="M144" i="9"/>
  <c r="M155" i="9" s="1"/>
  <c r="L143" i="9"/>
  <c r="O55" i="9"/>
  <c r="O61" i="9" s="1"/>
  <c r="S55" i="9"/>
  <c r="C47" i="9"/>
  <c r="S39" i="9"/>
  <c r="O39" i="9"/>
  <c r="O47" i="9" s="1"/>
  <c r="L144" i="9"/>
  <c r="U69" i="9"/>
  <c r="S30" i="9"/>
  <c r="W30" i="9" s="1"/>
  <c r="I15" i="9"/>
  <c r="U9" i="9"/>
  <c r="U15" i="9" s="1"/>
  <c r="I144" i="9"/>
  <c r="L76" i="9"/>
  <c r="V70" i="9"/>
  <c r="V76" i="9" s="1"/>
  <c r="I47" i="9"/>
  <c r="U39" i="9"/>
  <c r="U47" i="9" s="1"/>
  <c r="V55" i="9"/>
  <c r="S23" i="9"/>
  <c r="U38" i="9"/>
  <c r="F15" i="9"/>
  <c r="T9" i="9"/>
  <c r="T15" i="9" s="1"/>
  <c r="F144" i="9"/>
  <c r="J15" i="9"/>
  <c r="J144" i="9"/>
  <c r="J155" i="9" s="1"/>
  <c r="L47" i="9"/>
  <c r="V39" i="9"/>
  <c r="V47" i="9" s="1"/>
  <c r="V9" i="9"/>
  <c r="V15" i="9" s="1"/>
  <c r="O8" i="9"/>
  <c r="K144" i="9"/>
  <c r="K155" i="9" s="1"/>
  <c r="F61" i="9"/>
  <c r="T56" i="9"/>
  <c r="T61" i="9" s="1"/>
  <c r="T55" i="9"/>
  <c r="O23" i="9"/>
  <c r="O69" i="9"/>
  <c r="N15" i="9"/>
  <c r="N144" i="9"/>
  <c r="N155" i="9" s="1"/>
  <c r="H15" i="9"/>
  <c r="H144" i="9"/>
  <c r="H155" i="9" s="1"/>
  <c r="J143" i="9"/>
  <c r="I143" i="9"/>
  <c r="M143" i="9"/>
  <c r="D15" i="9"/>
  <c r="D144" i="9"/>
  <c r="D155" i="9" s="1"/>
  <c r="F47" i="9"/>
  <c r="T39" i="9"/>
  <c r="T47" i="9" s="1"/>
  <c r="V69" i="9"/>
  <c r="I76" i="9"/>
  <c r="U70" i="9"/>
  <c r="U76" i="9" s="1"/>
  <c r="C61" i="9"/>
  <c r="O56" i="9"/>
  <c r="S56" i="9"/>
  <c r="F76" i="9"/>
  <c r="T70" i="9"/>
  <c r="T76" i="9" s="1"/>
  <c r="O38" i="9"/>
  <c r="O70" i="9"/>
  <c r="O76" i="9" s="1"/>
  <c r="U8" i="9"/>
  <c r="C15" i="9"/>
  <c r="O9" i="9"/>
  <c r="O15" i="9" s="1"/>
  <c r="S9" i="9"/>
  <c r="C144" i="9"/>
  <c r="V38" i="9"/>
  <c r="I35" i="8"/>
  <c r="J50" i="7"/>
  <c r="J48" i="7" s="1"/>
  <c r="J53" i="7"/>
  <c r="J51" i="7" s="1"/>
  <c r="I33" i="7"/>
  <c r="C27" i="8"/>
  <c r="B27" i="8"/>
  <c r="D27" i="8"/>
  <c r="E27" i="8"/>
  <c r="F27" i="8"/>
  <c r="G27" i="8"/>
  <c r="I27" i="8"/>
  <c r="I35" i="7"/>
  <c r="C27" i="7"/>
  <c r="B27" i="7"/>
  <c r="D27" i="7"/>
  <c r="E27" i="7"/>
  <c r="G27" i="7"/>
  <c r="F27" i="7"/>
  <c r="H27" i="7"/>
  <c r="I27" i="7"/>
  <c r="J33" i="7" l="1"/>
  <c r="T33" i="7"/>
  <c r="U143" i="9"/>
  <c r="W24" i="9"/>
  <c r="T143" i="9"/>
  <c r="W23" i="9"/>
  <c r="W69" i="9"/>
  <c r="W8" i="9"/>
  <c r="S61" i="9"/>
  <c r="W61" i="9" s="1"/>
  <c r="W56" i="9"/>
  <c r="W55" i="9"/>
  <c r="U144" i="9"/>
  <c r="U155" i="9" s="1"/>
  <c r="I155" i="9"/>
  <c r="V144" i="9"/>
  <c r="V155" i="9" s="1"/>
  <c r="L155" i="9"/>
  <c r="V143" i="9"/>
  <c r="W76" i="9"/>
  <c r="O143" i="9"/>
  <c r="O144" i="9"/>
  <c r="O155" i="9" s="1"/>
  <c r="S144" i="9"/>
  <c r="C155" i="9"/>
  <c r="W70" i="9"/>
  <c r="W39" i="9"/>
  <c r="S47" i="9"/>
  <c r="W47" i="9" s="1"/>
  <c r="W9" i="9"/>
  <c r="S15" i="9"/>
  <c r="W15" i="9" s="1"/>
  <c r="T144" i="9"/>
  <c r="T155" i="9" s="1"/>
  <c r="F155" i="9"/>
  <c r="W38" i="9"/>
  <c r="J35" i="8"/>
  <c r="J31" i="8" s="1"/>
  <c r="I31" i="8"/>
  <c r="I31" i="7"/>
  <c r="J35" i="7"/>
  <c r="J31" i="7" s="1"/>
  <c r="W143" i="9" l="1"/>
  <c r="T56" i="7"/>
  <c r="T55" i="7"/>
  <c r="T54" i="7" s="1"/>
  <c r="T40" i="7"/>
  <c r="T46" i="7"/>
  <c r="T65" i="7"/>
  <c r="T62" i="7"/>
  <c r="T68" i="7"/>
  <c r="T37" i="7"/>
  <c r="T36" i="7" s="1"/>
  <c r="T43" i="7"/>
  <c r="T44" i="7"/>
  <c r="T52" i="7"/>
  <c r="T38" i="7"/>
  <c r="T41" i="7"/>
  <c r="T67" i="7"/>
  <c r="T64" i="7"/>
  <c r="T63" i="7" s="1"/>
  <c r="T61" i="7"/>
  <c r="T60" i="7" s="1"/>
  <c r="T49" i="7"/>
  <c r="T32" i="7"/>
  <c r="T31" i="7" s="1"/>
  <c r="T50" i="7"/>
  <c r="T53" i="7"/>
  <c r="T47" i="7"/>
  <c r="T35" i="7"/>
  <c r="W144" i="9"/>
  <c r="S155" i="9"/>
  <c r="W155" i="9" s="1"/>
  <c r="K74" i="9"/>
  <c r="K75" i="9" s="1"/>
  <c r="K77" i="9" s="1"/>
  <c r="D74" i="9"/>
  <c r="D75" i="9" s="1"/>
  <c r="D77" i="9" s="1"/>
  <c r="T55" i="8"/>
  <c r="T43" i="8"/>
  <c r="L45" i="9" s="1"/>
  <c r="T52" i="8"/>
  <c r="T37" i="8"/>
  <c r="C13" i="9" s="1"/>
  <c r="T62" i="8"/>
  <c r="T68" i="8"/>
  <c r="T40" i="8"/>
  <c r="F28" i="9" s="1"/>
  <c r="T67" i="8"/>
  <c r="T65" i="8"/>
  <c r="T64" i="8"/>
  <c r="T61" i="8"/>
  <c r="T46" i="8"/>
  <c r="E59" i="9" s="1"/>
  <c r="E60" i="9" s="1"/>
  <c r="E62" i="9" s="1"/>
  <c r="T56" i="8"/>
  <c r="T44" i="8"/>
  <c r="T38" i="8"/>
  <c r="T41" i="8"/>
  <c r="T49" i="8"/>
  <c r="I74" i="9" s="1"/>
  <c r="T32" i="8"/>
  <c r="T53" i="8"/>
  <c r="T47" i="8"/>
  <c r="T50" i="8"/>
  <c r="T33" i="8"/>
  <c r="T35" i="8"/>
  <c r="G5" i="5"/>
  <c r="G4" i="5"/>
  <c r="K6" i="1"/>
  <c r="K7" i="1"/>
  <c r="K8" i="1"/>
  <c r="K9" i="1"/>
  <c r="K10" i="1"/>
  <c r="K11" i="1"/>
  <c r="K12" i="1"/>
  <c r="K13" i="1"/>
  <c r="G5" i="6"/>
  <c r="G4" i="6"/>
  <c r="G3" i="6"/>
  <c r="H26" i="3"/>
  <c r="G26" i="3"/>
  <c r="T66" i="7" l="1"/>
  <c r="T59" i="7" s="1"/>
  <c r="T51" i="7"/>
  <c r="T45" i="7"/>
  <c r="T39" i="7"/>
  <c r="T48" i="7"/>
  <c r="T42" i="7"/>
  <c r="G6" i="6"/>
  <c r="N59" i="9"/>
  <c r="N60" i="9" s="1"/>
  <c r="N62" i="9" s="1"/>
  <c r="L59" i="9"/>
  <c r="J59" i="9"/>
  <c r="J60" i="9" s="1"/>
  <c r="J62" i="9" s="1"/>
  <c r="I59" i="9"/>
  <c r="C74" i="9"/>
  <c r="F74" i="9"/>
  <c r="F75" i="9" s="1"/>
  <c r="F77" i="9" s="1"/>
  <c r="E45" i="9"/>
  <c r="E46" i="9" s="1"/>
  <c r="E48" i="9" s="1"/>
  <c r="N74" i="9"/>
  <c r="N75" i="9" s="1"/>
  <c r="N77" i="9" s="1"/>
  <c r="L74" i="9"/>
  <c r="L75" i="9" s="1"/>
  <c r="L77" i="9" s="1"/>
  <c r="I45" i="9"/>
  <c r="I46" i="9" s="1"/>
  <c r="I48" i="9" s="1"/>
  <c r="H45" i="9"/>
  <c r="H46" i="9" s="1"/>
  <c r="H48" i="9" s="1"/>
  <c r="M45" i="9"/>
  <c r="M46" i="9" s="1"/>
  <c r="M48" i="9" s="1"/>
  <c r="K45" i="9"/>
  <c r="K46" i="9" s="1"/>
  <c r="K48" i="9" s="1"/>
  <c r="C45" i="9"/>
  <c r="C46" i="9" s="1"/>
  <c r="C48" i="9" s="1"/>
  <c r="G45" i="9"/>
  <c r="G46" i="9" s="1"/>
  <c r="G48" i="9" s="1"/>
  <c r="M74" i="9"/>
  <c r="M75" i="9" s="1"/>
  <c r="M77" i="9" s="1"/>
  <c r="J45" i="9"/>
  <c r="J46" i="9" s="1"/>
  <c r="J48" i="9" s="1"/>
  <c r="H74" i="9"/>
  <c r="H75" i="9" s="1"/>
  <c r="H77" i="9" s="1"/>
  <c r="G74" i="9"/>
  <c r="G75" i="9" s="1"/>
  <c r="G77" i="9" s="1"/>
  <c r="N45" i="9"/>
  <c r="N46" i="9" s="1"/>
  <c r="N48" i="9" s="1"/>
  <c r="D59" i="9"/>
  <c r="D60" i="9" s="1"/>
  <c r="D62" i="9" s="1"/>
  <c r="D45" i="9"/>
  <c r="D46" i="9" s="1"/>
  <c r="D48" i="9" s="1"/>
  <c r="F45" i="9"/>
  <c r="T45" i="9" s="1"/>
  <c r="T46" i="9" s="1"/>
  <c r="T48" i="9" s="1"/>
  <c r="F59" i="9"/>
  <c r="F60" i="9" s="1"/>
  <c r="F62" i="9" s="1"/>
  <c r="J74" i="9"/>
  <c r="J75" i="9" s="1"/>
  <c r="J77" i="9" s="1"/>
  <c r="L46" i="9"/>
  <c r="L48" i="9" s="1"/>
  <c r="U74" i="9"/>
  <c r="U75" i="9" s="1"/>
  <c r="U77" i="9" s="1"/>
  <c r="I75" i="9"/>
  <c r="I77" i="9" s="1"/>
  <c r="L60" i="9"/>
  <c r="L62" i="9" s="1"/>
  <c r="C75" i="9"/>
  <c r="C77" i="9" s="1"/>
  <c r="I60" i="9"/>
  <c r="I62" i="9" s="1"/>
  <c r="C59" i="9"/>
  <c r="E74" i="9"/>
  <c r="E75" i="9" s="1"/>
  <c r="E77" i="9" s="1"/>
  <c r="M59" i="9"/>
  <c r="M60" i="9" s="1"/>
  <c r="M62" i="9" s="1"/>
  <c r="K59" i="9"/>
  <c r="K60" i="9" s="1"/>
  <c r="K62" i="9" s="1"/>
  <c r="G59" i="9"/>
  <c r="G60" i="9" s="1"/>
  <c r="G62" i="9" s="1"/>
  <c r="H59" i="9"/>
  <c r="H60" i="9" s="1"/>
  <c r="H62" i="9" s="1"/>
  <c r="D28" i="9"/>
  <c r="D29" i="9" s="1"/>
  <c r="D31" i="9" s="1"/>
  <c r="T63" i="8"/>
  <c r="K13" i="9"/>
  <c r="K14" i="9" s="1"/>
  <c r="K16" i="9" s="1"/>
  <c r="T42" i="8"/>
  <c r="L28" i="9"/>
  <c r="L29" i="9" s="1"/>
  <c r="L31" i="9" s="1"/>
  <c r="M13" i="9"/>
  <c r="E13" i="9"/>
  <c r="E14" i="9" s="1"/>
  <c r="E16" i="9" s="1"/>
  <c r="T51" i="8"/>
  <c r="J28" i="9"/>
  <c r="J29" i="9" s="1"/>
  <c r="J31" i="9" s="1"/>
  <c r="H28" i="9"/>
  <c r="H29" i="9" s="1"/>
  <c r="H31" i="9" s="1"/>
  <c r="G13" i="9"/>
  <c r="G14" i="9" s="1"/>
  <c r="G16" i="9" s="1"/>
  <c r="C14" i="9"/>
  <c r="C16" i="9" s="1"/>
  <c r="F29" i="9"/>
  <c r="F31" i="9" s="1"/>
  <c r="M14" i="9"/>
  <c r="M16" i="9" s="1"/>
  <c r="C28" i="9"/>
  <c r="E28" i="9"/>
  <c r="E29" i="9" s="1"/>
  <c r="E31" i="9" s="1"/>
  <c r="J13" i="9"/>
  <c r="H13" i="9"/>
  <c r="L13" i="9"/>
  <c r="G28" i="9"/>
  <c r="G29" i="9" s="1"/>
  <c r="G31" i="9" s="1"/>
  <c r="N13" i="9"/>
  <c r="D13" i="9"/>
  <c r="I13" i="9"/>
  <c r="F13" i="9"/>
  <c r="I28" i="9"/>
  <c r="N28" i="9"/>
  <c r="N29" i="9" s="1"/>
  <c r="N31" i="9" s="1"/>
  <c r="T66" i="8"/>
  <c r="K28" i="9"/>
  <c r="K29" i="9" s="1"/>
  <c r="K31" i="9" s="1"/>
  <c r="M28" i="9"/>
  <c r="M29" i="9" s="1"/>
  <c r="M31" i="9" s="1"/>
  <c r="T39" i="8"/>
  <c r="T45" i="8"/>
  <c r="T36" i="8"/>
  <c r="T60" i="8"/>
  <c r="T31" i="8"/>
  <c r="T48" i="8"/>
  <c r="T54" i="8"/>
  <c r="G8" i="6"/>
  <c r="G9" i="6"/>
  <c r="O12" i="4"/>
  <c r="G34" i="3"/>
  <c r="E29" i="3"/>
  <c r="D29" i="3"/>
  <c r="Z14" i="3"/>
  <c r="Y14" i="3"/>
  <c r="F28" i="3"/>
  <c r="F27" i="3"/>
  <c r="AB12" i="3"/>
  <c r="F26" i="3"/>
  <c r="AB11" i="3"/>
  <c r="F25" i="3"/>
  <c r="AB10" i="3"/>
  <c r="F24" i="3"/>
  <c r="AB9" i="3"/>
  <c r="F23" i="3"/>
  <c r="AB8" i="3"/>
  <c r="F22" i="3"/>
  <c r="AB7" i="3"/>
  <c r="F21" i="3"/>
  <c r="AB6" i="3"/>
  <c r="F14" i="3"/>
  <c r="T7" i="3" s="1"/>
  <c r="E14" i="3"/>
  <c r="T6" i="3" s="1"/>
  <c r="D14" i="3"/>
  <c r="K13" i="3"/>
  <c r="I13" i="3"/>
  <c r="G13" i="3"/>
  <c r="K12" i="3"/>
  <c r="I12" i="3"/>
  <c r="G12" i="3"/>
  <c r="K11" i="3"/>
  <c r="I11" i="3"/>
  <c r="G11" i="3"/>
  <c r="K10" i="3"/>
  <c r="I10" i="3"/>
  <c r="G10" i="3"/>
  <c r="K9" i="3"/>
  <c r="I9" i="3"/>
  <c r="G9" i="3"/>
  <c r="J8" i="3"/>
  <c r="J14" i="3" s="1"/>
  <c r="I8" i="3"/>
  <c r="G8" i="3"/>
  <c r="L7" i="3"/>
  <c r="L8" i="3" s="1"/>
  <c r="L9" i="3" s="1"/>
  <c r="K7" i="3"/>
  <c r="M7" i="3" s="1"/>
  <c r="I7" i="3"/>
  <c r="N7" i="3" s="1"/>
  <c r="AA7" i="3" s="1"/>
  <c r="AC7" i="3" s="1"/>
  <c r="G7" i="3"/>
  <c r="K6" i="3"/>
  <c r="I6" i="3"/>
  <c r="G6" i="3"/>
  <c r="U45" i="9" l="1"/>
  <c r="U46" i="9" s="1"/>
  <c r="U48" i="9" s="1"/>
  <c r="F46" i="9"/>
  <c r="F48" i="9" s="1"/>
  <c r="V74" i="9"/>
  <c r="V75" i="9" s="1"/>
  <c r="V77" i="9" s="1"/>
  <c r="S45" i="9"/>
  <c r="O45" i="9"/>
  <c r="O46" i="9" s="1"/>
  <c r="O48" i="9" s="1"/>
  <c r="V45" i="9"/>
  <c r="V46" i="9" s="1"/>
  <c r="V48" i="9" s="1"/>
  <c r="T74" i="9"/>
  <c r="T75" i="9" s="1"/>
  <c r="T77" i="9" s="1"/>
  <c r="T59" i="9"/>
  <c r="T60" i="9" s="1"/>
  <c r="T62" i="9" s="1"/>
  <c r="U59" i="9"/>
  <c r="U60" i="9" s="1"/>
  <c r="U62" i="9" s="1"/>
  <c r="O59" i="9"/>
  <c r="O60" i="9" s="1"/>
  <c r="O62" i="9" s="1"/>
  <c r="S59" i="9"/>
  <c r="C60" i="9"/>
  <c r="O74" i="9"/>
  <c r="O75" i="9" s="1"/>
  <c r="O77" i="9" s="1"/>
  <c r="S74" i="9"/>
  <c r="V59" i="9"/>
  <c r="V60" i="9" s="1"/>
  <c r="V62" i="9" s="1"/>
  <c r="S13" i="9"/>
  <c r="S14" i="9" s="1"/>
  <c r="G151" i="9"/>
  <c r="G154" i="9" s="1"/>
  <c r="C29" i="9"/>
  <c r="C31" i="9" s="1"/>
  <c r="O28" i="9"/>
  <c r="O29" i="9" s="1"/>
  <c r="O31" i="9" s="1"/>
  <c r="S28" i="9"/>
  <c r="C151" i="9"/>
  <c r="V28" i="9"/>
  <c r="V29" i="9" s="1"/>
  <c r="V31" i="9" s="1"/>
  <c r="I29" i="9"/>
  <c r="I31" i="9" s="1"/>
  <c r="U28" i="9"/>
  <c r="U29" i="9" s="1"/>
  <c r="U31" i="9" s="1"/>
  <c r="E151" i="9"/>
  <c r="E154" i="9" s="1"/>
  <c r="T28" i="9"/>
  <c r="T29" i="9" s="1"/>
  <c r="T31" i="9" s="1"/>
  <c r="L14" i="9"/>
  <c r="L16" i="9" s="1"/>
  <c r="V13" i="9"/>
  <c r="V14" i="9" s="1"/>
  <c r="V16" i="9" s="1"/>
  <c r="L151" i="9"/>
  <c r="K151" i="9"/>
  <c r="K154" i="9" s="1"/>
  <c r="D14" i="9"/>
  <c r="D16" i="9" s="1"/>
  <c r="D151" i="9"/>
  <c r="D154" i="9" s="1"/>
  <c r="M151" i="9"/>
  <c r="M154" i="9" s="1"/>
  <c r="O13" i="9"/>
  <c r="O14" i="9" s="1"/>
  <c r="O16" i="9" s="1"/>
  <c r="S46" i="9"/>
  <c r="F14" i="9"/>
  <c r="F16" i="9" s="1"/>
  <c r="T13" i="9"/>
  <c r="T14" i="9" s="1"/>
  <c r="T16" i="9" s="1"/>
  <c r="F151" i="9"/>
  <c r="H14" i="9"/>
  <c r="H16" i="9" s="1"/>
  <c r="H151" i="9"/>
  <c r="H154" i="9" s="1"/>
  <c r="I14" i="9"/>
  <c r="I16" i="9" s="1"/>
  <c r="U13" i="9"/>
  <c r="U14" i="9" s="1"/>
  <c r="U16" i="9" s="1"/>
  <c r="I151" i="9"/>
  <c r="N14" i="9"/>
  <c r="N16" i="9" s="1"/>
  <c r="N151" i="9"/>
  <c r="N154" i="9" s="1"/>
  <c r="J14" i="9"/>
  <c r="J16" i="9" s="1"/>
  <c r="J151" i="9"/>
  <c r="J154" i="9" s="1"/>
  <c r="T59" i="8"/>
  <c r="AB14" i="3"/>
  <c r="G14" i="3"/>
  <c r="F29" i="3"/>
  <c r="G33" i="3" s="1"/>
  <c r="T8" i="3"/>
  <c r="L10" i="3"/>
  <c r="L11" i="3" s="1"/>
  <c r="L12" i="3" s="1"/>
  <c r="L13" i="3" s="1"/>
  <c r="M13" i="3" s="1"/>
  <c r="N13" i="3" s="1"/>
  <c r="M9" i="3"/>
  <c r="N9" i="3" s="1"/>
  <c r="AA9" i="3" s="1"/>
  <c r="AC9" i="3" s="1"/>
  <c r="M10" i="3"/>
  <c r="N10" i="3" s="1"/>
  <c r="AA10" i="3" s="1"/>
  <c r="AC10" i="3" s="1"/>
  <c r="N8" i="3"/>
  <c r="K8" i="3"/>
  <c r="M8" i="3" s="1"/>
  <c r="I14" i="3"/>
  <c r="U6" i="3" s="1"/>
  <c r="M6" i="3"/>
  <c r="N6" i="3" s="1"/>
  <c r="W45" i="9" l="1"/>
  <c r="W74" i="9"/>
  <c r="S75" i="9"/>
  <c r="W59" i="9"/>
  <c r="S60" i="9"/>
  <c r="G156" i="9"/>
  <c r="V151" i="9"/>
  <c r="V154" i="9" s="1"/>
  <c r="V156" i="9" s="1"/>
  <c r="L154" i="9"/>
  <c r="O151" i="9"/>
  <c r="O154" i="9" s="1"/>
  <c r="O156" i="9" s="1"/>
  <c r="S151" i="9"/>
  <c r="C154" i="9"/>
  <c r="U151" i="9"/>
  <c r="U154" i="9" s="1"/>
  <c r="U156" i="9" s="1"/>
  <c r="I154" i="9"/>
  <c r="S29" i="9"/>
  <c r="W28" i="9"/>
  <c r="M156" i="9"/>
  <c r="E156" i="9"/>
  <c r="H156" i="9"/>
  <c r="D156" i="9"/>
  <c r="J156" i="9"/>
  <c r="T151" i="9"/>
  <c r="T154" i="9" s="1"/>
  <c r="T156" i="9" s="1"/>
  <c r="F154" i="9"/>
  <c r="W14" i="9"/>
  <c r="W16" i="9" s="1"/>
  <c r="S16" i="9"/>
  <c r="W46" i="9"/>
  <c r="W48" i="9" s="1"/>
  <c r="S48" i="9"/>
  <c r="N156" i="9"/>
  <c r="K156" i="9"/>
  <c r="W13" i="9"/>
  <c r="M12" i="3"/>
  <c r="N12" i="3" s="1"/>
  <c r="M11" i="3"/>
  <c r="N11" i="3" s="1"/>
  <c r="K14" i="3"/>
  <c r="Q11" i="3"/>
  <c r="P11" i="3"/>
  <c r="AA11" i="3"/>
  <c r="AC11" i="3" s="1"/>
  <c r="Q13" i="3"/>
  <c r="P13" i="3"/>
  <c r="AA13" i="3"/>
  <c r="AC13" i="3" s="1"/>
  <c r="Q12" i="3"/>
  <c r="AA12" i="3"/>
  <c r="AC12" i="3" s="1"/>
  <c r="P12" i="3"/>
  <c r="AA8" i="3"/>
  <c r="AC8" i="3" s="1"/>
  <c r="P8" i="3"/>
  <c r="V6" i="3"/>
  <c r="U8" i="3"/>
  <c r="V8" i="3" s="1"/>
  <c r="P6" i="3"/>
  <c r="N14" i="3"/>
  <c r="AA6" i="3"/>
  <c r="M14" i="3"/>
  <c r="U7" i="3" s="1"/>
  <c r="V7" i="3" s="1"/>
  <c r="W60" i="9" l="1"/>
  <c r="W62" i="9" s="1"/>
  <c r="S62" i="9"/>
  <c r="W75" i="9"/>
  <c r="W77" i="9" s="1"/>
  <c r="S77" i="9"/>
  <c r="S31" i="9"/>
  <c r="W29" i="9"/>
  <c r="W31" i="9" s="1"/>
  <c r="F156" i="9"/>
  <c r="I156" i="9"/>
  <c r="C156" i="9"/>
  <c r="W151" i="9"/>
  <c r="S154" i="9"/>
  <c r="L156" i="9"/>
  <c r="P14" i="3"/>
  <c r="AC6" i="3"/>
  <c r="AA14" i="3"/>
  <c r="AC14" i="3" s="1"/>
  <c r="Q14" i="3"/>
  <c r="W154" i="9" l="1"/>
  <c r="W156" i="9" s="1"/>
  <c r="S156" i="9"/>
  <c r="J28" i="3"/>
  <c r="I28" i="3"/>
  <c r="G33" i="1"/>
  <c r="P39" i="2"/>
  <c r="P25" i="2" s="1"/>
  <c r="O39" i="2"/>
  <c r="O25" i="2" s="1"/>
  <c r="N39" i="2"/>
  <c r="N25" i="2" s="1"/>
  <c r="M39" i="2"/>
  <c r="L39" i="2"/>
  <c r="L25" i="2" s="1"/>
  <c r="K39" i="2"/>
  <c r="K25" i="2" s="1"/>
  <c r="J39" i="2"/>
  <c r="J25" i="2" s="1"/>
  <c r="I39" i="2"/>
  <c r="I25" i="2" s="1"/>
  <c r="H39" i="2"/>
  <c r="G39" i="2"/>
  <c r="G25" i="2" s="1"/>
  <c r="F39" i="2"/>
  <c r="F25" i="2" s="1"/>
  <c r="E39" i="2"/>
  <c r="Q37" i="2"/>
  <c r="Q36" i="2"/>
  <c r="Q35" i="2"/>
  <c r="Q34" i="2"/>
  <c r="Q33" i="2"/>
  <c r="Q32" i="2"/>
  <c r="Q31" i="2"/>
  <c r="Q30" i="2"/>
  <c r="M25" i="2"/>
  <c r="H25" i="2"/>
  <c r="G7" i="1"/>
  <c r="G8" i="1"/>
  <c r="G9" i="1"/>
  <c r="G10" i="1"/>
  <c r="G11" i="1"/>
  <c r="G12" i="1"/>
  <c r="G13" i="1"/>
  <c r="G6" i="1"/>
  <c r="E29" i="1"/>
  <c r="D29" i="1"/>
  <c r="F28" i="1"/>
  <c r="F27" i="1"/>
  <c r="F26" i="1"/>
  <c r="F25" i="1"/>
  <c r="F24" i="1"/>
  <c r="F23" i="1"/>
  <c r="F22" i="1"/>
  <c r="F21" i="1"/>
  <c r="V28" i="1"/>
  <c r="U28" i="1"/>
  <c r="D14" i="1"/>
  <c r="I13" i="1"/>
  <c r="X26" i="1"/>
  <c r="I12" i="1"/>
  <c r="X25" i="1"/>
  <c r="X24" i="1"/>
  <c r="I10" i="1"/>
  <c r="X23" i="1"/>
  <c r="I9" i="1"/>
  <c r="X22" i="1"/>
  <c r="J14" i="1"/>
  <c r="I8" i="1"/>
  <c r="X21" i="1"/>
  <c r="L7" i="1"/>
  <c r="L8" i="1" s="1"/>
  <c r="L9" i="1" s="1"/>
  <c r="L10" i="1" s="1"/>
  <c r="I7" i="1"/>
  <c r="X20" i="1"/>
  <c r="I6" i="1"/>
  <c r="F8" i="8" l="1"/>
  <c r="D4" i="6"/>
  <c r="D4" i="5"/>
  <c r="F6" i="8"/>
  <c r="B4" i="6"/>
  <c r="B4" i="5"/>
  <c r="H4" i="6"/>
  <c r="F11" i="8"/>
  <c r="H4" i="5"/>
  <c r="M7" i="1"/>
  <c r="I4" i="6"/>
  <c r="F13" i="8"/>
  <c r="I4" i="5"/>
  <c r="F9" i="8"/>
  <c r="E4" i="6"/>
  <c r="E4" i="5"/>
  <c r="J4" i="5" s="1"/>
  <c r="F7" i="8"/>
  <c r="C4" i="6"/>
  <c r="C4" i="5"/>
  <c r="F4" i="6"/>
  <c r="F10" i="8"/>
  <c r="F4" i="5"/>
  <c r="L28" i="3"/>
  <c r="B24" i="4"/>
  <c r="B10" i="4"/>
  <c r="Q39" i="2"/>
  <c r="E25" i="2"/>
  <c r="Q25" i="2"/>
  <c r="F29" i="1"/>
  <c r="G32" i="1" s="1"/>
  <c r="L11" i="1"/>
  <c r="L12" i="1" s="1"/>
  <c r="L13" i="1" s="1"/>
  <c r="M13" i="1" s="1"/>
  <c r="M10" i="1"/>
  <c r="M8" i="1"/>
  <c r="M6" i="1"/>
  <c r="E14" i="1"/>
  <c r="U6" i="1" s="1"/>
  <c r="N7" i="1"/>
  <c r="D17" i="2" s="1"/>
  <c r="I14" i="1"/>
  <c r="V6" i="1" s="1"/>
  <c r="G14" i="1"/>
  <c r="X28" i="1"/>
  <c r="F14" i="1"/>
  <c r="U7" i="1" s="1"/>
  <c r="M9" i="1"/>
  <c r="N10" i="1" l="1"/>
  <c r="D20" i="2" s="1"/>
  <c r="G10" i="8"/>
  <c r="H10" i="8" s="1"/>
  <c r="F5" i="6"/>
  <c r="F6" i="6" s="1"/>
  <c r="F5" i="5"/>
  <c r="N13" i="1"/>
  <c r="D23" i="2" s="1"/>
  <c r="I3" i="5" s="1"/>
  <c r="I5" i="6"/>
  <c r="G13" i="8"/>
  <c r="I5" i="5"/>
  <c r="H9" i="8"/>
  <c r="B6" i="6"/>
  <c r="J4" i="6"/>
  <c r="F14" i="8"/>
  <c r="H13" i="8"/>
  <c r="I6" i="6"/>
  <c r="N6" i="1"/>
  <c r="D16" i="2" s="1"/>
  <c r="B3" i="5" s="1"/>
  <c r="B3" i="6" s="1"/>
  <c r="B5" i="6"/>
  <c r="G6" i="8"/>
  <c r="B5" i="5"/>
  <c r="G7" i="8"/>
  <c r="H7" i="8" s="1"/>
  <c r="C5" i="6"/>
  <c r="C6" i="6" s="1"/>
  <c r="C5" i="5"/>
  <c r="N9" i="1"/>
  <c r="D19" i="2" s="1"/>
  <c r="G9" i="8"/>
  <c r="E5" i="6"/>
  <c r="E6" i="6" s="1"/>
  <c r="E5" i="5"/>
  <c r="N8" i="1"/>
  <c r="D18" i="2" s="1"/>
  <c r="G8" i="8"/>
  <c r="H8" i="8" s="1"/>
  <c r="D5" i="6"/>
  <c r="D6" i="6" s="1"/>
  <c r="D5" i="5"/>
  <c r="E3" i="5"/>
  <c r="D4" i="2"/>
  <c r="F4" i="2" s="1"/>
  <c r="D3" i="5"/>
  <c r="D3" i="6" s="1"/>
  <c r="D6" i="2"/>
  <c r="J6" i="2" s="1"/>
  <c r="F3" i="5"/>
  <c r="D9" i="2"/>
  <c r="O9" i="2" s="1"/>
  <c r="D3" i="2"/>
  <c r="P3" i="2" s="1"/>
  <c r="C3" i="5"/>
  <c r="C3" i="6" s="1"/>
  <c r="I9" i="2"/>
  <c r="N9" i="2"/>
  <c r="F9" i="2"/>
  <c r="M9" i="2"/>
  <c r="L3" i="2"/>
  <c r="I3" i="2"/>
  <c r="O3" i="2"/>
  <c r="K14" i="1"/>
  <c r="W23" i="1"/>
  <c r="Y23" i="1" s="1"/>
  <c r="R13" i="1"/>
  <c r="W27" i="1"/>
  <c r="Y27" i="1" s="1"/>
  <c r="Q13" i="1"/>
  <c r="W21" i="1"/>
  <c r="Y21" i="1" s="1"/>
  <c r="U8" i="1"/>
  <c r="N11" i="1"/>
  <c r="D21" i="2" s="1"/>
  <c r="W24" i="1"/>
  <c r="Y24" i="1" s="1"/>
  <c r="M12" i="1"/>
  <c r="Q8" i="1"/>
  <c r="W6" i="1"/>
  <c r="I8" i="8" l="1"/>
  <c r="I7" i="8"/>
  <c r="I10" i="8"/>
  <c r="D2" i="2"/>
  <c r="H6" i="8"/>
  <c r="J7" i="6"/>
  <c r="N12" i="1"/>
  <c r="D22" i="2" s="1"/>
  <c r="H5" i="6"/>
  <c r="H6" i="6" s="1"/>
  <c r="G11" i="8"/>
  <c r="H11" i="8" s="1"/>
  <c r="H5" i="5"/>
  <c r="J5" i="5" s="1"/>
  <c r="K9" i="2"/>
  <c r="H9" i="2"/>
  <c r="L9" i="2"/>
  <c r="J9" i="2"/>
  <c r="I9" i="8"/>
  <c r="Q6" i="1"/>
  <c r="I13" i="8"/>
  <c r="G9" i="2"/>
  <c r="D5" i="2"/>
  <c r="W22" i="1"/>
  <c r="Y22" i="1" s="1"/>
  <c r="W20" i="1"/>
  <c r="M3" i="2"/>
  <c r="P9" i="2"/>
  <c r="F3" i="6"/>
  <c r="F7" i="5"/>
  <c r="F8" i="5"/>
  <c r="E3" i="6"/>
  <c r="E8" i="5"/>
  <c r="D8" i="6"/>
  <c r="D9" i="6"/>
  <c r="C9" i="6"/>
  <c r="C8" i="6"/>
  <c r="I3" i="6"/>
  <c r="I8" i="5"/>
  <c r="B9" i="6"/>
  <c r="B8" i="6"/>
  <c r="N5" i="2"/>
  <c r="M5" i="2"/>
  <c r="F5" i="2"/>
  <c r="F3" i="2"/>
  <c r="N3" i="2"/>
  <c r="G3" i="2"/>
  <c r="H3" i="2"/>
  <c r="K5" i="2"/>
  <c r="J3" i="2"/>
  <c r="N2" i="2"/>
  <c r="L2" i="2"/>
  <c r="N6" i="2"/>
  <c r="L6" i="2"/>
  <c r="K3" i="2"/>
  <c r="O5" i="2"/>
  <c r="D7" i="2"/>
  <c r="L7" i="2" s="1"/>
  <c r="G3" i="5"/>
  <c r="G8" i="5" s="1"/>
  <c r="H6" i="2"/>
  <c r="D8" i="2"/>
  <c r="M8" i="2" s="1"/>
  <c r="H3" i="5"/>
  <c r="F6" i="2"/>
  <c r="K6" i="2"/>
  <c r="G4" i="2"/>
  <c r="O4" i="2"/>
  <c r="E7" i="5"/>
  <c r="C7" i="5"/>
  <c r="C8" i="5"/>
  <c r="P6" i="2"/>
  <c r="L4" i="2"/>
  <c r="I7" i="5"/>
  <c r="B8" i="5"/>
  <c r="B7" i="5"/>
  <c r="G6" i="2"/>
  <c r="I4" i="2"/>
  <c r="N4" i="2"/>
  <c r="D7" i="5"/>
  <c r="D8" i="5"/>
  <c r="O6" i="2"/>
  <c r="J4" i="2"/>
  <c r="H4" i="2"/>
  <c r="K4" i="2"/>
  <c r="P4" i="2"/>
  <c r="I6" i="2"/>
  <c r="M4" i="2"/>
  <c r="M6" i="2"/>
  <c r="L20" i="2"/>
  <c r="K20" i="2"/>
  <c r="J20" i="2"/>
  <c r="I20" i="2"/>
  <c r="P20" i="2"/>
  <c r="H20" i="2"/>
  <c r="D34" i="2"/>
  <c r="O20" i="2"/>
  <c r="G20" i="2"/>
  <c r="N20" i="2"/>
  <c r="F20" i="2"/>
  <c r="M20" i="2"/>
  <c r="E20" i="2"/>
  <c r="J23" i="2"/>
  <c r="P23" i="2"/>
  <c r="I23" i="2"/>
  <c r="H23" i="2"/>
  <c r="O23" i="2"/>
  <c r="G23" i="2"/>
  <c r="N23" i="2"/>
  <c r="F23" i="2"/>
  <c r="M23" i="2"/>
  <c r="E23" i="2"/>
  <c r="L23" i="2"/>
  <c r="D37" i="2"/>
  <c r="K23" i="2"/>
  <c r="P18" i="2"/>
  <c r="H18" i="2"/>
  <c r="N18" i="2"/>
  <c r="D32" i="2"/>
  <c r="O18" i="2"/>
  <c r="G18" i="2"/>
  <c r="F18" i="2"/>
  <c r="M18" i="2"/>
  <c r="E18" i="2"/>
  <c r="L18" i="2"/>
  <c r="K18" i="2"/>
  <c r="J18" i="2"/>
  <c r="I18" i="2"/>
  <c r="J19" i="2"/>
  <c r="P19" i="2"/>
  <c r="I19" i="2"/>
  <c r="H19" i="2"/>
  <c r="O19" i="2"/>
  <c r="G19" i="2"/>
  <c r="N19" i="2"/>
  <c r="F19" i="2"/>
  <c r="M19" i="2"/>
  <c r="E19" i="2"/>
  <c r="L19" i="2"/>
  <c r="D33" i="2"/>
  <c r="K19" i="2"/>
  <c r="N17" i="2"/>
  <c r="F17" i="2"/>
  <c r="L17" i="2"/>
  <c r="M17" i="2"/>
  <c r="E17" i="2"/>
  <c r="D31" i="2"/>
  <c r="K17" i="2"/>
  <c r="J17" i="2"/>
  <c r="I17" i="2"/>
  <c r="P17" i="2"/>
  <c r="H17" i="2"/>
  <c r="O17" i="2"/>
  <c r="G17" i="2"/>
  <c r="L16" i="2"/>
  <c r="I14" i="6" s="1"/>
  <c r="J16" i="2"/>
  <c r="G14" i="6" s="1"/>
  <c r="K16" i="2"/>
  <c r="H14" i="6" s="1"/>
  <c r="I16" i="2"/>
  <c r="F14" i="6" s="1"/>
  <c r="P16" i="2"/>
  <c r="M14" i="6" s="1"/>
  <c r="H16" i="2"/>
  <c r="E14" i="6" s="1"/>
  <c r="D30" i="2"/>
  <c r="O16" i="2"/>
  <c r="L14" i="6" s="1"/>
  <c r="G16" i="2"/>
  <c r="D14" i="6" s="1"/>
  <c r="N16" i="2"/>
  <c r="K14" i="6" s="1"/>
  <c r="F16" i="2"/>
  <c r="C14" i="6" s="1"/>
  <c r="M16" i="2"/>
  <c r="J14" i="6" s="1"/>
  <c r="E16" i="2"/>
  <c r="B13" i="5" s="1"/>
  <c r="W25" i="1"/>
  <c r="Y25" i="1" s="1"/>
  <c r="R11" i="1"/>
  <c r="Q11" i="1"/>
  <c r="M14" i="1"/>
  <c r="R12" i="1"/>
  <c r="Q12" i="1"/>
  <c r="W26" i="1"/>
  <c r="Y26" i="1" s="1"/>
  <c r="Y20" i="1"/>
  <c r="N14" i="1"/>
  <c r="G2" i="2" l="1"/>
  <c r="O2" i="2"/>
  <c r="F2" i="2"/>
  <c r="J2" i="2"/>
  <c r="I2" i="2"/>
  <c r="P2" i="2"/>
  <c r="H2" i="2"/>
  <c r="M2" i="2"/>
  <c r="I11" i="8"/>
  <c r="H5" i="2"/>
  <c r="G5" i="2"/>
  <c r="P5" i="2"/>
  <c r="J5" i="6"/>
  <c r="J6" i="6" s="1"/>
  <c r="K2" i="2"/>
  <c r="J5" i="2"/>
  <c r="I6" i="8"/>
  <c r="H14" i="8"/>
  <c r="J6" i="8"/>
  <c r="L5" i="2"/>
  <c r="I5" i="2"/>
  <c r="G14" i="8"/>
  <c r="B14" i="5"/>
  <c r="I9" i="6"/>
  <c r="I8" i="6"/>
  <c r="H3" i="6"/>
  <c r="H8" i="5"/>
  <c r="E9" i="6"/>
  <c r="E8" i="6"/>
  <c r="B15" i="5"/>
  <c r="F9" i="6"/>
  <c r="F8" i="6"/>
  <c r="G8" i="2"/>
  <c r="O7" i="2"/>
  <c r="F7" i="2"/>
  <c r="G7" i="2"/>
  <c r="G10" i="2" s="1"/>
  <c r="M7" i="2"/>
  <c r="D11" i="2"/>
  <c r="H7" i="2"/>
  <c r="N7" i="2"/>
  <c r="P7" i="2"/>
  <c r="J7" i="2"/>
  <c r="K7" i="2"/>
  <c r="I7" i="2"/>
  <c r="D13" i="5"/>
  <c r="D15" i="5" s="1"/>
  <c r="C13" i="5"/>
  <c r="C14" i="5" s="1"/>
  <c r="H13" i="5"/>
  <c r="H14" i="5" s="1"/>
  <c r="G16" i="5"/>
  <c r="G17" i="6" s="1"/>
  <c r="N8" i="2"/>
  <c r="I22" i="5"/>
  <c r="I23" i="6" s="1"/>
  <c r="F22" i="5"/>
  <c r="F23" i="6" s="1"/>
  <c r="J19" i="5"/>
  <c r="J20" i="6" s="1"/>
  <c r="H34" i="5"/>
  <c r="H35" i="6" s="1"/>
  <c r="L34" i="5"/>
  <c r="L35" i="6" s="1"/>
  <c r="K25" i="5"/>
  <c r="K26" i="6" s="1"/>
  <c r="H25" i="5"/>
  <c r="H26" i="6" s="1"/>
  <c r="G13" i="5"/>
  <c r="G15" i="5" s="1"/>
  <c r="B22" i="5"/>
  <c r="M22" i="5"/>
  <c r="M23" i="6" s="1"/>
  <c r="C19" i="5"/>
  <c r="C20" i="6" s="1"/>
  <c r="E34" i="5"/>
  <c r="E35" i="6" s="1"/>
  <c r="D25" i="5"/>
  <c r="D26" i="6" s="1"/>
  <c r="I25" i="5"/>
  <c r="I26" i="6" s="1"/>
  <c r="K13" i="5"/>
  <c r="K14" i="5" s="1"/>
  <c r="I13" i="5"/>
  <c r="I14" i="5" s="1"/>
  <c r="O8" i="2"/>
  <c r="J22" i="5"/>
  <c r="J23" i="6" s="1"/>
  <c r="G22" i="5"/>
  <c r="G23" i="6" s="1"/>
  <c r="D19" i="5"/>
  <c r="D20" i="6" s="1"/>
  <c r="I34" i="5"/>
  <c r="I35" i="6" s="1"/>
  <c r="F34" i="5"/>
  <c r="F35" i="6" s="1"/>
  <c r="L25" i="5"/>
  <c r="L13" i="5"/>
  <c r="L14" i="5" s="1"/>
  <c r="B16" i="5"/>
  <c r="I8" i="2"/>
  <c r="C22" i="5"/>
  <c r="C23" i="6" s="1"/>
  <c r="L19" i="5"/>
  <c r="L20" i="6" s="1"/>
  <c r="B34" i="5"/>
  <c r="M34" i="5"/>
  <c r="M35" i="6" s="1"/>
  <c r="D10" i="2"/>
  <c r="H7" i="5"/>
  <c r="H16" i="5"/>
  <c r="D16" i="5"/>
  <c r="D17" i="6" s="1"/>
  <c r="F19" i="5"/>
  <c r="F20" i="6" s="1"/>
  <c r="J8" i="2"/>
  <c r="F8" i="2"/>
  <c r="L16" i="5"/>
  <c r="L17" i="6" s="1"/>
  <c r="J16" i="5"/>
  <c r="J17" i="6" s="1"/>
  <c r="H8" i="2"/>
  <c r="K22" i="5"/>
  <c r="K23" i="6" s="1"/>
  <c r="G19" i="5"/>
  <c r="G20" i="6" s="1"/>
  <c r="J34" i="5"/>
  <c r="J35" i="6" s="1"/>
  <c r="G34" i="5"/>
  <c r="G35" i="6" s="1"/>
  <c r="E25" i="5"/>
  <c r="E26" i="6" s="1"/>
  <c r="J3" i="5"/>
  <c r="E13" i="5"/>
  <c r="E15" i="5" s="1"/>
  <c r="E16" i="5"/>
  <c r="E17" i="6" s="1"/>
  <c r="I16" i="5"/>
  <c r="I17" i="6" s="1"/>
  <c r="J10" i="2"/>
  <c r="K8" i="2"/>
  <c r="P8" i="2"/>
  <c r="P10" i="2" s="1"/>
  <c r="D22" i="5"/>
  <c r="D23" i="6" s="1"/>
  <c r="H19" i="5"/>
  <c r="H20" i="6" s="1"/>
  <c r="K19" i="5"/>
  <c r="K20" i="6" s="1"/>
  <c r="C34" i="5"/>
  <c r="C35" i="6" s="1"/>
  <c r="B25" i="5"/>
  <c r="M25" i="5"/>
  <c r="M26" i="6" s="1"/>
  <c r="M13" i="5"/>
  <c r="M15" i="5" s="1"/>
  <c r="M16" i="5"/>
  <c r="M17" i="6" s="1"/>
  <c r="C16" i="5"/>
  <c r="L8" i="2"/>
  <c r="L10" i="2" s="1"/>
  <c r="H22" i="5"/>
  <c r="L22" i="5"/>
  <c r="L23" i="6" s="1"/>
  <c r="I19" i="5"/>
  <c r="I20" i="6" s="1"/>
  <c r="E19" i="5"/>
  <c r="E20" i="6" s="1"/>
  <c r="K34" i="5"/>
  <c r="K35" i="6" s="1"/>
  <c r="J25" i="5"/>
  <c r="J26" i="6" s="1"/>
  <c r="F25" i="5"/>
  <c r="F26" i="6" s="1"/>
  <c r="J13" i="5"/>
  <c r="J14" i="5" s="1"/>
  <c r="F13" i="5"/>
  <c r="F15" i="5" s="1"/>
  <c r="F16" i="5"/>
  <c r="F17" i="6" s="1"/>
  <c r="K16" i="5"/>
  <c r="K17" i="6" s="1"/>
  <c r="E22" i="5"/>
  <c r="B19" i="5"/>
  <c r="B20" i="6" s="1"/>
  <c r="M19" i="5"/>
  <c r="M20" i="6" s="1"/>
  <c r="D34" i="5"/>
  <c r="D35" i="6" s="1"/>
  <c r="C25" i="5"/>
  <c r="C26" i="6" s="1"/>
  <c r="G25" i="5"/>
  <c r="G26" i="6" s="1"/>
  <c r="P22" i="2"/>
  <c r="H22" i="2"/>
  <c r="N22" i="2"/>
  <c r="D36" i="2"/>
  <c r="O22" i="2"/>
  <c r="G22" i="2"/>
  <c r="F22" i="2"/>
  <c r="M22" i="2"/>
  <c r="E22" i="2"/>
  <c r="L22" i="2"/>
  <c r="K22" i="2"/>
  <c r="J22" i="2"/>
  <c r="I22" i="2"/>
  <c r="Q23" i="2"/>
  <c r="D24" i="2"/>
  <c r="Q18" i="2"/>
  <c r="W28" i="1"/>
  <c r="Y28" i="1" s="1"/>
  <c r="N21" i="2"/>
  <c r="F21" i="2"/>
  <c r="M21" i="2"/>
  <c r="E21" i="2"/>
  <c r="L21" i="2"/>
  <c r="D35" i="2"/>
  <c r="K21" i="2"/>
  <c r="J21" i="2"/>
  <c r="I21" i="2"/>
  <c r="P21" i="2"/>
  <c r="H21" i="2"/>
  <c r="O21" i="2"/>
  <c r="G21" i="2"/>
  <c r="Q20" i="2"/>
  <c r="Q19" i="2"/>
  <c r="Q16" i="2"/>
  <c r="Q17" i="2"/>
  <c r="R14" i="1"/>
  <c r="Q14" i="1"/>
  <c r="V7" i="1"/>
  <c r="M10" i="2" l="1"/>
  <c r="J12" i="8"/>
  <c r="J14" i="8"/>
  <c r="I14" i="8"/>
  <c r="J13" i="8"/>
  <c r="J8" i="8"/>
  <c r="J7" i="8"/>
  <c r="J10" i="8"/>
  <c r="J9" i="8"/>
  <c r="J11" i="8"/>
  <c r="H10" i="2"/>
  <c r="N10" i="2"/>
  <c r="I10" i="2"/>
  <c r="O10" i="2"/>
  <c r="C15" i="6"/>
  <c r="D16" i="6"/>
  <c r="M16" i="6"/>
  <c r="L15" i="6"/>
  <c r="I15" i="6"/>
  <c r="G16" i="6"/>
  <c r="F16" i="6"/>
  <c r="E16" i="6"/>
  <c r="K15" i="6"/>
  <c r="J15" i="6"/>
  <c r="H15" i="6"/>
  <c r="I15" i="5"/>
  <c r="G14" i="5"/>
  <c r="L15" i="5"/>
  <c r="C15" i="5"/>
  <c r="D14" i="5"/>
  <c r="H24" i="5"/>
  <c r="H25" i="6" s="1"/>
  <c r="H23" i="6"/>
  <c r="H9" i="6"/>
  <c r="H8" i="6"/>
  <c r="J3" i="6"/>
  <c r="F14" i="5"/>
  <c r="Q16" i="5"/>
  <c r="C17" i="6"/>
  <c r="B35" i="5"/>
  <c r="B36" i="6" s="1"/>
  <c r="B35" i="6"/>
  <c r="H15" i="5"/>
  <c r="K15" i="5"/>
  <c r="E14" i="5"/>
  <c r="L27" i="5"/>
  <c r="L28" i="6" s="1"/>
  <c r="L26" i="6"/>
  <c r="N20" i="6"/>
  <c r="M14" i="5"/>
  <c r="R22" i="5"/>
  <c r="E23" i="6"/>
  <c r="B26" i="5"/>
  <c r="B27" i="6" s="1"/>
  <c r="B26" i="6"/>
  <c r="H18" i="5"/>
  <c r="H19" i="6" s="1"/>
  <c r="H17" i="6"/>
  <c r="B18" i="5"/>
  <c r="B19" i="6" s="1"/>
  <c r="B17" i="6"/>
  <c r="B23" i="5"/>
  <c r="B24" i="6" s="1"/>
  <c r="B23" i="6"/>
  <c r="J15" i="5"/>
  <c r="B17" i="5"/>
  <c r="B18" i="6" s="1"/>
  <c r="B24" i="5"/>
  <c r="B25" i="6" s="1"/>
  <c r="T16" i="5"/>
  <c r="B27" i="5"/>
  <c r="B28" i="6" s="1"/>
  <c r="Q22" i="5"/>
  <c r="S13" i="5"/>
  <c r="R25" i="5"/>
  <c r="R34" i="5"/>
  <c r="T34" i="5"/>
  <c r="K10" i="2"/>
  <c r="F10" i="2"/>
  <c r="B36" i="5"/>
  <c r="B37" i="6" s="1"/>
  <c r="T22" i="5"/>
  <c r="N25" i="5"/>
  <c r="S22" i="5"/>
  <c r="S34" i="5"/>
  <c r="Q34" i="5"/>
  <c r="N19" i="5"/>
  <c r="R13" i="5"/>
  <c r="N34" i="5"/>
  <c r="Q25" i="5"/>
  <c r="K20" i="5"/>
  <c r="K21" i="6" s="1"/>
  <c r="K21" i="5"/>
  <c r="K22" i="6" s="1"/>
  <c r="H26" i="5"/>
  <c r="H27" i="6" s="1"/>
  <c r="H27" i="5"/>
  <c r="M28" i="5"/>
  <c r="H31" i="5"/>
  <c r="N16" i="5"/>
  <c r="B20" i="5"/>
  <c r="B21" i="6" s="1"/>
  <c r="E23" i="5"/>
  <c r="E24" i="6" s="1"/>
  <c r="E24" i="5"/>
  <c r="E25" i="6" s="1"/>
  <c r="F28" i="5"/>
  <c r="K28" i="5"/>
  <c r="N22" i="5"/>
  <c r="T19" i="5"/>
  <c r="F26" i="5"/>
  <c r="F27" i="6" s="1"/>
  <c r="F27" i="5"/>
  <c r="F28" i="6" s="1"/>
  <c r="I21" i="5"/>
  <c r="I22" i="6" s="1"/>
  <c r="I20" i="5"/>
  <c r="I21" i="6" s="1"/>
  <c r="C17" i="5"/>
  <c r="C18" i="6" s="1"/>
  <c r="C18" i="5"/>
  <c r="C19" i="6" s="1"/>
  <c r="M26" i="5"/>
  <c r="M27" i="6" s="1"/>
  <c r="M27" i="5"/>
  <c r="M28" i="6" s="1"/>
  <c r="H20" i="5"/>
  <c r="H21" i="6" s="1"/>
  <c r="H21" i="5"/>
  <c r="H22" i="6" s="1"/>
  <c r="E17" i="5"/>
  <c r="E18" i="6" s="1"/>
  <c r="E18" i="5"/>
  <c r="E19" i="6" s="1"/>
  <c r="F20" i="5"/>
  <c r="F21" i="6" s="1"/>
  <c r="F21" i="5"/>
  <c r="F22" i="6" s="1"/>
  <c r="C31" i="5"/>
  <c r="S16" i="5"/>
  <c r="T25" i="5"/>
  <c r="L26" i="5"/>
  <c r="L27" i="6" s="1"/>
  <c r="J26" i="5"/>
  <c r="J27" i="6" s="1"/>
  <c r="J27" i="5"/>
  <c r="J28" i="6" s="1"/>
  <c r="L17" i="5"/>
  <c r="L18" i="6" s="1"/>
  <c r="L18" i="5"/>
  <c r="L19" i="6" s="1"/>
  <c r="D28" i="5"/>
  <c r="I28" i="5"/>
  <c r="D31" i="5"/>
  <c r="G26" i="5"/>
  <c r="G27" i="6" s="1"/>
  <c r="G27" i="5"/>
  <c r="G28" i="6" s="1"/>
  <c r="K36" i="5"/>
  <c r="K37" i="6" s="1"/>
  <c r="K35" i="5"/>
  <c r="K36" i="6" s="1"/>
  <c r="C35" i="5"/>
  <c r="C36" i="6" s="1"/>
  <c r="C36" i="5"/>
  <c r="C37" i="6" s="1"/>
  <c r="H23" i="5"/>
  <c r="H24" i="6" s="1"/>
  <c r="G21" i="5"/>
  <c r="G22" i="6" s="1"/>
  <c r="G20" i="5"/>
  <c r="G21" i="6" s="1"/>
  <c r="D21" i="5"/>
  <c r="D22" i="6" s="1"/>
  <c r="D20" i="5"/>
  <c r="D21" i="6" s="1"/>
  <c r="G17" i="5"/>
  <c r="G18" i="6" s="1"/>
  <c r="G18" i="5"/>
  <c r="G19" i="6" s="1"/>
  <c r="L20" i="5"/>
  <c r="L21" i="6" s="1"/>
  <c r="L21" i="5"/>
  <c r="L22" i="6" s="1"/>
  <c r="J20" i="5"/>
  <c r="J21" i="6" s="1"/>
  <c r="J21" i="5"/>
  <c r="J22" i="6" s="1"/>
  <c r="E28" i="5"/>
  <c r="J28" i="5"/>
  <c r="G31" i="5"/>
  <c r="E21" i="5"/>
  <c r="E22" i="6" s="1"/>
  <c r="E20" i="5"/>
  <c r="E21" i="6" s="1"/>
  <c r="I17" i="5"/>
  <c r="I18" i="6" s="1"/>
  <c r="I18" i="5"/>
  <c r="I19" i="6" s="1"/>
  <c r="E26" i="5"/>
  <c r="E27" i="6" s="1"/>
  <c r="E27" i="5"/>
  <c r="E28" i="6" s="1"/>
  <c r="K23" i="5"/>
  <c r="K24" i="6" s="1"/>
  <c r="K24" i="5"/>
  <c r="K25" i="6" s="1"/>
  <c r="G23" i="5"/>
  <c r="G24" i="6" s="1"/>
  <c r="G24" i="5"/>
  <c r="G25" i="6" s="1"/>
  <c r="I26" i="5"/>
  <c r="I27" i="6" s="1"/>
  <c r="I27" i="5"/>
  <c r="I28" i="6" s="1"/>
  <c r="M23" i="5"/>
  <c r="M24" i="6" s="1"/>
  <c r="M24" i="5"/>
  <c r="M25" i="6" s="1"/>
  <c r="K26" i="5"/>
  <c r="K27" i="6" s="1"/>
  <c r="K27" i="5"/>
  <c r="K28" i="6" s="1"/>
  <c r="F23" i="5"/>
  <c r="F24" i="6" s="1"/>
  <c r="F24" i="5"/>
  <c r="F25" i="6" s="1"/>
  <c r="B28" i="5"/>
  <c r="B30" i="5" s="1"/>
  <c r="F31" i="5"/>
  <c r="I31" i="5"/>
  <c r="B31" i="5"/>
  <c r="M31" i="5"/>
  <c r="T13" i="5"/>
  <c r="R16" i="5"/>
  <c r="U16" i="5" s="1"/>
  <c r="Q19" i="5"/>
  <c r="D35" i="5"/>
  <c r="D36" i="6" s="1"/>
  <c r="D36" i="5"/>
  <c r="D37" i="6" s="1"/>
  <c r="K17" i="5"/>
  <c r="K18" i="6" s="1"/>
  <c r="K18" i="5"/>
  <c r="K19" i="6" s="1"/>
  <c r="M17" i="5"/>
  <c r="M18" i="6" s="1"/>
  <c r="M18" i="5"/>
  <c r="M19" i="6" s="1"/>
  <c r="D23" i="5"/>
  <c r="D24" i="6" s="1"/>
  <c r="D24" i="5"/>
  <c r="D25" i="6" s="1"/>
  <c r="G35" i="5"/>
  <c r="G36" i="6" s="1"/>
  <c r="G36" i="5"/>
  <c r="G37" i="6" s="1"/>
  <c r="J17" i="5"/>
  <c r="J18" i="6" s="1"/>
  <c r="J18" i="5"/>
  <c r="D17" i="5"/>
  <c r="D18" i="5"/>
  <c r="M35" i="5"/>
  <c r="M36" i="6" s="1"/>
  <c r="M36" i="5"/>
  <c r="M37" i="6" s="1"/>
  <c r="F35" i="5"/>
  <c r="F36" i="6" s="1"/>
  <c r="F36" i="5"/>
  <c r="F37" i="6" s="1"/>
  <c r="J23" i="5"/>
  <c r="J24" i="6" s="1"/>
  <c r="J24" i="5"/>
  <c r="J25" i="6" s="1"/>
  <c r="D26" i="5"/>
  <c r="D27" i="6" s="1"/>
  <c r="D27" i="5"/>
  <c r="D28" i="6" s="1"/>
  <c r="I23" i="5"/>
  <c r="I24" i="6" s="1"/>
  <c r="I24" i="5"/>
  <c r="I25" i="6" s="1"/>
  <c r="L28" i="5"/>
  <c r="L31" i="5"/>
  <c r="C21" i="5"/>
  <c r="C22" i="6" s="1"/>
  <c r="C20" i="5"/>
  <c r="C21" i="6" s="1"/>
  <c r="C28" i="5"/>
  <c r="K31" i="5"/>
  <c r="C26" i="5"/>
  <c r="C27" i="5"/>
  <c r="C28" i="6" s="1"/>
  <c r="E31" i="5"/>
  <c r="B21" i="5"/>
  <c r="B22" i="6" s="1"/>
  <c r="C23" i="5"/>
  <c r="C24" i="6" s="1"/>
  <c r="C24" i="5"/>
  <c r="C25" i="6" s="1"/>
  <c r="G28" i="5"/>
  <c r="H28" i="5"/>
  <c r="J31" i="5"/>
  <c r="S25" i="5"/>
  <c r="R19" i="5"/>
  <c r="S19" i="5"/>
  <c r="M21" i="5"/>
  <c r="M22" i="6" s="1"/>
  <c r="M20" i="5"/>
  <c r="M21" i="6" s="1"/>
  <c r="F17" i="5"/>
  <c r="F18" i="6" s="1"/>
  <c r="F18" i="5"/>
  <c r="F19" i="6" s="1"/>
  <c r="L23" i="5"/>
  <c r="L24" i="6" s="1"/>
  <c r="L24" i="5"/>
  <c r="L25" i="6" s="1"/>
  <c r="I35" i="5"/>
  <c r="I36" i="6" s="1"/>
  <c r="I36" i="5"/>
  <c r="I37" i="6" s="1"/>
  <c r="L35" i="5"/>
  <c r="L36" i="6" s="1"/>
  <c r="L36" i="5"/>
  <c r="L37" i="6" s="1"/>
  <c r="J35" i="5"/>
  <c r="J36" i="6" s="1"/>
  <c r="J36" i="5"/>
  <c r="J37" i="6" s="1"/>
  <c r="H17" i="5"/>
  <c r="H18" i="6" s="1"/>
  <c r="E35" i="5"/>
  <c r="E36" i="5"/>
  <c r="E37" i="6" s="1"/>
  <c r="H35" i="5"/>
  <c r="H36" i="6" s="1"/>
  <c r="H36" i="5"/>
  <c r="H37" i="6" s="1"/>
  <c r="G24" i="2"/>
  <c r="O24" i="2"/>
  <c r="K24" i="2"/>
  <c r="M24" i="2"/>
  <c r="L24" i="2"/>
  <c r="E24" i="2"/>
  <c r="F24" i="2"/>
  <c r="I24" i="2"/>
  <c r="J24" i="2"/>
  <c r="D38" i="2"/>
  <c r="H24" i="2"/>
  <c r="P24" i="2"/>
  <c r="N24" i="2"/>
  <c r="Q22" i="2"/>
  <c r="Q21" i="2"/>
  <c r="W7" i="1"/>
  <c r="V8" i="1"/>
  <c r="W8" i="1" s="1"/>
  <c r="N23" i="6" l="1"/>
  <c r="H16" i="6"/>
  <c r="D15" i="6"/>
  <c r="C16" i="6"/>
  <c r="U25" i="5"/>
  <c r="F15" i="6"/>
  <c r="L16" i="6"/>
  <c r="E15" i="6"/>
  <c r="G15" i="6"/>
  <c r="M15" i="6"/>
  <c r="J16" i="6"/>
  <c r="K16" i="6"/>
  <c r="I16" i="6"/>
  <c r="N26" i="6"/>
  <c r="U34" i="5"/>
  <c r="L32" i="5"/>
  <c r="L33" i="6" s="1"/>
  <c r="L32" i="6"/>
  <c r="L33" i="5"/>
  <c r="L34" i="6" s="1"/>
  <c r="F32" i="5"/>
  <c r="F33" i="6" s="1"/>
  <c r="F33" i="5"/>
  <c r="F34" i="6" s="1"/>
  <c r="F32" i="6"/>
  <c r="N22" i="6"/>
  <c r="D32" i="5"/>
  <c r="D33" i="6" s="1"/>
  <c r="D32" i="6"/>
  <c r="D33" i="5"/>
  <c r="D34" i="6" s="1"/>
  <c r="E33" i="5"/>
  <c r="E34" i="6" s="1"/>
  <c r="E32" i="6"/>
  <c r="E32" i="5"/>
  <c r="E33" i="6" s="1"/>
  <c r="H32" i="5"/>
  <c r="H33" i="6" s="1"/>
  <c r="H32" i="6"/>
  <c r="H33" i="5"/>
  <c r="H34" i="6" s="1"/>
  <c r="C32" i="6"/>
  <c r="C33" i="5"/>
  <c r="C34" i="6" s="1"/>
  <c r="C32" i="5"/>
  <c r="C33" i="6" s="1"/>
  <c r="N25" i="6"/>
  <c r="S27" i="5"/>
  <c r="H28" i="6"/>
  <c r="N28" i="6" s="1"/>
  <c r="J8" i="6"/>
  <c r="J9" i="6"/>
  <c r="J32" i="6"/>
  <c r="J32" i="5"/>
  <c r="J33" i="6" s="1"/>
  <c r="J33" i="5"/>
  <c r="J34" i="6" s="1"/>
  <c r="Q26" i="5"/>
  <c r="C27" i="6"/>
  <c r="N27" i="6" s="1"/>
  <c r="K32" i="6"/>
  <c r="K33" i="5"/>
  <c r="K34" i="6" s="1"/>
  <c r="K32" i="5"/>
  <c r="K33" i="6" s="1"/>
  <c r="Q18" i="5"/>
  <c r="D19" i="6"/>
  <c r="G32" i="5"/>
  <c r="G33" i="6" s="1"/>
  <c r="G32" i="6"/>
  <c r="G33" i="5"/>
  <c r="G34" i="6" s="1"/>
  <c r="Q17" i="5"/>
  <c r="D18" i="6"/>
  <c r="N18" i="6" s="1"/>
  <c r="M32" i="5"/>
  <c r="M33" i="6" s="1"/>
  <c r="M33" i="5"/>
  <c r="M34" i="6" s="1"/>
  <c r="M32" i="6"/>
  <c r="R35" i="5"/>
  <c r="E36" i="6"/>
  <c r="S18" i="5"/>
  <c r="J19" i="6"/>
  <c r="B32" i="6"/>
  <c r="B33" i="5"/>
  <c r="B34" i="6" s="1"/>
  <c r="B32" i="5"/>
  <c r="B33" i="6" s="1"/>
  <c r="N24" i="6"/>
  <c r="I33" i="5"/>
  <c r="I34" i="6" s="1"/>
  <c r="I32" i="6"/>
  <c r="I32" i="5"/>
  <c r="I33" i="6" s="1"/>
  <c r="N21" i="6"/>
  <c r="N17" i="6"/>
  <c r="Q20" i="5"/>
  <c r="U22" i="5"/>
  <c r="Q23" i="5"/>
  <c r="S24" i="5"/>
  <c r="R21" i="5"/>
  <c r="S20" i="5"/>
  <c r="R20" i="5"/>
  <c r="T21" i="5"/>
  <c r="S28" i="5"/>
  <c r="T23" i="5"/>
  <c r="R31" i="5"/>
  <c r="T31" i="5"/>
  <c r="Q24" i="5"/>
  <c r="Q36" i="5"/>
  <c r="T27" i="5"/>
  <c r="S23" i="5"/>
  <c r="T26" i="5"/>
  <c r="S35" i="5"/>
  <c r="T35" i="5"/>
  <c r="R18" i="5"/>
  <c r="Q28" i="5"/>
  <c r="R27" i="5"/>
  <c r="T15" i="5"/>
  <c r="R17" i="5"/>
  <c r="Q35" i="5"/>
  <c r="N24" i="5"/>
  <c r="U19" i="5"/>
  <c r="T36" i="5"/>
  <c r="Q21" i="5"/>
  <c r="T28" i="5"/>
  <c r="S15" i="5"/>
  <c r="N20" i="5"/>
  <c r="S14" i="5"/>
  <c r="N23" i="5"/>
  <c r="N17" i="5"/>
  <c r="T14" i="5"/>
  <c r="R23" i="5"/>
  <c r="R14" i="5"/>
  <c r="R36" i="5"/>
  <c r="T18" i="5"/>
  <c r="R15" i="5"/>
  <c r="Q27" i="5"/>
  <c r="T17" i="5"/>
  <c r="Q31" i="5"/>
  <c r="S31" i="5"/>
  <c r="R24" i="5"/>
  <c r="N21" i="5"/>
  <c r="S21" i="5"/>
  <c r="S26" i="5"/>
  <c r="N28" i="5"/>
  <c r="R28" i="5"/>
  <c r="N18" i="5"/>
  <c r="N26" i="5"/>
  <c r="S17" i="5"/>
  <c r="T24" i="5"/>
  <c r="T20" i="5"/>
  <c r="N27" i="5"/>
  <c r="S36" i="5"/>
  <c r="N35" i="5"/>
  <c r="N31" i="5"/>
  <c r="N36" i="5"/>
  <c r="R26" i="5"/>
  <c r="Q24" i="2"/>
  <c r="B38" i="5" l="1"/>
  <c r="U31" i="5"/>
  <c r="N19" i="6"/>
  <c r="U20" i="5"/>
  <c r="U35" i="5"/>
  <c r="U17" i="5"/>
  <c r="U23" i="5"/>
  <c r="U24" i="5"/>
  <c r="U18" i="5"/>
  <c r="U27" i="5"/>
  <c r="U21" i="5"/>
  <c r="U36" i="5"/>
  <c r="U28" i="5"/>
  <c r="U26" i="5"/>
  <c r="J24" i="1"/>
  <c r="K27" i="1" l="1"/>
  <c r="K27" i="3"/>
  <c r="J24" i="3"/>
  <c r="J25" i="1"/>
  <c r="K21" i="1"/>
  <c r="J27" i="1" l="1"/>
  <c r="J25" i="3"/>
  <c r="J23" i="1"/>
  <c r="I21" i="1"/>
  <c r="J22" i="1"/>
  <c r="K21" i="3"/>
  <c r="J26" i="1"/>
  <c r="J28" i="1"/>
  <c r="I27" i="1" l="1"/>
  <c r="L21" i="1"/>
  <c r="J23" i="3"/>
  <c r="J22" i="3"/>
  <c r="K23" i="1"/>
  <c r="K23" i="3"/>
  <c r="G29" i="1"/>
  <c r="J29" i="1" s="1"/>
  <c r="J21" i="1"/>
  <c r="J26" i="3"/>
  <c r="J27" i="3"/>
  <c r="I27" i="3"/>
  <c r="G29" i="3"/>
  <c r="J29" i="3" s="1"/>
  <c r="J21" i="3"/>
  <c r="I21" i="3"/>
  <c r="B17" i="4" l="1"/>
  <c r="B3" i="4"/>
  <c r="M3" i="4" s="1"/>
  <c r="L27" i="3"/>
  <c r="B23" i="4"/>
  <c r="B9" i="4"/>
  <c r="B31" i="4"/>
  <c r="L3" i="4"/>
  <c r="L27" i="1"/>
  <c r="L21" i="3"/>
  <c r="K22" i="3"/>
  <c r="I22" i="3"/>
  <c r="I23" i="1"/>
  <c r="I23" i="3"/>
  <c r="K22" i="1"/>
  <c r="I22" i="1"/>
  <c r="D3" i="4" l="1"/>
  <c r="N3" i="4"/>
  <c r="U3" i="4" s="1"/>
  <c r="J3" i="4"/>
  <c r="I3" i="4"/>
  <c r="F3" i="4"/>
  <c r="C3" i="4"/>
  <c r="K3" i="4"/>
  <c r="G3" i="4"/>
  <c r="E3" i="4"/>
  <c r="H3" i="4"/>
  <c r="L23" i="3"/>
  <c r="B5" i="4"/>
  <c r="B19" i="4"/>
  <c r="L22" i="3"/>
  <c r="B18" i="4"/>
  <c r="B4" i="4"/>
  <c r="L22" i="1"/>
  <c r="F9" i="4"/>
  <c r="I9" i="4"/>
  <c r="K9" i="4"/>
  <c r="B37" i="4"/>
  <c r="D9" i="4"/>
  <c r="L9" i="4"/>
  <c r="G9" i="4"/>
  <c r="J9" i="4"/>
  <c r="E9" i="4"/>
  <c r="M9" i="4"/>
  <c r="H9" i="4"/>
  <c r="C9" i="4"/>
  <c r="N9" i="4"/>
  <c r="L23" i="1"/>
  <c r="K24" i="1"/>
  <c r="I24" i="1"/>
  <c r="T3" i="4" l="1"/>
  <c r="S3" i="4"/>
  <c r="R3" i="4"/>
  <c r="O3" i="4"/>
  <c r="U9" i="4"/>
  <c r="I5" i="4"/>
  <c r="E5" i="4"/>
  <c r="L5" i="4"/>
  <c r="M5" i="4"/>
  <c r="C5" i="4"/>
  <c r="H5" i="4"/>
  <c r="F5" i="4"/>
  <c r="B33" i="4"/>
  <c r="J5" i="4"/>
  <c r="D5" i="4"/>
  <c r="K5" i="4"/>
  <c r="N5" i="4"/>
  <c r="G5" i="4"/>
  <c r="L24" i="1"/>
  <c r="O9" i="4"/>
  <c r="R9" i="4"/>
  <c r="T9" i="4"/>
  <c r="S9" i="4"/>
  <c r="L4" i="4"/>
  <c r="M4" i="4"/>
  <c r="H4" i="4"/>
  <c r="D4" i="4"/>
  <c r="G4" i="4"/>
  <c r="F4" i="4"/>
  <c r="I4" i="4"/>
  <c r="K4" i="4"/>
  <c r="N4" i="4"/>
  <c r="J4" i="4"/>
  <c r="E4" i="4"/>
  <c r="C4" i="4"/>
  <c r="B32" i="4"/>
  <c r="I25" i="1"/>
  <c r="K24" i="3"/>
  <c r="I24" i="3"/>
  <c r="V3" i="4" l="1"/>
  <c r="B20" i="4"/>
  <c r="B6" i="4"/>
  <c r="C6" i="4" s="1"/>
  <c r="S5" i="4"/>
  <c r="H6" i="4"/>
  <c r="K6" i="4"/>
  <c r="D6" i="4"/>
  <c r="L6" i="4"/>
  <c r="B34" i="4"/>
  <c r="F6" i="4"/>
  <c r="I6" i="4"/>
  <c r="N6" i="4"/>
  <c r="G6" i="4"/>
  <c r="M6" i="4"/>
  <c r="E6" i="4"/>
  <c r="U4" i="4"/>
  <c r="R5" i="4"/>
  <c r="O5" i="4"/>
  <c r="T4" i="4"/>
  <c r="S4" i="4"/>
  <c r="U5" i="4"/>
  <c r="O4" i="4"/>
  <c r="R4" i="4"/>
  <c r="V9" i="4"/>
  <c r="T5" i="4"/>
  <c r="K25" i="1"/>
  <c r="L24" i="3"/>
  <c r="K25" i="3"/>
  <c r="I25" i="3"/>
  <c r="I28" i="1"/>
  <c r="L25" i="1"/>
  <c r="J6" i="4" l="1"/>
  <c r="L25" i="3"/>
  <c r="B21" i="4"/>
  <c r="B35" i="4" s="1"/>
  <c r="B7" i="4"/>
  <c r="V5" i="4"/>
  <c r="V4" i="4"/>
  <c r="T6" i="4"/>
  <c r="S6" i="4"/>
  <c r="O6" i="4"/>
  <c r="R6" i="4"/>
  <c r="U6" i="4"/>
  <c r="L28" i="1"/>
  <c r="I26" i="3"/>
  <c r="H29" i="3"/>
  <c r="K29" i="3" s="1"/>
  <c r="I29" i="3"/>
  <c r="L29" i="3" s="1"/>
  <c r="G7" i="4" l="1"/>
  <c r="M7" i="4"/>
  <c r="C7" i="4"/>
  <c r="N7" i="4"/>
  <c r="L7" i="4"/>
  <c r="U7" i="4" s="1"/>
  <c r="E7" i="4"/>
  <c r="J7" i="4"/>
  <c r="D7" i="4"/>
  <c r="F7" i="4"/>
  <c r="H7" i="4"/>
  <c r="K7" i="4"/>
  <c r="I7" i="4"/>
  <c r="L26" i="3"/>
  <c r="B22" i="4"/>
  <c r="B36" i="4" s="1"/>
  <c r="B8" i="4"/>
  <c r="B11" i="4" s="1"/>
  <c r="V6" i="4"/>
  <c r="G7" i="5"/>
  <c r="G10" i="4"/>
  <c r="M10" i="4"/>
  <c r="J10" i="4"/>
  <c r="D10" i="4"/>
  <c r="C10" i="4"/>
  <c r="B38" i="4"/>
  <c r="F10" i="4"/>
  <c r="E10" i="4"/>
  <c r="K10" i="4"/>
  <c r="I10" i="4"/>
  <c r="N10" i="4"/>
  <c r="L10" i="4"/>
  <c r="H10" i="4"/>
  <c r="J7" i="5"/>
  <c r="J8" i="5"/>
  <c r="I26" i="1"/>
  <c r="H29" i="1"/>
  <c r="K29" i="1" s="1"/>
  <c r="T7" i="4" l="1"/>
  <c r="D8" i="4"/>
  <c r="D11" i="4" s="1"/>
  <c r="L8" i="4"/>
  <c r="M8" i="4"/>
  <c r="M11" i="4" s="1"/>
  <c r="C8" i="4"/>
  <c r="K8" i="4"/>
  <c r="K11" i="4" s="1"/>
  <c r="F8" i="4"/>
  <c r="F11" i="4" s="1"/>
  <c r="N8" i="4"/>
  <c r="N11" i="4" s="1"/>
  <c r="E8" i="4"/>
  <c r="I8" i="4"/>
  <c r="J8" i="4"/>
  <c r="J11" i="4" s="1"/>
  <c r="H8" i="4"/>
  <c r="H11" i="4" s="1"/>
  <c r="G8" i="4"/>
  <c r="G11" i="4" s="1"/>
  <c r="B12" i="4"/>
  <c r="R7" i="4"/>
  <c r="V7" i="4" s="1"/>
  <c r="O7" i="4"/>
  <c r="E11" i="4"/>
  <c r="S7" i="4"/>
  <c r="F30" i="5"/>
  <c r="F38" i="5" s="1"/>
  <c r="J30" i="5"/>
  <c r="J38" i="5" s="1"/>
  <c r="E30" i="5"/>
  <c r="E38" i="5" s="1"/>
  <c r="L30" i="5"/>
  <c r="L38" i="5" s="1"/>
  <c r="C30" i="5"/>
  <c r="C38" i="5" s="1"/>
  <c r="C39" i="5" s="1"/>
  <c r="R33" i="5"/>
  <c r="M30" i="5"/>
  <c r="M38" i="5" s="1"/>
  <c r="K30" i="5"/>
  <c r="K38" i="5" s="1"/>
  <c r="D30" i="5"/>
  <c r="D38" i="5" s="1"/>
  <c r="H30" i="5"/>
  <c r="H38" i="5" s="1"/>
  <c r="I30" i="5"/>
  <c r="I38" i="5" s="1"/>
  <c r="I39" i="5" s="1"/>
  <c r="G30" i="5"/>
  <c r="G38" i="5" s="1"/>
  <c r="J29" i="5"/>
  <c r="J37" i="5" s="1"/>
  <c r="F29" i="5"/>
  <c r="F37" i="5" s="1"/>
  <c r="G29" i="5"/>
  <c r="G37" i="5" s="1"/>
  <c r="I29" i="5"/>
  <c r="I37" i="5" s="1"/>
  <c r="H29" i="5"/>
  <c r="H37" i="5" s="1"/>
  <c r="L29" i="5"/>
  <c r="L37" i="5" s="1"/>
  <c r="D29" i="5"/>
  <c r="D37" i="5" s="1"/>
  <c r="M29" i="5"/>
  <c r="M37" i="5" s="1"/>
  <c r="M39" i="5" s="1"/>
  <c r="E29" i="5"/>
  <c r="E37" i="5" s="1"/>
  <c r="K29" i="5"/>
  <c r="K37" i="5" s="1"/>
  <c r="C29" i="5"/>
  <c r="C37" i="5" s="1"/>
  <c r="B29" i="5"/>
  <c r="B37" i="5" s="1"/>
  <c r="B39" i="5" s="1"/>
  <c r="U10" i="4"/>
  <c r="B25" i="4"/>
  <c r="O10" i="4"/>
  <c r="R10" i="4"/>
  <c r="T10" i="4"/>
  <c r="S10" i="4"/>
  <c r="L26" i="1"/>
  <c r="I29" i="1"/>
  <c r="L29" i="1" s="1"/>
  <c r="H39" i="5" l="1"/>
  <c r="J39" i="5"/>
  <c r="E39" i="5"/>
  <c r="L39" i="5"/>
  <c r="F39" i="5"/>
  <c r="K39" i="5"/>
  <c r="D39" i="5"/>
  <c r="G39" i="5"/>
  <c r="Q29" i="5"/>
  <c r="R8" i="4"/>
  <c r="O8" i="4"/>
  <c r="S8" i="4"/>
  <c r="S11" i="4" s="1"/>
  <c r="C11" i="4"/>
  <c r="U8" i="4"/>
  <c r="U11" i="4" s="1"/>
  <c r="T8" i="4"/>
  <c r="T11" i="4" s="1"/>
  <c r="L11" i="4"/>
  <c r="I11" i="4"/>
  <c r="R29" i="5"/>
  <c r="Q32" i="5"/>
  <c r="T32" i="5"/>
  <c r="T30" i="5"/>
  <c r="T33" i="5"/>
  <c r="Q33" i="5"/>
  <c r="T29" i="5"/>
  <c r="T37" i="5" s="1"/>
  <c r="S30" i="5"/>
  <c r="Q30" i="5"/>
  <c r="S32" i="5"/>
  <c r="S29" i="5"/>
  <c r="R30" i="5"/>
  <c r="R38" i="5" s="1"/>
  <c r="R32" i="5"/>
  <c r="S33" i="5"/>
  <c r="N29" i="5"/>
  <c r="N30" i="5"/>
  <c r="N32" i="5"/>
  <c r="N33" i="5"/>
  <c r="V10" i="4"/>
  <c r="R11" i="4"/>
  <c r="R37" i="5" l="1"/>
  <c r="S38" i="5"/>
  <c r="R39" i="5"/>
  <c r="O11" i="4"/>
  <c r="T38" i="5"/>
  <c r="T39" i="5" s="1"/>
  <c r="S37" i="5"/>
  <c r="S39" i="5" s="1"/>
  <c r="V8" i="4"/>
  <c r="V11" i="4" s="1"/>
  <c r="U29" i="5"/>
  <c r="U33" i="5"/>
  <c r="U32" i="5"/>
  <c r="U30" i="5"/>
  <c r="S12" i="4" l="1"/>
  <c r="T12" i="4"/>
  <c r="R12" i="4"/>
  <c r="U12" i="4"/>
  <c r="E8" i="2"/>
  <c r="Q8" i="2" s="1"/>
  <c r="E7" i="2"/>
  <c r="Q7" i="2" s="1"/>
  <c r="E6" i="2"/>
  <c r="Q6" i="2" s="1"/>
  <c r="Q2" i="2"/>
  <c r="E4" i="2"/>
  <c r="Q4" i="2" s="1"/>
  <c r="E9" i="2"/>
  <c r="Q9" i="2" s="1"/>
  <c r="E5" i="2"/>
  <c r="Q5" i="2" s="1"/>
  <c r="E3" i="2"/>
  <c r="Q11" i="2"/>
  <c r="E2" i="2"/>
  <c r="E10" i="2" l="1"/>
  <c r="Q10" i="2" s="1"/>
  <c r="Q3" i="2"/>
  <c r="U38" i="4"/>
  <c r="T38" i="4"/>
  <c r="S38" i="4"/>
  <c r="R38" i="4"/>
  <c r="O38" i="4"/>
  <c r="S24" i="4" l="1"/>
  <c r="U24" i="4"/>
  <c r="N35" i="6"/>
  <c r="Q35" i="6"/>
  <c r="S35" i="6"/>
  <c r="R24" i="4"/>
  <c r="T24" i="4"/>
  <c r="O24" i="4"/>
  <c r="U37" i="4"/>
  <c r="T37" i="4"/>
  <c r="S37" i="4"/>
  <c r="O37" i="4"/>
  <c r="R37" i="4"/>
  <c r="N22" i="4"/>
  <c r="M29" i="6" s="1"/>
  <c r="M22" i="4"/>
  <c r="L29" i="6" s="1"/>
  <c r="U36" i="4"/>
  <c r="L22" i="4"/>
  <c r="K29" i="6" s="1"/>
  <c r="K22" i="4"/>
  <c r="J29" i="6" s="1"/>
  <c r="J22" i="4"/>
  <c r="I29" i="6" s="1"/>
  <c r="I22" i="4"/>
  <c r="T36" i="4"/>
  <c r="H22" i="4"/>
  <c r="G29" i="6" s="1"/>
  <c r="G22" i="4"/>
  <c r="F29" i="6" s="1"/>
  <c r="S36" i="4"/>
  <c r="F22" i="4"/>
  <c r="E29" i="6" s="1"/>
  <c r="E22" i="4"/>
  <c r="D29" i="6" s="1"/>
  <c r="D22" i="4"/>
  <c r="C29" i="6" s="1"/>
  <c r="R36" i="4"/>
  <c r="O36" i="4"/>
  <c r="C22" i="4"/>
  <c r="B29" i="6" s="1"/>
  <c r="U35" i="4"/>
  <c r="T35" i="4"/>
  <c r="S35" i="4"/>
  <c r="R35" i="4"/>
  <c r="O35" i="4"/>
  <c r="U34" i="4"/>
  <c r="T34" i="4"/>
  <c r="S34" i="4"/>
  <c r="R34" i="4"/>
  <c r="O34" i="4"/>
  <c r="U33" i="4"/>
  <c r="T33" i="4"/>
  <c r="S33" i="4"/>
  <c r="O33" i="4"/>
  <c r="R33" i="4"/>
  <c r="U32" i="4"/>
  <c r="T32" i="4"/>
  <c r="S32" i="4"/>
  <c r="O32" i="4"/>
  <c r="R32" i="4"/>
  <c r="N26" i="4"/>
  <c r="N39" i="4"/>
  <c r="M39" i="4"/>
  <c r="M26" i="4"/>
  <c r="U31" i="4"/>
  <c r="L39" i="4"/>
  <c r="L26" i="4"/>
  <c r="B31" i="6" l="1"/>
  <c r="B30" i="6"/>
  <c r="Q29" i="6"/>
  <c r="G30" i="6"/>
  <c r="G38" i="6" s="1"/>
  <c r="G31" i="6"/>
  <c r="G39" i="6" s="1"/>
  <c r="M31" i="6"/>
  <c r="M39" i="6" s="1"/>
  <c r="M30" i="6"/>
  <c r="M38" i="6" s="1"/>
  <c r="Q36" i="6"/>
  <c r="T36" i="6"/>
  <c r="T35" i="6"/>
  <c r="T37" i="6"/>
  <c r="Q37" i="6"/>
  <c r="R20" i="6"/>
  <c r="Q26" i="6"/>
  <c r="R35" i="6"/>
  <c r="R36" i="6"/>
  <c r="R37" i="6"/>
  <c r="T14" i="6"/>
  <c r="R23" i="6"/>
  <c r="T22" i="4"/>
  <c r="H29" i="6"/>
  <c r="C30" i="6"/>
  <c r="C38" i="6" s="1"/>
  <c r="C31" i="6"/>
  <c r="C39" i="6" s="1"/>
  <c r="I31" i="6"/>
  <c r="I39" i="6" s="1"/>
  <c r="I30" i="6"/>
  <c r="I38" i="6" s="1"/>
  <c r="S32" i="6"/>
  <c r="Q23" i="6"/>
  <c r="R26" i="6"/>
  <c r="D30" i="6"/>
  <c r="D38" i="6" s="1"/>
  <c r="D31" i="6"/>
  <c r="D39" i="6" s="1"/>
  <c r="D40" i="6" s="1"/>
  <c r="J31" i="6"/>
  <c r="J39" i="6" s="1"/>
  <c r="J30" i="6"/>
  <c r="J38" i="6" s="1"/>
  <c r="J40" i="6" s="1"/>
  <c r="Q20" i="6"/>
  <c r="R29" i="6"/>
  <c r="E30" i="6"/>
  <c r="E38" i="6" s="1"/>
  <c r="E31" i="6"/>
  <c r="E39" i="6" s="1"/>
  <c r="T29" i="6"/>
  <c r="K30" i="6"/>
  <c r="K38" i="6" s="1"/>
  <c r="K31" i="6"/>
  <c r="K39" i="6" s="1"/>
  <c r="R23" i="4"/>
  <c r="N32" i="6"/>
  <c r="S36" i="6"/>
  <c r="S25" i="6"/>
  <c r="S23" i="6"/>
  <c r="S37" i="6"/>
  <c r="F30" i="6"/>
  <c r="F38" i="6" s="1"/>
  <c r="F31" i="6"/>
  <c r="F39" i="6" s="1"/>
  <c r="L30" i="6"/>
  <c r="L38" i="6" s="1"/>
  <c r="L31" i="6"/>
  <c r="L39" i="6" s="1"/>
  <c r="S23" i="4"/>
  <c r="U23" i="4"/>
  <c r="R22" i="4"/>
  <c r="O22" i="4"/>
  <c r="S22" i="4"/>
  <c r="U22" i="4"/>
  <c r="T23" i="4"/>
  <c r="O23" i="4"/>
  <c r="V24" i="4"/>
  <c r="K39" i="4"/>
  <c r="K26" i="4"/>
  <c r="J26" i="4"/>
  <c r="J39" i="4"/>
  <c r="I26" i="4"/>
  <c r="T31" i="4"/>
  <c r="I39" i="4"/>
  <c r="H39" i="4"/>
  <c r="H26" i="4"/>
  <c r="G39" i="4"/>
  <c r="G26" i="4"/>
  <c r="F26" i="4"/>
  <c r="S31" i="4"/>
  <c r="F39" i="4"/>
  <c r="E26" i="4"/>
  <c r="E39" i="4"/>
  <c r="D39" i="4"/>
  <c r="D26" i="4" s="1"/>
  <c r="R31" i="4"/>
  <c r="O31" i="4"/>
  <c r="C39" i="4"/>
  <c r="O39" i="4" s="1"/>
  <c r="C40" i="6" l="1"/>
  <c r="G40" i="6"/>
  <c r="E40" i="6"/>
  <c r="K40" i="6"/>
  <c r="F40" i="6"/>
  <c r="M40" i="6"/>
  <c r="L40" i="6"/>
  <c r="I40" i="6"/>
  <c r="U35" i="6"/>
  <c r="S33" i="6"/>
  <c r="S34" i="6"/>
  <c r="R21" i="6"/>
  <c r="Q33" i="6"/>
  <c r="R24" i="6"/>
  <c r="T15" i="6"/>
  <c r="T18" i="6"/>
  <c r="T17" i="6"/>
  <c r="T19" i="6"/>
  <c r="Q31" i="6"/>
  <c r="S18" i="6"/>
  <c r="S17" i="6"/>
  <c r="S19" i="6"/>
  <c r="Q17" i="6"/>
  <c r="R18" i="6"/>
  <c r="R19" i="6"/>
  <c r="R17" i="6"/>
  <c r="T31" i="6"/>
  <c r="T27" i="6"/>
  <c r="T28" i="6"/>
  <c r="U36" i="6"/>
  <c r="T30" i="6"/>
  <c r="Q24" i="6"/>
  <c r="T26" i="6"/>
  <c r="R22" i="6"/>
  <c r="T25" i="6"/>
  <c r="T24" i="6"/>
  <c r="T23" i="6"/>
  <c r="U23" i="6" s="1"/>
  <c r="N37" i="6"/>
  <c r="N36" i="6"/>
  <c r="T32" i="6"/>
  <c r="T33" i="6"/>
  <c r="T34" i="6"/>
  <c r="R31" i="6"/>
  <c r="Q21" i="6"/>
  <c r="R27" i="6"/>
  <c r="Q25" i="6"/>
  <c r="U37" i="6"/>
  <c r="Q34" i="6"/>
  <c r="V23" i="4"/>
  <c r="R30" i="6"/>
  <c r="Q22" i="6"/>
  <c r="R28" i="6"/>
  <c r="S20" i="6"/>
  <c r="H31" i="6"/>
  <c r="H39" i="6" s="1"/>
  <c r="H30" i="6"/>
  <c r="S29" i="6"/>
  <c r="U29" i="6" s="1"/>
  <c r="R25" i="6"/>
  <c r="Q28" i="6"/>
  <c r="S27" i="6"/>
  <c r="S26" i="6"/>
  <c r="S28" i="6"/>
  <c r="N29" i="6"/>
  <c r="T20" i="6"/>
  <c r="T22" i="6"/>
  <c r="T21" i="6"/>
  <c r="Q27" i="6"/>
  <c r="Q32" i="6"/>
  <c r="R32" i="6"/>
  <c r="R33" i="6"/>
  <c r="R34" i="6"/>
  <c r="S24" i="6"/>
  <c r="S21" i="6"/>
  <c r="T16" i="6"/>
  <c r="Q30" i="6"/>
  <c r="V22" i="4"/>
  <c r="C26" i="4"/>
  <c r="O26" i="4" s="1"/>
  <c r="T39" i="6" l="1"/>
  <c r="S30" i="6"/>
  <c r="H38" i="6"/>
  <c r="H40" i="6" s="1"/>
  <c r="T38" i="6"/>
  <c r="T40" i="6" s="1"/>
  <c r="S31" i="6"/>
  <c r="U20" i="6"/>
  <c r="U26" i="6"/>
  <c r="U25" i="6"/>
  <c r="U27" i="6"/>
  <c r="Q19" i="6"/>
  <c r="U19" i="6" s="1"/>
  <c r="R14" i="6"/>
  <c r="U34" i="6"/>
  <c r="U21" i="6"/>
  <c r="U24" i="6"/>
  <c r="U33" i="6"/>
  <c r="S22" i="6"/>
  <c r="U22" i="6" s="1"/>
  <c r="N30" i="6"/>
  <c r="U32" i="6"/>
  <c r="U28" i="6"/>
  <c r="N34" i="6"/>
  <c r="N33" i="6"/>
  <c r="U17" i="6"/>
  <c r="U31" i="6"/>
  <c r="U30" i="6"/>
  <c r="S14" i="6"/>
  <c r="Q18" i="6"/>
  <c r="U18" i="6" s="1"/>
  <c r="N31" i="6"/>
  <c r="S16" i="6" l="1"/>
  <c r="S39" i="6" s="1"/>
  <c r="R16" i="6"/>
  <c r="R39" i="6" s="1"/>
  <c r="R15" i="6"/>
  <c r="R38" i="6" s="1"/>
  <c r="R40" i="6" s="1"/>
  <c r="S15" i="6"/>
  <c r="S38" i="6" s="1"/>
  <c r="S40" i="6" s="1"/>
  <c r="Q15" i="5" l="1"/>
  <c r="N15" i="5"/>
  <c r="N38" i="5" s="1"/>
  <c r="Q13" i="5"/>
  <c r="N13" i="5"/>
  <c r="B14" i="6"/>
  <c r="Q14" i="6" s="1"/>
  <c r="B15" i="6"/>
  <c r="B38" i="6" s="1"/>
  <c r="N14" i="5"/>
  <c r="N37" i="5" s="1"/>
  <c r="N39" i="5" s="1"/>
  <c r="U15" i="5" l="1"/>
  <c r="U38" i="5" s="1"/>
  <c r="Q38" i="5"/>
  <c r="U14" i="6"/>
  <c r="N15" i="6"/>
  <c r="N38" i="6" s="1"/>
  <c r="Q15" i="6"/>
  <c r="S40" i="5"/>
  <c r="T40" i="5"/>
  <c r="R40" i="5"/>
  <c r="Q14" i="5"/>
  <c r="B16" i="6"/>
  <c r="B39" i="6" s="1"/>
  <c r="U13" i="5"/>
  <c r="N14" i="6"/>
  <c r="U15" i="6" l="1"/>
  <c r="U38" i="6" s="1"/>
  <c r="Q38" i="6"/>
  <c r="B40" i="6"/>
  <c r="U14" i="5"/>
  <c r="U37" i="5" s="1"/>
  <c r="U39" i="5" s="1"/>
  <c r="U40" i="5" s="1"/>
  <c r="Q37" i="5"/>
  <c r="Q39" i="5" s="1"/>
  <c r="Q40" i="5" s="1"/>
  <c r="Q16" i="6"/>
  <c r="Q39" i="6" s="1"/>
  <c r="N16" i="6"/>
  <c r="N39" i="6" s="1"/>
  <c r="N40" i="6" s="1"/>
  <c r="Q40" i="6" l="1"/>
  <c r="U16" i="6"/>
  <c r="U39" i="6" s="1"/>
  <c r="U40" i="6" s="1"/>
  <c r="V21" i="4" l="1"/>
  <c r="R21" i="4"/>
  <c r="E25" i="4"/>
  <c r="R20" i="4"/>
  <c r="S20" i="4"/>
  <c r="V20" i="4" s="1"/>
  <c r="O20" i="4"/>
  <c r="U17" i="4"/>
  <c r="U25" i="4" s="1"/>
  <c r="T21" i="4"/>
  <c r="T25" i="4" s="1"/>
  <c r="J25" i="4"/>
  <c r="S21" i="4"/>
  <c r="S19" i="4"/>
  <c r="U19" i="4"/>
  <c r="T17" i="4"/>
  <c r="V17" i="4" s="1"/>
  <c r="T20" i="4"/>
  <c r="S18" i="4"/>
  <c r="M25" i="4"/>
  <c r="O19" i="4"/>
  <c r="U18" i="4"/>
  <c r="L25" i="4"/>
  <c r="V18" i="4"/>
  <c r="R18" i="4"/>
  <c r="S17" i="4"/>
  <c r="S25" i="4" s="1"/>
  <c r="I25" i="4"/>
  <c r="R19" i="4"/>
  <c r="D25" i="4"/>
  <c r="N25" i="4"/>
  <c r="O17" i="4"/>
  <c r="F25" i="4"/>
  <c r="G25" i="4"/>
  <c r="R17" i="4"/>
  <c r="R25" i="4" s="1"/>
  <c r="K25" i="4"/>
  <c r="H25" i="4"/>
  <c r="T18" i="4"/>
  <c r="C25" i="4"/>
  <c r="U20" i="4"/>
  <c r="O18" i="4"/>
  <c r="T19" i="4"/>
  <c r="V19" i="4" s="1"/>
  <c r="O21" i="4"/>
  <c r="U21" i="4"/>
  <c r="O25" i="4" l="1"/>
  <c r="V25" i="4"/>
  <c r="T26" i="4" s="1"/>
  <c r="S26" i="4" l="1"/>
  <c r="R26" i="4"/>
  <c r="U26" i="4"/>
  <c r="C136" i="9"/>
  <c r="C62" i="9"/>
  <c r="O69" i="10"/>
  <c r="O68" i="10"/>
  <c r="O70" i="10" l="1"/>
  <c r="K102" i="10"/>
  <c r="K104" i="10" s="1"/>
  <c r="H102" i="10"/>
  <c r="H104" i="10" s="1"/>
  <c r="E102" i="10"/>
  <c r="E104" i="10" s="1"/>
  <c r="I102" i="10"/>
  <c r="I104" i="10" s="1"/>
  <c r="J102" i="10"/>
  <c r="J104" i="10" s="1"/>
  <c r="C102" i="10"/>
  <c r="C104" i="10" s="1"/>
  <c r="G104" i="10"/>
  <c r="G102" i="10"/>
  <c r="F102" i="10"/>
  <c r="F104" i="10" s="1"/>
  <c r="L102" i="10"/>
  <c r="L104" i="10"/>
  <c r="M102" i="10"/>
  <c r="M104" i="10" s="1"/>
  <c r="N102" i="10"/>
  <c r="N104" i="10" s="1"/>
  <c r="D102" i="10"/>
  <c r="D104" i="10" s="1"/>
  <c r="E126" i="10" l="1"/>
  <c r="E124" i="10"/>
  <c r="D126" i="10"/>
  <c r="D124" i="10"/>
  <c r="L126" i="10"/>
  <c r="L124" i="10"/>
  <c r="K126" i="10"/>
  <c r="K124" i="10"/>
  <c r="M126" i="10"/>
  <c r="M124" i="10"/>
  <c r="I124" i="10"/>
  <c r="I126" i="10"/>
  <c r="F126" i="10"/>
  <c r="F124" i="10"/>
  <c r="G126" i="10"/>
  <c r="G124" i="10"/>
  <c r="J124" i="10"/>
  <c r="J126" i="10"/>
  <c r="H124" i="10"/>
  <c r="H126" i="10"/>
  <c r="N126" i="10"/>
  <c r="N12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Özge Aytar Şahin</author>
    <author>tc={DAB4738C-B71B-E448-84A6-F9313737ABBC}</author>
    <author>tc={83703472-2677-0C4E-A15E-ED8C524DA1B7}</author>
  </authors>
  <commentList>
    <comment ref="G2" authorId="0" shapeId="0" xr:uid="{0C5A18E8-714D-8941-8AF2-2D537A0577F8}">
      <text>
        <r>
          <rPr>
            <b/>
            <sz val="9"/>
            <color indexed="81"/>
            <rFont val="Tahoma"/>
            <family val="2"/>
          </rPr>
          <t>Özge Aytar Şahin:</t>
        </r>
        <r>
          <rPr>
            <sz val="9"/>
            <color indexed="81"/>
            <rFont val="Tahoma"/>
            <family val="2"/>
          </rPr>
          <t xml:space="preserve">
FATURALANDI</t>
        </r>
      </text>
    </comment>
    <comment ref="G3" authorId="0" shapeId="0" xr:uid="{CB8F9512-0286-8840-A441-1C89A8172541}">
      <text>
        <r>
          <rPr>
            <b/>
            <sz val="9"/>
            <color rgb="FF000000"/>
            <rFont val="Tahoma"/>
            <family val="2"/>
          </rPr>
          <t>Özge Aytar Şahin: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1.116.000 tl 2026 bakım bedeli 2025 DE KESİLDİ.</t>
        </r>
      </text>
    </comment>
    <comment ref="G10" authorId="0" shapeId="0" xr:uid="{01C9EBA0-B84E-524A-854C-3AE88178367F}">
      <text>
        <r>
          <rPr>
            <b/>
            <sz val="9"/>
            <color indexed="81"/>
            <rFont val="Tahoma"/>
            <family val="2"/>
          </rPr>
          <t>Özge Aytar Şahin:</t>
        </r>
        <r>
          <rPr>
            <sz val="9"/>
            <color indexed="81"/>
            <rFont val="Tahoma"/>
            <family val="2"/>
          </rPr>
          <t xml:space="preserve">
7.644.633 TL 2026 bakımı 2025 aralık ayında faturalandı</t>
        </r>
      </text>
    </comment>
    <comment ref="G20" authorId="1" shapeId="0" xr:uid="{DAB4738C-B71B-E448-84A6-F9313737ABBC}">
      <text>
        <t>[Threaded comment]
Your version of Excel allows you to read this threaded comment; however, any edits to it will get removed if the file is opened in a newer version of Excel. Learn more: https://go.microsoft.com/fwlink/?linkid=870924
Comment:
    Sonlanma ihtarı geldi.</t>
      </text>
    </comment>
    <comment ref="G22" authorId="2" shapeId="0" xr:uid="{83703472-2677-0C4E-A15E-ED8C524DA1B7}">
      <text>
        <t>[Threaded comment]
Your version of Excel allows you to read this threaded comment; however, any edits to it will get removed if the file is opened in a newer version of Excel. Learn more: https://go.microsoft.com/fwlink/?linkid=870924
Comment:
    3.600.000 TL lik kısmı  faturalandı</t>
      </text>
    </comment>
    <comment ref="G76" authorId="0" shapeId="0" xr:uid="{4A74DADF-1C69-B945-B572-BD822384F185}">
      <text>
        <r>
          <rPr>
            <sz val="9"/>
            <color indexed="81"/>
            <rFont val="Tahoma"/>
            <family val="2"/>
            <charset val="162"/>
          </rPr>
          <t xml:space="preserve">
Eski SY Onur 2026 yılının tamamını 2025'te fatura etmiş gibi görünüyor.</t>
        </r>
      </text>
    </comment>
    <comment ref="G93" authorId="0" shapeId="0" xr:uid="{9231B7CE-23F5-0B40-968B-E19629B03566}">
      <text>
        <r>
          <rPr>
            <b/>
            <sz val="9"/>
            <color indexed="81"/>
            <rFont val="Tahoma"/>
            <family val="2"/>
          </rPr>
          <t>Özge Aytar Şahin:</t>
        </r>
        <r>
          <rPr>
            <sz val="9"/>
            <color indexed="81"/>
            <rFont val="Tahoma"/>
            <family val="2"/>
          </rPr>
          <t xml:space="preserve">
ARALIKTA FATURALANDI</t>
        </r>
      </text>
    </comment>
    <comment ref="G113" authorId="0" shapeId="0" xr:uid="{DBFFD664-3A20-FA4B-9369-3642C7A70AF3}">
      <text>
        <r>
          <rPr>
            <b/>
            <sz val="9"/>
            <color indexed="81"/>
            <rFont val="Tahoma"/>
            <family val="2"/>
          </rPr>
          <t>Özge Aytar Şahin:</t>
        </r>
        <r>
          <rPr>
            <sz val="9"/>
            <color indexed="81"/>
            <rFont val="Tahoma"/>
            <family val="2"/>
          </rPr>
          <t xml:space="preserve">
OCAKTA FATURALANDI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Özge Aytar Şahin</author>
  </authors>
  <commentList>
    <comment ref="R7" authorId="0" shapeId="0" xr:uid="{814AA9AC-6F54-A54D-88AD-967B5818C699}">
      <text>
        <r>
          <rPr>
            <b/>
            <sz val="10"/>
            <color rgb="FF000000"/>
            <rFont val="Helvetica Neue"/>
            <family val="2"/>
          </rPr>
          <t>Özge Aytar Şahin:</t>
        </r>
        <r>
          <rPr>
            <sz val="10"/>
            <color rgb="FF000000"/>
            <rFont val="Helvetica Neue"/>
            <family val="2"/>
          </rPr>
          <t xml:space="preserve">
</t>
        </r>
        <r>
          <rPr>
            <sz val="10"/>
            <color rgb="FF000000"/>
            <rFont val="Helvetica Neue"/>
            <family val="2"/>
          </rPr>
          <t>Demirhan ile görüştüğümüzde son olarak daha gerçekçi tutarı 70 mio gibi gördüklerini iletti.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Levent Burak Demiralp</author>
  </authors>
  <commentList>
    <comment ref="F9" authorId="0" shapeId="0" xr:uid="{4CE929D9-D0D3-8B49-A0F0-773FB7E267BC}">
      <text>
        <r>
          <rPr>
            <b/>
            <sz val="10"/>
            <color rgb="FF000000"/>
            <rFont val="Tahoma"/>
            <family val="2"/>
          </rPr>
          <t>Levent Burak Demiralp: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Dağıtım farkından kaynaklanan 3.687.107 tl ServiceCore dan düşülmüştür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Özge Aytar Şahin</author>
  </authors>
  <commentList>
    <comment ref="Q7" authorId="0" shapeId="0" xr:uid="{79C3D315-0784-E046-A6D4-3212378D089D}">
      <text>
        <r>
          <rPr>
            <b/>
            <sz val="10"/>
            <color rgb="FF000000"/>
            <rFont val="Helvetica Neue"/>
            <family val="2"/>
          </rPr>
          <t>Özge Aytar Şahin:</t>
        </r>
        <r>
          <rPr>
            <sz val="10"/>
            <color rgb="FF000000"/>
            <rFont val="Helvetica Neue"/>
            <family val="2"/>
          </rPr>
          <t xml:space="preserve">
</t>
        </r>
        <r>
          <rPr>
            <sz val="10"/>
            <color rgb="FF000000"/>
            <rFont val="Helvetica Neue"/>
            <family val="2"/>
          </rPr>
          <t>Demirhan ile görüştüğümüzde son olarak daha gerçekçi tutarı 70 mio gibi gördüklerini iletti.</t>
        </r>
      </text>
    </comment>
    <comment ref="G14" authorId="0" shapeId="0" xr:uid="{DED80BA6-5062-7545-B508-F55138A1688D}">
      <text>
        <r>
          <rPr>
            <b/>
            <sz val="9"/>
            <color rgb="FF000000"/>
            <rFont val="Tahoma"/>
            <family val="2"/>
          </rPr>
          <t>Özge Aytar Şahin: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Yıl sonu BE toplamı 390 mio olarak güncellendi.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Levent Burak Demiralp</author>
  </authors>
  <commentList>
    <comment ref="F9" authorId="0" shapeId="0" xr:uid="{BE8044AF-4BC5-1C42-83A7-0624C61C65F8}">
      <text>
        <r>
          <rPr>
            <b/>
            <sz val="10"/>
            <color rgb="FF000000"/>
            <rFont val="Tahoma"/>
            <family val="2"/>
          </rPr>
          <t>Levent Burak Demiralp: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Dağıtım farkından kaynaklanan 3.687.107 tl ServiceCore dan düşülmüştür
</t>
        </r>
      </text>
    </comment>
  </commentList>
</comments>
</file>

<file path=xl/sharedStrings.xml><?xml version="1.0" encoding="utf-8"?>
<sst xmlns="http://schemas.openxmlformats.org/spreadsheetml/2006/main" count="3812" uniqueCount="422">
  <si>
    <t>Index'e Dön</t>
  </si>
  <si>
    <t>2026 Satış Slideları</t>
  </si>
  <si>
    <t>(07.01.26)</t>
  </si>
  <si>
    <t>Ürün Bazında Gelirler (TL)</t>
  </si>
  <si>
    <t>Ürün Yön.</t>
  </si>
  <si>
    <t>Satış Tipi Bazında Gelirler (TL)</t>
  </si>
  <si>
    <t>Ürünler</t>
  </si>
  <si>
    <t>2025 
Yeni Satış</t>
  </si>
  <si>
    <t>2025 
Mevcut Müşteri</t>
  </si>
  <si>
    <t>2025 (G)</t>
  </si>
  <si>
    <t>YS Artış%</t>
  </si>
  <si>
    <t xml:space="preserve">2026 
 Yeni Satış </t>
  </si>
  <si>
    <t>2025 
Churn</t>
  </si>
  <si>
    <t>Churn Sonrası MM</t>
  </si>
  <si>
    <t>MM Artış %</t>
  </si>
  <si>
    <t>2026
Mevcut Müşteri</t>
  </si>
  <si>
    <t>2026 Bütçe Tahmini 2026</t>
  </si>
  <si>
    <t>2026 Satış Tahmini</t>
  </si>
  <si>
    <t xml:space="preserve">2026 
Satış Tahmini </t>
  </si>
  <si>
    <t>Ürün Gelirleri</t>
  </si>
  <si>
    <t>2026 (P)</t>
  </si>
  <si>
    <t>2025 Büyüme</t>
  </si>
  <si>
    <t>2026 Büyüme (P)</t>
  </si>
  <si>
    <t>Satış Tipi</t>
  </si>
  <si>
    <t>Büyüme (P)</t>
  </si>
  <si>
    <t>Enroute</t>
  </si>
  <si>
    <t>Yeni Satış</t>
  </si>
  <si>
    <t>Quest</t>
  </si>
  <si>
    <t>Yenileme</t>
  </si>
  <si>
    <t>Stokbar</t>
  </si>
  <si>
    <t>Toplam</t>
  </si>
  <si>
    <t>CallDesk</t>
  </si>
  <si>
    <t>Varuna</t>
  </si>
  <si>
    <t>Unidox</t>
  </si>
  <si>
    <t>Hosting</t>
  </si>
  <si>
    <t>BFH</t>
  </si>
  <si>
    <t>2026 Tahmin</t>
  </si>
  <si>
    <t xml:space="preserve">Yenileme </t>
  </si>
  <si>
    <t>Genel Toplam</t>
  </si>
  <si>
    <t>2026 Tahmin Düzeltilmiş</t>
  </si>
  <si>
    <t>Toplam (TL)</t>
  </si>
  <si>
    <t>Toplam (%)</t>
  </si>
  <si>
    <t>Aylık Ciro Payı (%)</t>
  </si>
  <si>
    <t>2026 (P) Büyüme</t>
  </si>
  <si>
    <t>Hedefler</t>
  </si>
  <si>
    <t>Ürün Bazında Gelirler (TL) V11</t>
  </si>
  <si>
    <t xml:space="preserve">Yazılım satışının %20 si kadar ek e-dönüşüm ürünleri satalım </t>
  </si>
  <si>
    <t>İş ortaklarını sayısını 70 ve üzerine çıkaralım</t>
  </si>
  <si>
    <t>Yıl</t>
  </si>
  <si>
    <t>Sum of Net Satış</t>
  </si>
  <si>
    <t>Column Labels</t>
  </si>
  <si>
    <t>Row Labels</t>
  </si>
  <si>
    <t>Calldesk</t>
  </si>
  <si>
    <t>E-Dönüşüm</t>
  </si>
  <si>
    <t>BFG</t>
  </si>
  <si>
    <t>Outsource - Hizmet</t>
  </si>
  <si>
    <t>Grand Total</t>
  </si>
  <si>
    <t>Begüm Hayta</t>
  </si>
  <si>
    <t>Eren Oral</t>
  </si>
  <si>
    <t>Grup içi</t>
  </si>
  <si>
    <t>Grup İçi</t>
  </si>
  <si>
    <t>İş Ortaklıkları</t>
  </si>
  <si>
    <t>Mülkiye Akdoğaner</t>
  </si>
  <si>
    <t>Mülkiye Akdoğaner Arıcı</t>
  </si>
  <si>
    <t>Nigar Uygun</t>
  </si>
  <si>
    <t>Özlem Özge Güler</t>
  </si>
  <si>
    <t>Semih Balaban</t>
  </si>
  <si>
    <t>(blank)</t>
  </si>
  <si>
    <t>Mevcut müşterilerin %75 ne hosting satalım (75-28=47) 350K ortalama</t>
  </si>
  <si>
    <t>ServiceCore</t>
  </si>
  <si>
    <t>Ürün Bazında Gelirler (TL) Draft Plan</t>
  </si>
  <si>
    <t>2026 Yılı Aylık Ciro Dağılım Tablosu</t>
  </si>
  <si>
    <t>2026 Yılı Çeyrekler Bazında Ciro Dağılım Tablosu</t>
  </si>
  <si>
    <t>2026 Yılı Çeyrekler Bazında Ciro</t>
  </si>
  <si>
    <t>Satış Hedef Bütçe - Ürün-Gelir Tipi ve Müşteri Yöneticisi Bazında (2026)</t>
  </si>
  <si>
    <t>Net Satış M TL</t>
  </si>
  <si>
    <t>Direk+Endirek Satış Toplam</t>
  </si>
  <si>
    <t>2026 Yılı Ürünbazında Yeni Satış ve Yenileme Aylık Hedefleri Tablosu</t>
  </si>
  <si>
    <t>Satış Hedef Bütçe - Ürün-Gelir Tipi Bazında (2026)</t>
  </si>
  <si>
    <t>2026 Yılı Ürün Bazında Aylık Hedef Tablosu</t>
  </si>
  <si>
    <t>Direk Satış</t>
  </si>
  <si>
    <t>Nigar Uygun - Özge Güler</t>
  </si>
  <si>
    <t>Özge Güler</t>
  </si>
  <si>
    <t>Melike Akgünlü</t>
  </si>
  <si>
    <t>Kanal + Unidox Satış</t>
  </si>
  <si>
    <t>Derya kömleksiz</t>
  </si>
  <si>
    <t>Gülçin Erçebi</t>
  </si>
  <si>
    <t>Özlem Gülbahar</t>
  </si>
  <si>
    <t>Kanal</t>
  </si>
  <si>
    <t>Yeni Dağılıma Göre YS Payı %</t>
  </si>
  <si>
    <t>Yeni Dağılıma Göre Yenileme Payı %</t>
  </si>
  <si>
    <t>Yeni Dağılıma Göre YS Tahmini</t>
  </si>
  <si>
    <t>Yeni Dağılıma Göre Yenileme Tahmini</t>
  </si>
  <si>
    <t>Yenileme 2026</t>
  </si>
  <si>
    <t>Satış Hedef Bütçe - Ürün Bazlı</t>
  </si>
  <si>
    <t>Yeni Satış 2025</t>
  </si>
  <si>
    <t>Yenileme 2025</t>
  </si>
  <si>
    <t>Total 2025</t>
  </si>
  <si>
    <t>YS Büyüme Hedefi</t>
  </si>
  <si>
    <t>Yeni Satış 2026</t>
  </si>
  <si>
    <t>Total 2026</t>
  </si>
  <si>
    <t>2026 Büyüme</t>
  </si>
  <si>
    <t>Satış İçindeki Oranı</t>
  </si>
  <si>
    <t>Satış Hedef Bütçe - Ürün ve Gelir Tipi Bazında Bazlı (2025-2026)</t>
  </si>
  <si>
    <t>Yenileme 2026 Hedefi</t>
  </si>
  <si>
    <t>Ciro Oranı</t>
  </si>
  <si>
    <t>2025 Kanal Satış Gerçekleşmeleri</t>
  </si>
  <si>
    <t>Dilek Saygılı</t>
  </si>
  <si>
    <t>Toplam Hedef Notları</t>
  </si>
  <si>
    <t>*Hosting yenilemelerine 2026 SY dağılımdaki şirketlere göre girilimiştir. Yeni satışlar mevcut şeklinde bırakılmıştır</t>
  </si>
  <si>
    <t>*Artış varsayımı yenilemede %30, Yeni satışta %56 büyümedir</t>
  </si>
  <si>
    <t>*Calldesk - Service Core Otomotiv sektörü ürünü olduğu için sadece Semih Balaban hedef verilmiştir - ok</t>
  </si>
  <si>
    <t>*BFG arttırılacak ve yayılacak - ok</t>
  </si>
  <si>
    <t>*Edönüşüm hedefleri girecek - ok</t>
  </si>
  <si>
    <t>*Kanal hedefleri ayrıca hesaplanarak ayrıştırılacak -ok</t>
  </si>
  <si>
    <t>2025 Total</t>
  </si>
  <si>
    <t>Lisans</t>
  </si>
  <si>
    <t>Kontor Satışı</t>
  </si>
  <si>
    <t>E-Defter</t>
  </si>
  <si>
    <t>Duygu Topal</t>
  </si>
  <si>
    <t>Yazılım</t>
  </si>
  <si>
    <t>Murat Altındişli</t>
  </si>
  <si>
    <t>Kanal+Unidox</t>
  </si>
  <si>
    <t>Soner Ayvazoğlu</t>
  </si>
  <si>
    <t>Derya Kömleksiz</t>
  </si>
  <si>
    <t>Yeni Müşteri Yöneticisi</t>
  </si>
  <si>
    <t>Dilara Boğu</t>
  </si>
  <si>
    <t>Nimet Özlem Gülbahar</t>
  </si>
  <si>
    <t>Barbaros Özdemir</t>
  </si>
  <si>
    <t>Melih Alataş</t>
  </si>
  <si>
    <t>Onur Günay</t>
  </si>
  <si>
    <t>Oca</t>
  </si>
  <si>
    <t>Şub</t>
  </si>
  <si>
    <t>Mar</t>
  </si>
  <si>
    <t>Nis</t>
  </si>
  <si>
    <t>May</t>
  </si>
  <si>
    <t>Haz</t>
  </si>
  <si>
    <t>Tem</t>
  </si>
  <si>
    <t>Ağu</t>
  </si>
  <si>
    <t>Eyl</t>
  </si>
  <si>
    <t>Eki</t>
  </si>
  <si>
    <t>Kas</t>
  </si>
  <si>
    <t>Ara</t>
  </si>
  <si>
    <t>Yıllık Toplam</t>
  </si>
  <si>
    <t>YS + Yen.</t>
  </si>
  <si>
    <t>Mülkiye Akdoğaner  —  Direkt Satış</t>
  </si>
  <si>
    <t>Begüm Hayta  —  Direkt Satış</t>
  </si>
  <si>
    <t>Semih Balaban  —  Direkt Satış</t>
  </si>
  <si>
    <t>Özge Güler  —  Direkt Satış</t>
  </si>
  <si>
    <t>Melike Akgünlü  —  Direkt Satış</t>
  </si>
  <si>
    <t>Derya Kömleksiz  —  Kanal Satış</t>
  </si>
  <si>
    <t>Gülçin Erçebi  —  Kanal Satış</t>
  </si>
  <si>
    <t>Özlem Gülbahar  —  Kanal Satış</t>
  </si>
  <si>
    <t>Univera Toplam Satış</t>
  </si>
  <si>
    <t>Q1</t>
  </si>
  <si>
    <t>Q2</t>
  </si>
  <si>
    <t>Q3</t>
  </si>
  <si>
    <t>Q4</t>
  </si>
  <si>
    <r>
      <t xml:space="preserve">2026 Satış Hedefleri - </t>
    </r>
    <r>
      <rPr>
        <b/>
        <sz val="11"/>
        <color rgb="FFFFC000"/>
        <rFont val="Helvetica Neue"/>
        <family val="2"/>
      </rPr>
      <t>671 Milyon TL Senaryosu</t>
    </r>
    <r>
      <rPr>
        <b/>
        <sz val="11"/>
        <color rgb="FFFFFFFF"/>
        <rFont val="Helvetica Neue"/>
        <family val="2"/>
      </rPr>
      <t xml:space="preserve"> | Aylık Ürün Bazında Hedef Tabloları (.000 TRY)</t>
    </r>
  </si>
  <si>
    <r>
      <t xml:space="preserve">2026 Satış Hedefleri - </t>
    </r>
    <r>
      <rPr>
        <b/>
        <sz val="11"/>
        <color rgb="FFFFC000"/>
        <rFont val="Helvetica Neue"/>
        <family val="2"/>
      </rPr>
      <t>671M TL Senaryosu</t>
    </r>
    <r>
      <rPr>
        <b/>
        <sz val="11"/>
        <color theme="0"/>
        <rFont val="Helvetica Neue"/>
        <family val="2"/>
      </rPr>
      <t xml:space="preserve"> | Çeyrek Ürün Bazında Hedefler (.000 TRY)</t>
    </r>
  </si>
  <si>
    <r>
      <t xml:space="preserve">2026 Satış Hedefleri - </t>
    </r>
    <r>
      <rPr>
        <sz val="11"/>
        <color rgb="FFFFC000"/>
        <rFont val="Helvetica Neue"/>
        <family val="2"/>
      </rPr>
      <t>600 Milyon TL Senaryosu</t>
    </r>
    <r>
      <rPr>
        <sz val="11"/>
        <color rgb="FFFFFFFF"/>
        <rFont val="Helvetica Neue"/>
        <family val="2"/>
      </rPr>
      <t xml:space="preserve"> | Aylık Ürün Bazında Hedef Tabloları (.000 TRY)</t>
    </r>
  </si>
  <si>
    <r>
      <t xml:space="preserve">2026 Satış Hedefleri - </t>
    </r>
    <r>
      <rPr>
        <sz val="11"/>
        <color rgb="FFFFC000"/>
        <rFont val="Helvetica Neue"/>
        <family val="2"/>
      </rPr>
      <t>600M TL Senaryosu</t>
    </r>
    <r>
      <rPr>
        <sz val="11"/>
        <color theme="0"/>
        <rFont val="Helvetica Neue"/>
        <family val="2"/>
      </rPr>
      <t xml:space="preserve"> | Çeyrek Ürün Bazında Hedefler (.000 TRY)</t>
    </r>
  </si>
  <si>
    <t>Çeyreklik Ciro Payı (%)</t>
  </si>
  <si>
    <t>Toplam Yeni Satış</t>
  </si>
  <si>
    <t>Toplam Yenileme</t>
  </si>
  <si>
    <t>Yeni Müşteri</t>
  </si>
  <si>
    <t>Yeni Ürün</t>
  </si>
  <si>
    <t>Mevcut Müşteri</t>
  </si>
  <si>
    <t>Mevcut Ürün</t>
  </si>
  <si>
    <t>Dilara Bogu</t>
  </si>
  <si>
    <t>Dilara Bogu  —  Direk Satış</t>
  </si>
  <si>
    <t>Özge Güler - (Nigar Uygun)  —  Direkt Satış</t>
  </si>
  <si>
    <t>TOPLAM</t>
  </si>
  <si>
    <t>Hayır</t>
  </si>
  <si>
    <t>Antalya</t>
  </si>
  <si>
    <t>Var</t>
  </si>
  <si>
    <t>Otomotiv Yan Sanayi</t>
  </si>
  <si>
    <t>Otomotiv</t>
  </si>
  <si>
    <t>WAGNER KABLO</t>
  </si>
  <si>
    <t>Aktif</t>
  </si>
  <si>
    <t>İstanbul</t>
  </si>
  <si>
    <t>Temizlik Deterjan</t>
  </si>
  <si>
    <t>FMCG</t>
  </si>
  <si>
    <t>VILEDA</t>
  </si>
  <si>
    <t>UNILEVER</t>
  </si>
  <si>
    <t>Key Account</t>
  </si>
  <si>
    <t>Yok</t>
  </si>
  <si>
    <t>Üretici</t>
  </si>
  <si>
    <t>Cam Sanayi</t>
  </si>
  <si>
    <t>ŞİŞECAM</t>
  </si>
  <si>
    <t>TRAKYA CAM &amp; PAŞABAHÇE</t>
  </si>
  <si>
    <t>Elektrikli Otomotiv</t>
  </si>
  <si>
    <t>TOGG</t>
  </si>
  <si>
    <t>Eroute, Stokbar</t>
  </si>
  <si>
    <t>RECKITT BENCKISER</t>
  </si>
  <si>
    <t>PASABAHÇE</t>
  </si>
  <si>
    <t>Ankara</t>
  </si>
  <si>
    <t>Otomotiv - Savunma Sanayi</t>
  </si>
  <si>
    <t>NUROL MAKINA</t>
  </si>
  <si>
    <t>Denizli</t>
  </si>
  <si>
    <t>Ev Tekstili</t>
  </si>
  <si>
    <t>Tekstil</t>
  </si>
  <si>
    <t>MENDERES HOME</t>
  </si>
  <si>
    <t>LEVENT KIMYA</t>
  </si>
  <si>
    <t>KOROPLAST</t>
  </si>
  <si>
    <t>Motorsiklet</t>
  </si>
  <si>
    <t>K-RIDES</t>
  </si>
  <si>
    <t>Evet</t>
  </si>
  <si>
    <t>HAYAT KIMYA</t>
  </si>
  <si>
    <t>Ağır Vasıta</t>
  </si>
  <si>
    <t>HABAŞ</t>
  </si>
  <si>
    <t>Yeni</t>
  </si>
  <si>
    <t>Kozmetik</t>
  </si>
  <si>
    <t>DERMOKİL</t>
  </si>
  <si>
    <t>EZEL KOZMETİK - DERMOKİL</t>
  </si>
  <si>
    <t>Enroute, Quest</t>
  </si>
  <si>
    <t>Gaziantep</t>
  </si>
  <si>
    <t>ERUSLU</t>
  </si>
  <si>
    <t>İzmir</t>
  </si>
  <si>
    <t>Mermer</t>
  </si>
  <si>
    <t>Madencilik</t>
  </si>
  <si>
    <t>EMINOGLU MERMERCILIK</t>
  </si>
  <si>
    <t>ECZACIBAŞI</t>
  </si>
  <si>
    <t>ECZACIBASI PROFESYONEL</t>
  </si>
  <si>
    <t>Seramik ve Armatür</t>
  </si>
  <si>
    <t>İnşaat</t>
  </si>
  <si>
    <t>ECZACIBASI INTEMA</t>
  </si>
  <si>
    <t>ECZACIBASI GIRISIM</t>
  </si>
  <si>
    <t>Lastik Üretimi</t>
  </si>
  <si>
    <t>BRISA BRIDGESTONE</t>
  </si>
  <si>
    <t>Calldesk, Enroute, Quest</t>
  </si>
  <si>
    <t>BMC</t>
  </si>
  <si>
    <t>BELGİN - BELKIM</t>
  </si>
  <si>
    <t>ANADOLU MOTOR - STOKBAR</t>
  </si>
  <si>
    <t>Operatör</t>
  </si>
  <si>
    <t>Telekom</t>
  </si>
  <si>
    <t>VODAFONE</t>
  </si>
  <si>
    <t>Yurtdışı</t>
  </si>
  <si>
    <t>Dağıtıcı</t>
  </si>
  <si>
    <t>TURKUAZ - KAZAKISTAN</t>
  </si>
  <si>
    <t>TURKUAZ - KIRGIZİSTAN</t>
  </si>
  <si>
    <t>Hazır Yemek</t>
  </si>
  <si>
    <t>Üretim</t>
  </si>
  <si>
    <t>TURKISH DO &amp; CO</t>
  </si>
  <si>
    <t>Sonlandı</t>
  </si>
  <si>
    <t>Konya</t>
  </si>
  <si>
    <t>Gıda Üretimi</t>
  </si>
  <si>
    <t>TORKU KONYA SEKER</t>
  </si>
  <si>
    <t>Hatay</t>
  </si>
  <si>
    <t>Meyve</t>
  </si>
  <si>
    <t>SBR TARIM ÜRÜNLERI</t>
  </si>
  <si>
    <t>Pet Mama</t>
  </si>
  <si>
    <t>ROYAL CANIN</t>
  </si>
  <si>
    <t>OMEGA PHARMA (PERRIGO)</t>
  </si>
  <si>
    <t>Bakım Hizmetleri</t>
  </si>
  <si>
    <t>Hizmet</t>
  </si>
  <si>
    <t>OMAK</t>
  </si>
  <si>
    <t>NIVEA BEIERSDORF</t>
  </si>
  <si>
    <t>NETLOG KÜRESEL PAZ.</t>
  </si>
  <si>
    <t>LOREAL</t>
  </si>
  <si>
    <t>LOREAL TÜKETICI</t>
  </si>
  <si>
    <t>LOREAL LUX</t>
  </si>
  <si>
    <t>LOREAL KUAFÖR</t>
  </si>
  <si>
    <t>LOREAL ECZANE</t>
  </si>
  <si>
    <t>KÜRESEL TEDARIK</t>
  </si>
  <si>
    <t>HOBBY-RA PAZARLAMA</t>
  </si>
  <si>
    <t>GLAXOSMITKLINE ILAÇ</t>
  </si>
  <si>
    <t>Palm Yağı</t>
  </si>
  <si>
    <t>FELDA IFFCO</t>
  </si>
  <si>
    <t>EVYAP</t>
  </si>
  <si>
    <t>DÜZEY TÜKETIM</t>
  </si>
  <si>
    <t>Lojitek</t>
  </si>
  <si>
    <t>Meyve Konsantre</t>
  </si>
  <si>
    <t>DÖHLER GIDA</t>
  </si>
  <si>
    <t>DÖHLER GIDA - KONFRUT</t>
  </si>
  <si>
    <t>DERKO KOZMETIK</t>
  </si>
  <si>
    <t>BURDA BEBEK</t>
  </si>
  <si>
    <t>Yağ Üretimi</t>
  </si>
  <si>
    <t>BILGINOGLU</t>
  </si>
  <si>
    <t>ARMA İLAÇ</t>
  </si>
  <si>
    <t>Alkol</t>
  </si>
  <si>
    <t>WEIUTNAER</t>
  </si>
  <si>
    <t>Bursa</t>
  </si>
  <si>
    <t>İçecek</t>
  </si>
  <si>
    <t>ULUDAG IÇECEK</t>
  </si>
  <si>
    <t>Tütün</t>
  </si>
  <si>
    <t>TURKTAB</t>
  </si>
  <si>
    <t>Kahve</t>
  </si>
  <si>
    <t>TCHIBO</t>
  </si>
  <si>
    <t>SÜTAS</t>
  </si>
  <si>
    <t>SARPER IÇECEK - BEYLERBEYİ</t>
  </si>
  <si>
    <t>REDBULL</t>
  </si>
  <si>
    <t>PERNOD RICARD</t>
  </si>
  <si>
    <t>Küçük Ev Aletleri</t>
  </si>
  <si>
    <t>Beyaz Eşya</t>
  </si>
  <si>
    <t>NEWAL</t>
  </si>
  <si>
    <t>MEY IÇKI</t>
  </si>
  <si>
    <t>KEBIR SÜT</t>
  </si>
  <si>
    <t>JTI IRAN</t>
  </si>
  <si>
    <t>JTI</t>
  </si>
  <si>
    <t>Manisa</t>
  </si>
  <si>
    <t>IMPERIAL TOBACCO</t>
  </si>
  <si>
    <t>EFES MOLDOVA</t>
  </si>
  <si>
    <t>EFES KAZAKISTAN</t>
  </si>
  <si>
    <t>EFES GÜRCISTAN</t>
  </si>
  <si>
    <t>DEVA İÇECEK</t>
  </si>
  <si>
    <t>BROWN FORMAN</t>
  </si>
  <si>
    <t>BEYAZ KAĞIT</t>
  </si>
  <si>
    <t>ARÇELİK</t>
  </si>
  <si>
    <t>Petrol Ürünleri</t>
  </si>
  <si>
    <t>Petrol</t>
  </si>
  <si>
    <t>SHELL</t>
  </si>
  <si>
    <t>Elektrik Elektronik</t>
  </si>
  <si>
    <t>PANASONIC</t>
  </si>
  <si>
    <t>OPET</t>
  </si>
  <si>
    <t>MURR ELEKTRONIK</t>
  </si>
  <si>
    <t>Boya</t>
  </si>
  <si>
    <t>MARSHALL</t>
  </si>
  <si>
    <t>Balıkesir</t>
  </si>
  <si>
    <t>Trafo Üretimi</t>
  </si>
  <si>
    <t>Enerji</t>
  </si>
  <si>
    <t>BEST ELEKTROMEKANIK</t>
  </si>
  <si>
    <t>AYDEM</t>
  </si>
  <si>
    <t>Sağlık Ekipmanları</t>
  </si>
  <si>
    <t>Sağlık</t>
  </si>
  <si>
    <t>ALTERA</t>
  </si>
  <si>
    <t>Iş Ortaklıkları</t>
  </si>
  <si>
    <t>Atıştırmalık</t>
  </si>
  <si>
    <t>ÜLKER</t>
  </si>
  <si>
    <t>İptal</t>
  </si>
  <si>
    <t>Rüzgar Trübini Üretimi</t>
  </si>
  <si>
    <t>TPI COMPOSITE</t>
  </si>
  <si>
    <t>Çamaşır Makinası Üreticisi</t>
  </si>
  <si>
    <t>Endüstriyel Ürünler</t>
  </si>
  <si>
    <t>TOLON</t>
  </si>
  <si>
    <t>Gıda</t>
  </si>
  <si>
    <t>TAVUK DÜNYASI</t>
  </si>
  <si>
    <t>TADIM EXPORT</t>
  </si>
  <si>
    <t>TADIM</t>
  </si>
  <si>
    <t>Calldesk, Enroute</t>
  </si>
  <si>
    <t>Distribütör</t>
  </si>
  <si>
    <t>SUZUKI</t>
  </si>
  <si>
    <t>İlaç Üreticisi</t>
  </si>
  <si>
    <t>SOLGAR</t>
  </si>
  <si>
    <t>SEBA ASC</t>
  </si>
  <si>
    <t>SCHWARZKOPF HENKEL</t>
  </si>
  <si>
    <t>Eektrikli Araç</t>
  </si>
  <si>
    <t>PİLOTCAR</t>
  </si>
  <si>
    <t>PETLAS</t>
  </si>
  <si>
    <t>Enroute, Quest, Stokbar</t>
  </si>
  <si>
    <t>OYAK GRUP - SATEM</t>
  </si>
  <si>
    <t>MARNAK LOJISTIK</t>
  </si>
  <si>
    <t>LILA KAGIT</t>
  </si>
  <si>
    <t>JTI SUDAN</t>
  </si>
  <si>
    <t>Hold</t>
  </si>
  <si>
    <t>Yer Hizmetleri</t>
  </si>
  <si>
    <t>Havacılık</t>
  </si>
  <si>
    <t>IGA</t>
  </si>
  <si>
    <t>HENKEL</t>
  </si>
  <si>
    <t>ENERJISA</t>
  </si>
  <si>
    <t>EGETAV</t>
  </si>
  <si>
    <t>EFES TÜRKIYE</t>
  </si>
  <si>
    <t>EFES KIBRIS</t>
  </si>
  <si>
    <t>EFES BELARUS</t>
  </si>
  <si>
    <t>EFES AZERBAYCAN</t>
  </si>
  <si>
    <t>DOĞAN TREND</t>
  </si>
  <si>
    <t>Çay</t>
  </si>
  <si>
    <t>DOGANAY</t>
  </si>
  <si>
    <t>Tıbbi Malzeme</t>
  </si>
  <si>
    <t>AZTEK</t>
  </si>
  <si>
    <t>AROMA</t>
  </si>
  <si>
    <t>ANA GIDA- BUNGE GIDA</t>
  </si>
  <si>
    <t>Grup Şirketleri</t>
  </si>
  <si>
    <t>Param Grup</t>
  </si>
  <si>
    <t>MAGNUM AŞ</t>
  </si>
  <si>
    <t>SÖLEN IRAK</t>
  </si>
  <si>
    <t>SÖLEN</t>
  </si>
  <si>
    <t>SEN PILIC</t>
  </si>
  <si>
    <t>ÖZGÖRKEY</t>
  </si>
  <si>
    <t>OFÇAY - EFOR ÇAY</t>
  </si>
  <si>
    <t>NESTLE</t>
  </si>
  <si>
    <t>NESTLE STARBUCKS</t>
  </si>
  <si>
    <t>NESTLE WATERS</t>
  </si>
  <si>
    <t>NESTLE ROM</t>
  </si>
  <si>
    <t>NESTLE RETAIL</t>
  </si>
  <si>
    <t>NESTLE PROFESIONAL</t>
  </si>
  <si>
    <t>MARS GIDA</t>
  </si>
  <si>
    <t>LA LORRAINE</t>
  </si>
  <si>
    <t>KENT GIDA</t>
  </si>
  <si>
    <t>HARIBO</t>
  </si>
  <si>
    <t>DOGUS CAY</t>
  </si>
  <si>
    <t>DOGADAN</t>
  </si>
  <si>
    <t>DARDANEL</t>
  </si>
  <si>
    <t>DANONE</t>
  </si>
  <si>
    <t>Sonlanıyor</t>
  </si>
  <si>
    <t>DANONE WATERS</t>
  </si>
  <si>
    <t>DANONE TIKVESLI</t>
  </si>
  <si>
    <t>Rize</t>
  </si>
  <si>
    <t>ÇAYKUR</t>
  </si>
  <si>
    <t>ALTIPARMAK-BALPARMAK</t>
  </si>
  <si>
    <t>Kahramanmaraş</t>
  </si>
  <si>
    <t>ALPEDO</t>
  </si>
  <si>
    <t>ABC Deterjan</t>
  </si>
  <si>
    <t>Risk Var mı?</t>
  </si>
  <si>
    <t>Şehir</t>
  </si>
  <si>
    <t>Komplex İhtiyaçları Var mı?</t>
  </si>
  <si>
    <t>BFH Fırsatına göre</t>
  </si>
  <si>
    <t>Alt Sektör</t>
  </si>
  <si>
    <t>Ana Sektör</t>
  </si>
  <si>
    <t>Müşteri</t>
  </si>
  <si>
    <t>Sınıf-2</t>
  </si>
  <si>
    <t>Sınıf</t>
  </si>
  <si>
    <t>Durum</t>
  </si>
  <si>
    <t>2026 HEDEF Yenileme TL</t>
  </si>
  <si>
    <t xml:space="preserve">2026 HEDEF Yeni Satış </t>
  </si>
  <si>
    <t>2025 Yenileme TL</t>
  </si>
  <si>
    <t>2025 Yeni Satış TL</t>
  </si>
  <si>
    <t>Proje</t>
  </si>
  <si>
    <t>2026-1 Satış Yöneticisi</t>
  </si>
  <si>
    <t>2025-4 Satış Yöneticisi</t>
  </si>
  <si>
    <t>Count of Şehir</t>
  </si>
  <si>
    <t>Satış Yöneticisi Sektör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</si>
</sst>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0.0"/>
    <numFmt numFmtId="168" formatCode="0.0%"/>
    <numFmt numFmtId="169" formatCode="dd\.mm\.yyyy"/>
    <numFmt numFmtId="170" formatCode="#,##0;\(#,##0\);\-"/>
  </numFmts>
  <fonts count="9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Helvetica Neue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C00000"/>
      <name val="Helvetica Neue"/>
      <family val="2"/>
    </font>
    <font>
      <sz val="11"/>
      <color theme="0" tint="-4.9989318521683403E-2"/>
      <name val="Helvetica Neue"/>
      <family val="2"/>
    </font>
    <font>
      <sz val="11"/>
      <color theme="1" tint="0.34998626667073579"/>
      <name val="Helvetica Neue"/>
      <family val="2"/>
    </font>
    <font>
      <sz val="11"/>
      <color rgb="FFC00000"/>
      <name val="Helvetica Neue"/>
      <family val="2"/>
    </font>
    <font>
      <sz val="10"/>
      <color theme="1" tint="0.34998626667073579"/>
      <name val="Helvetica Neue"/>
      <family val="2"/>
    </font>
    <font>
      <b/>
      <sz val="10"/>
      <color theme="1" tint="0.34998626667073579"/>
      <name val="Helvetica Neue"/>
      <family val="2"/>
    </font>
    <font>
      <b/>
      <sz val="10"/>
      <color rgb="FFC00000"/>
      <name val="Helvetica Neue"/>
      <family val="2"/>
    </font>
    <font>
      <sz val="10"/>
      <color rgb="FFC00000"/>
      <name val="Helvetica Neue"/>
      <family val="2"/>
    </font>
    <font>
      <b/>
      <sz val="12"/>
      <color theme="1"/>
      <name val="Helvetica Neue"/>
      <family val="2"/>
    </font>
    <font>
      <sz val="10"/>
      <color theme="1"/>
      <name val="Helvetica Neue"/>
      <family val="2"/>
    </font>
    <font>
      <b/>
      <sz val="12"/>
      <name val="Helvetica Neue"/>
      <family val="2"/>
    </font>
    <font>
      <sz val="10"/>
      <color theme="0"/>
      <name val="Helvetica Neue"/>
      <family val="2"/>
    </font>
    <font>
      <sz val="10"/>
      <name val="Helvetica Neue"/>
      <family val="2"/>
    </font>
    <font>
      <b/>
      <sz val="10"/>
      <name val="Helvetica Neue"/>
      <family val="2"/>
    </font>
    <font>
      <b/>
      <sz val="10"/>
      <color theme="1"/>
      <name val="Helvetica Neue"/>
      <family val="2"/>
    </font>
    <font>
      <b/>
      <sz val="11"/>
      <color theme="0" tint="-4.9989318521683403E-2"/>
      <name val="Helvetica Neue"/>
      <family val="2"/>
    </font>
    <font>
      <b/>
      <sz val="10"/>
      <color theme="1" tint="0.249977111117893"/>
      <name val="Helvetica Neue"/>
      <family val="2"/>
    </font>
    <font>
      <sz val="10"/>
      <color theme="1" tint="0.249977111117893"/>
      <name val="Helvetica Neue"/>
      <family val="2"/>
    </font>
    <font>
      <b/>
      <sz val="18"/>
      <color theme="1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Helvetica Neue"/>
      <family val="2"/>
    </font>
    <font>
      <sz val="12"/>
      <color theme="0"/>
      <name val="Helvetica Neue"/>
      <family val="2"/>
    </font>
    <font>
      <sz val="12"/>
      <color theme="1" tint="0.34998626667073579"/>
      <name val="Helvetica Neue"/>
      <family val="2"/>
    </font>
    <font>
      <b/>
      <sz val="12"/>
      <color theme="1" tint="0.34998626667073579"/>
      <name val="Helvetica Neue"/>
      <family val="2"/>
    </font>
    <font>
      <sz val="12"/>
      <name val="Helvetica Neue"/>
      <family val="2"/>
    </font>
    <font>
      <b/>
      <sz val="12"/>
      <color theme="0"/>
      <name val="Helvetica Neue"/>
      <family val="2"/>
    </font>
    <font>
      <sz val="12"/>
      <color rgb="FFFFFFFF"/>
      <name val="Helvetica Neue"/>
      <family val="2"/>
    </font>
    <font>
      <sz val="12"/>
      <color rgb="FF595959"/>
      <name val="Helvetica Neue"/>
      <family val="2"/>
    </font>
    <font>
      <b/>
      <sz val="12"/>
      <color rgb="FF595959"/>
      <name val="Helvetica Neue"/>
      <family val="2"/>
    </font>
    <font>
      <b/>
      <sz val="12"/>
      <color rgb="FFFFFFFF"/>
      <name val="Helvetica Neue"/>
      <family val="2"/>
    </font>
    <font>
      <b/>
      <sz val="12"/>
      <color theme="1" tint="0.249977111117893"/>
      <name val="Helvetica Neue"/>
      <family val="2"/>
    </font>
    <font>
      <i/>
      <sz val="12"/>
      <color theme="1" tint="0.249977111117893"/>
      <name val="Helvetica Neue"/>
      <family val="2"/>
    </font>
    <font>
      <i/>
      <sz val="12"/>
      <color rgb="FF595959"/>
      <name val="Helvetica Neue"/>
      <family val="2"/>
    </font>
    <font>
      <b/>
      <i/>
      <sz val="12"/>
      <color rgb="FF595959"/>
      <name val="Helvetica Neue"/>
      <family val="2"/>
    </font>
    <font>
      <i/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FF0000"/>
      <name val="Helvetica Neue"/>
      <family val="2"/>
    </font>
    <font>
      <sz val="10"/>
      <color rgb="FFFFFFFF"/>
      <name val="Calibri"/>
      <family val="2"/>
    </font>
    <font>
      <b/>
      <sz val="10"/>
      <color rgb="FF404040"/>
      <name val="Calibri"/>
      <family val="2"/>
    </font>
    <font>
      <i/>
      <sz val="10"/>
      <color rgb="FF404040"/>
      <name val="Calibri"/>
      <family val="2"/>
    </font>
    <font>
      <sz val="10"/>
      <color rgb="FF40404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rgb="FF404040"/>
      <name val="Calibri"/>
      <family val="2"/>
    </font>
    <font>
      <sz val="12"/>
      <color rgb="FFFFFFFF"/>
      <name val="Calibri"/>
      <family val="2"/>
    </font>
    <font>
      <b/>
      <sz val="12"/>
      <color rgb="FF404040"/>
      <name val="Calibri"/>
      <family val="2"/>
    </font>
    <font>
      <i/>
      <sz val="12"/>
      <color rgb="FF40404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1"/>
      <color theme="0"/>
      <name val="Helvetica Neue"/>
      <family val="2"/>
    </font>
    <font>
      <b/>
      <sz val="11"/>
      <color rgb="FFFFC000"/>
      <name val="Helvetica Neue"/>
      <family val="2"/>
    </font>
    <font>
      <b/>
      <sz val="11"/>
      <color rgb="FFFFFFFF"/>
      <name val="Helvetica Neue"/>
      <family val="2"/>
    </font>
    <font>
      <b/>
      <sz val="11"/>
      <color theme="1" tint="0.249977111117893"/>
      <name val="Helvetica Neue"/>
      <family val="2"/>
    </font>
    <font>
      <sz val="11"/>
      <color theme="1"/>
      <name val="Helvetica Neue"/>
      <family val="2"/>
    </font>
    <font>
      <i/>
      <sz val="11"/>
      <color rgb="FFFFFFFF"/>
      <name val="Helvetica Neue"/>
      <family val="2"/>
    </font>
    <font>
      <sz val="11"/>
      <color theme="1" tint="0.249977111117893"/>
      <name val="Helvetica Neue"/>
      <family val="2"/>
    </font>
    <font>
      <b/>
      <sz val="11"/>
      <color rgb="FF404040"/>
      <name val="Helvetica Neue"/>
      <family val="2"/>
    </font>
    <font>
      <sz val="11"/>
      <color rgb="FF404040"/>
      <name val="Helvetica Neue"/>
      <family val="2"/>
    </font>
    <font>
      <b/>
      <sz val="11"/>
      <color theme="1"/>
      <name val="Helvetica Neue"/>
      <family val="2"/>
    </font>
    <font>
      <sz val="11"/>
      <color theme="0"/>
      <name val="Helvetica Neue"/>
      <family val="2"/>
    </font>
    <font>
      <sz val="8"/>
      <name val="Aptos Narrow"/>
      <family val="2"/>
      <scheme val="minor"/>
    </font>
    <font>
      <sz val="11"/>
      <color rgb="FFFFFFFF"/>
      <name val="Helvetica Neue"/>
      <family val="2"/>
    </font>
    <font>
      <sz val="11"/>
      <color rgb="FFFFC000"/>
      <name val="Helvetica Neue"/>
      <family val="2"/>
    </font>
    <font>
      <b/>
      <sz val="10"/>
      <color theme="0"/>
      <name val="Helvetica Neue"/>
      <family val="2"/>
    </font>
    <font>
      <sz val="12"/>
      <color theme="0"/>
      <name val="Aptos Narrow"/>
      <family val="2"/>
      <scheme val="minor"/>
    </font>
    <font>
      <i/>
      <sz val="11"/>
      <color theme="1" tint="0.249977111117893"/>
      <name val="Helvetica Neue"/>
      <family val="2"/>
    </font>
    <font>
      <b/>
      <sz val="12"/>
      <color rgb="FFC00000"/>
      <name val="Helvetica Neue"/>
      <family val="2"/>
    </font>
    <font>
      <b/>
      <sz val="12"/>
      <color rgb="FFFF0000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Helvetica Neue"/>
      <family val="2"/>
    </font>
    <font>
      <sz val="11"/>
      <color rgb="FF000000"/>
      <name val="Helvetica Neue"/>
      <family val="2"/>
    </font>
    <font>
      <sz val="11"/>
      <color rgb="FF0070C0"/>
      <name val="Helvetica Neue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family val="2"/>
      <charset val="162"/>
    </font>
    <font>
      <b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51647D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C6E0B4"/>
        <bgColor rgb="FF000000"/>
      </patternFill>
    </fill>
    <fill>
      <patternFill patternType="solid">
        <fgColor rgb="FF1F4E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C769E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/>
      <top/>
      <bottom style="thin">
        <color rgb="FF9BC2E6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2" fillId="0" borderId="0"/>
    <xf numFmtId="164" fontId="82" fillId="0" borderId="0" applyFont="0" applyFill="0" applyBorder="0" applyAlignment="0" applyProtection="0"/>
    <xf numFmtId="0" fontId="82" fillId="0" borderId="0"/>
  </cellStyleXfs>
  <cellXfs count="394">
    <xf numFmtId="0" fontId="0" fillId="0" borderId="0" xfId="0"/>
    <xf numFmtId="0" fontId="3" fillId="0" borderId="0" xfId="0" applyFont="1"/>
    <xf numFmtId="0" fontId="2" fillId="0" borderId="0" xfId="3" applyAlignment="1">
      <alignment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8" fillId="4" borderId="0" xfId="0" applyFont="1" applyFill="1" applyAlignment="1">
      <alignment horizontal="right"/>
    </xf>
    <xf numFmtId="0" fontId="9" fillId="4" borderId="0" xfId="0" applyFont="1" applyFill="1" applyAlignment="1">
      <alignment horizontal="right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/>
    <xf numFmtId="165" fontId="10" fillId="0" borderId="0" xfId="4" applyNumberFormat="1" applyFont="1"/>
    <xf numFmtId="165" fontId="11" fillId="0" borderId="0" xfId="4" applyNumberFormat="1" applyFont="1"/>
    <xf numFmtId="9" fontId="13" fillId="0" borderId="0" xfId="2" applyFont="1"/>
    <xf numFmtId="9" fontId="10" fillId="0" borderId="0" xfId="2" applyFont="1"/>
    <xf numFmtId="166" fontId="10" fillId="0" borderId="0" xfId="1" applyNumberFormat="1" applyFont="1"/>
    <xf numFmtId="9" fontId="13" fillId="0" borderId="0" xfId="2" applyFont="1" applyFill="1"/>
    <xf numFmtId="166" fontId="11" fillId="0" borderId="2" xfId="1" applyNumberFormat="1" applyFont="1" applyFill="1" applyBorder="1"/>
    <xf numFmtId="9" fontId="11" fillId="0" borderId="2" xfId="2" applyFont="1" applyFill="1" applyBorder="1"/>
    <xf numFmtId="0" fontId="11" fillId="5" borderId="0" xfId="0" applyFont="1" applyFill="1"/>
    <xf numFmtId="165" fontId="11" fillId="5" borderId="0" xfId="4" applyNumberFormat="1" applyFont="1" applyFill="1"/>
    <xf numFmtId="0" fontId="14" fillId="0" borderId="0" xfId="0" applyFont="1"/>
    <xf numFmtId="0" fontId="11" fillId="0" borderId="2" xfId="0" applyFont="1" applyBorder="1"/>
    <xf numFmtId="0" fontId="11" fillId="6" borderId="0" xfId="0" applyFont="1" applyFill="1"/>
    <xf numFmtId="167" fontId="11" fillId="6" borderId="0" xfId="0" applyNumberFormat="1" applyFont="1" applyFill="1"/>
    <xf numFmtId="165" fontId="11" fillId="6" borderId="0" xfId="4" applyNumberFormat="1" applyFont="1" applyFill="1"/>
    <xf numFmtId="0" fontId="14" fillId="6" borderId="0" xfId="0" applyFont="1" applyFill="1"/>
    <xf numFmtId="0" fontId="7" fillId="6" borderId="0" xfId="0" applyFont="1" applyFill="1"/>
    <xf numFmtId="165" fontId="8" fillId="6" borderId="0" xfId="0" applyNumberFormat="1" applyFont="1" applyFill="1"/>
    <xf numFmtId="0" fontId="15" fillId="0" borderId="0" xfId="0" applyFont="1"/>
    <xf numFmtId="165" fontId="15" fillId="0" borderId="0" xfId="0" applyNumberFormat="1" applyFont="1"/>
    <xf numFmtId="0" fontId="3" fillId="0" borderId="0" xfId="0" applyFont="1" applyAlignment="1">
      <alignment vertical="center"/>
    </xf>
    <xf numFmtId="0" fontId="11" fillId="0" borderId="0" xfId="0" applyFont="1"/>
    <xf numFmtId="0" fontId="16" fillId="0" borderId="0" xfId="0" applyFont="1"/>
    <xf numFmtId="0" fontId="11" fillId="7" borderId="0" xfId="0" applyFont="1" applyFill="1"/>
    <xf numFmtId="165" fontId="11" fillId="7" borderId="0" xfId="4" applyNumberFormat="1" applyFont="1" applyFill="1"/>
    <xf numFmtId="168" fontId="11" fillId="7" borderId="0" xfId="2" applyNumberFormat="1" applyFont="1" applyFill="1"/>
    <xf numFmtId="9" fontId="11" fillId="7" borderId="0" xfId="2" applyFont="1" applyFill="1"/>
    <xf numFmtId="165" fontId="3" fillId="0" borderId="0" xfId="4" applyNumberFormat="1" applyFont="1"/>
    <xf numFmtId="0" fontId="15" fillId="7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/>
    </xf>
    <xf numFmtId="165" fontId="18" fillId="0" borderId="0" xfId="4" applyNumberFormat="1" applyFont="1"/>
    <xf numFmtId="9" fontId="18" fillId="0" borderId="0" xfId="2" applyFont="1" applyAlignment="1">
      <alignment horizontal="center"/>
    </xf>
    <xf numFmtId="10" fontId="18" fillId="0" borderId="0" xfId="2" applyNumberFormat="1" applyFont="1" applyAlignment="1">
      <alignment horizontal="center"/>
    </xf>
    <xf numFmtId="0" fontId="19" fillId="0" borderId="0" xfId="0" applyFont="1"/>
    <xf numFmtId="165" fontId="19" fillId="0" borderId="0" xfId="4" applyNumberFormat="1" applyFont="1"/>
    <xf numFmtId="9" fontId="19" fillId="0" borderId="0" xfId="2" applyFont="1" applyAlignment="1">
      <alignment horizontal="center"/>
    </xf>
    <xf numFmtId="0" fontId="19" fillId="7" borderId="0" xfId="0" applyFont="1" applyFill="1"/>
    <xf numFmtId="165" fontId="19" fillId="7" borderId="0" xfId="4" applyNumberFormat="1" applyFont="1" applyFill="1"/>
    <xf numFmtId="168" fontId="20" fillId="7" borderId="0" xfId="2" applyNumberFormat="1" applyFont="1" applyFill="1" applyAlignment="1">
      <alignment horizontal="center"/>
    </xf>
    <xf numFmtId="9" fontId="20" fillId="7" borderId="0" xfId="2" applyFont="1" applyFill="1" applyAlignment="1">
      <alignment horizontal="center"/>
    </xf>
    <xf numFmtId="0" fontId="17" fillId="8" borderId="0" xfId="0" applyFont="1" applyFill="1" applyAlignment="1">
      <alignment vertical="center"/>
    </xf>
    <xf numFmtId="0" fontId="17" fillId="8" borderId="0" xfId="0" applyFont="1" applyFill="1" applyAlignment="1">
      <alignment horizontal="center" vertical="center"/>
    </xf>
    <xf numFmtId="0" fontId="23" fillId="0" borderId="1" xfId="0" applyFont="1" applyBorder="1" applyAlignment="1">
      <alignment horizontal="right" vertical="center" wrapText="1"/>
    </xf>
    <xf numFmtId="0" fontId="23" fillId="0" borderId="4" xfId="0" applyFont="1" applyBorder="1" applyAlignment="1">
      <alignment horizontal="right" vertical="center" wrapText="1"/>
    </xf>
    <xf numFmtId="0" fontId="23" fillId="0" borderId="3" xfId="0" applyFont="1" applyBorder="1"/>
    <xf numFmtId="166" fontId="23" fillId="0" borderId="0" xfId="1" applyNumberFormat="1" applyFont="1" applyBorder="1"/>
    <xf numFmtId="166" fontId="23" fillId="0" borderId="3" xfId="1" applyNumberFormat="1" applyFont="1" applyBorder="1"/>
    <xf numFmtId="9" fontId="23" fillId="0" borderId="0" xfId="2" applyFont="1"/>
    <xf numFmtId="0" fontId="22" fillId="0" borderId="5" xfId="0" applyFont="1" applyBorder="1"/>
    <xf numFmtId="166" fontId="22" fillId="0" borderId="2" xfId="1" applyNumberFormat="1" applyFont="1" applyFill="1" applyBorder="1"/>
    <xf numFmtId="166" fontId="22" fillId="0" borderId="5" xfId="1" applyNumberFormat="1" applyFont="1" applyFill="1" applyBorder="1"/>
    <xf numFmtId="9" fontId="22" fillId="0" borderId="2" xfId="2" applyFont="1" applyFill="1" applyBorder="1"/>
    <xf numFmtId="166" fontId="13" fillId="0" borderId="3" xfId="1" applyNumberFormat="1" applyFont="1" applyBorder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pivotButton="1"/>
    <xf numFmtId="0" fontId="3" fillId="0" borderId="6" xfId="0" applyFont="1" applyBorder="1"/>
    <xf numFmtId="0" fontId="3" fillId="0" borderId="7" xfId="0" applyFont="1" applyBorder="1"/>
    <xf numFmtId="0" fontId="15" fillId="0" borderId="7" xfId="0" applyFont="1" applyBorder="1"/>
    <xf numFmtId="0" fontId="15" fillId="0" borderId="8" xfId="0" applyFont="1" applyBorder="1"/>
    <xf numFmtId="0" fontId="3" fillId="0" borderId="10" xfId="0" applyFont="1" applyBorder="1" applyAlignment="1">
      <alignment vertical="center"/>
    </xf>
    <xf numFmtId="0" fontId="3" fillId="0" borderId="10" xfId="0" applyFont="1" applyBorder="1"/>
    <xf numFmtId="9" fontId="23" fillId="0" borderId="0" xfId="2" applyFont="1" applyBorder="1"/>
    <xf numFmtId="9" fontId="13" fillId="0" borderId="0" xfId="2" applyFont="1" applyBorder="1"/>
    <xf numFmtId="0" fontId="16" fillId="0" borderId="10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28" fillId="0" borderId="0" xfId="0" applyFont="1"/>
    <xf numFmtId="0" fontId="29" fillId="0" borderId="0" xfId="0" applyFont="1"/>
    <xf numFmtId="0" fontId="30" fillId="8" borderId="0" xfId="0" applyFont="1" applyFill="1" applyAlignment="1">
      <alignment vertical="center"/>
    </xf>
    <xf numFmtId="0" fontId="30" fillId="9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 vertical="center"/>
    </xf>
    <xf numFmtId="0" fontId="31" fillId="0" borderId="0" xfId="0" applyFont="1"/>
    <xf numFmtId="165" fontId="31" fillId="0" borderId="0" xfId="4" applyNumberFormat="1" applyFont="1"/>
    <xf numFmtId="165" fontId="32" fillId="0" borderId="0" xfId="4" applyNumberFormat="1" applyFont="1"/>
    <xf numFmtId="0" fontId="32" fillId="0" borderId="0" xfId="0" applyFont="1"/>
    <xf numFmtId="0" fontId="32" fillId="7" borderId="0" xfId="0" applyFont="1" applyFill="1"/>
    <xf numFmtId="165" fontId="32" fillId="7" borderId="0" xfId="4" applyNumberFormat="1" applyFont="1" applyFill="1"/>
    <xf numFmtId="168" fontId="32" fillId="7" borderId="0" xfId="2" applyNumberFormat="1" applyFont="1" applyFill="1"/>
    <xf numFmtId="9" fontId="32" fillId="7" borderId="0" xfId="2" applyFont="1" applyFill="1"/>
    <xf numFmtId="0" fontId="30" fillId="9" borderId="0" xfId="0" applyFont="1" applyFill="1" applyAlignment="1">
      <alignment vertical="center"/>
    </xf>
    <xf numFmtId="0" fontId="30" fillId="8" borderId="0" xfId="0" applyFont="1" applyFill="1" applyAlignment="1">
      <alignment horizontal="center" vertical="center" wrapText="1"/>
    </xf>
    <xf numFmtId="0" fontId="33" fillId="0" borderId="0" xfId="0" applyFont="1"/>
    <xf numFmtId="165" fontId="33" fillId="0" borderId="0" xfId="4" applyNumberFormat="1" applyFont="1"/>
    <xf numFmtId="9" fontId="33" fillId="0" borderId="0" xfId="2" applyFont="1" applyAlignment="1">
      <alignment horizontal="center"/>
    </xf>
    <xf numFmtId="0" fontId="34" fillId="8" borderId="0" xfId="0" applyFont="1" applyFill="1"/>
    <xf numFmtId="165" fontId="34" fillId="8" borderId="0" xfId="4" applyNumberFormat="1" applyFont="1" applyFill="1"/>
    <xf numFmtId="168" fontId="34" fillId="8" borderId="0" xfId="2" applyNumberFormat="1" applyFont="1" applyFill="1" applyAlignment="1">
      <alignment horizontal="center"/>
    </xf>
    <xf numFmtId="9" fontId="34" fillId="8" borderId="0" xfId="2" applyFont="1" applyFill="1" applyAlignment="1">
      <alignment horizontal="center"/>
    </xf>
    <xf numFmtId="9" fontId="31" fillId="0" borderId="0" xfId="2" applyFont="1"/>
    <xf numFmtId="0" fontId="35" fillId="11" borderId="0" xfId="0" applyFont="1" applyFill="1" applyAlignment="1">
      <alignment horizontal="center" vertical="center"/>
    </xf>
    <xf numFmtId="0" fontId="35" fillId="11" borderId="0" xfId="0" applyFont="1" applyFill="1" applyAlignment="1">
      <alignment vertical="center"/>
    </xf>
    <xf numFmtId="165" fontId="36" fillId="0" borderId="0" xfId="0" applyNumberFormat="1" applyFont="1"/>
    <xf numFmtId="165" fontId="37" fillId="0" borderId="0" xfId="0" applyNumberFormat="1" applyFont="1"/>
    <xf numFmtId="0" fontId="37" fillId="0" borderId="0" xfId="0" applyFont="1"/>
    <xf numFmtId="0" fontId="37" fillId="12" borderId="0" xfId="0" applyFont="1" applyFill="1"/>
    <xf numFmtId="168" fontId="37" fillId="12" borderId="0" xfId="0" applyNumberFormat="1" applyFont="1" applyFill="1"/>
    <xf numFmtId="9" fontId="37" fillId="12" borderId="0" xfId="0" applyNumberFormat="1" applyFont="1" applyFill="1"/>
    <xf numFmtId="9" fontId="33" fillId="0" borderId="0" xfId="0" applyNumberFormat="1" applyFont="1" applyAlignment="1">
      <alignment horizontal="center"/>
    </xf>
    <xf numFmtId="9" fontId="36" fillId="0" borderId="0" xfId="0" applyNumberFormat="1" applyFont="1"/>
    <xf numFmtId="0" fontId="38" fillId="10" borderId="0" xfId="0" applyFont="1" applyFill="1"/>
    <xf numFmtId="168" fontId="38" fillId="10" borderId="0" xfId="0" applyNumberFormat="1" applyFont="1" applyFill="1" applyAlignment="1">
      <alignment horizontal="center"/>
    </xf>
    <xf numFmtId="9" fontId="38" fillId="10" borderId="0" xfId="0" applyNumberFormat="1" applyFont="1" applyFill="1" applyAlignment="1">
      <alignment horizontal="center"/>
    </xf>
    <xf numFmtId="0" fontId="40" fillId="0" borderId="0" xfId="0" applyFont="1" applyAlignment="1">
      <alignment horizontal="left" indent="2"/>
    </xf>
    <xf numFmtId="165" fontId="40" fillId="0" borderId="0" xfId="1" applyNumberFormat="1" applyFont="1"/>
    <xf numFmtId="9" fontId="40" fillId="0" borderId="0" xfId="2" applyFont="1"/>
    <xf numFmtId="0" fontId="39" fillId="7" borderId="0" xfId="0" applyFont="1" applyFill="1" applyAlignment="1">
      <alignment horizontal="left" wrapText="1"/>
    </xf>
    <xf numFmtId="165" fontId="39" fillId="7" borderId="0" xfId="1" applyNumberFormat="1" applyFont="1" applyFill="1" applyAlignment="1">
      <alignment horizontal="right" vertical="center"/>
    </xf>
    <xf numFmtId="165" fontId="41" fillId="0" borderId="0" xfId="0" applyNumberFormat="1" applyFont="1"/>
    <xf numFmtId="165" fontId="42" fillId="0" borderId="0" xfId="0" applyNumberFormat="1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27" fillId="0" borderId="0" xfId="0" applyFont="1"/>
    <xf numFmtId="0" fontId="3" fillId="0" borderId="8" xfId="0" applyFont="1" applyBorder="1"/>
    <xf numFmtId="0" fontId="3" fillId="0" borderId="10" xfId="0" applyFont="1" applyBorder="1" applyAlignment="1">
      <alignment wrapText="1"/>
    </xf>
    <xf numFmtId="165" fontId="10" fillId="0" borderId="0" xfId="4" applyNumberFormat="1" applyFont="1" applyBorder="1"/>
    <xf numFmtId="165" fontId="11" fillId="0" borderId="0" xfId="4" applyNumberFormat="1" applyFont="1" applyBorder="1"/>
    <xf numFmtId="9" fontId="10" fillId="0" borderId="0" xfId="2" applyFont="1" applyBorder="1"/>
    <xf numFmtId="9" fontId="13" fillId="0" borderId="0" xfId="2" applyFont="1" applyFill="1" applyBorder="1"/>
    <xf numFmtId="165" fontId="11" fillId="5" borderId="0" xfId="4" applyNumberFormat="1" applyFont="1" applyFill="1" applyBorder="1"/>
    <xf numFmtId="0" fontId="14" fillId="0" borderId="10" xfId="0" applyFont="1" applyBorder="1"/>
    <xf numFmtId="0" fontId="14" fillId="6" borderId="11" xfId="0" applyFont="1" applyFill="1" applyBorder="1"/>
    <xf numFmtId="0" fontId="11" fillId="6" borderId="12" xfId="0" applyFont="1" applyFill="1" applyBorder="1"/>
    <xf numFmtId="167" fontId="11" fillId="6" borderId="12" xfId="0" applyNumberFormat="1" applyFont="1" applyFill="1" applyBorder="1"/>
    <xf numFmtId="165" fontId="11" fillId="6" borderId="12" xfId="4" applyNumberFormat="1" applyFont="1" applyFill="1" applyBorder="1"/>
    <xf numFmtId="165" fontId="11" fillId="6" borderId="13" xfId="4" applyNumberFormat="1" applyFont="1" applyFill="1" applyBorder="1"/>
    <xf numFmtId="165" fontId="11" fillId="7" borderId="0" xfId="4" applyNumberFormat="1" applyFont="1" applyFill="1" applyBorder="1"/>
    <xf numFmtId="0" fontId="11" fillId="13" borderId="1" xfId="0" applyFont="1" applyFill="1" applyBorder="1" applyAlignment="1">
      <alignment horizontal="right" vertical="center" wrapText="1"/>
    </xf>
    <xf numFmtId="165" fontId="11" fillId="13" borderId="0" xfId="4" applyNumberFormat="1" applyFont="1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7" fillId="9" borderId="0" xfId="0" applyFont="1" applyFill="1" applyAlignment="1">
      <alignment vertical="center"/>
    </xf>
    <xf numFmtId="0" fontId="17" fillId="8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/>
    </xf>
    <xf numFmtId="0" fontId="0" fillId="0" borderId="10" xfId="0" applyBorder="1"/>
    <xf numFmtId="168" fontId="11" fillId="7" borderId="0" xfId="2" applyNumberFormat="1" applyFont="1" applyFill="1" applyBorder="1"/>
    <xf numFmtId="9" fontId="11" fillId="7" borderId="0" xfId="2" applyFont="1" applyFill="1" applyBorder="1"/>
    <xf numFmtId="0" fontId="0" fillId="0" borderId="11" xfId="0" applyBorder="1"/>
    <xf numFmtId="0" fontId="0" fillId="0" borderId="13" xfId="0" applyBorder="1"/>
    <xf numFmtId="0" fontId="23" fillId="13" borderId="3" xfId="0" applyFont="1" applyFill="1" applyBorder="1"/>
    <xf numFmtId="166" fontId="23" fillId="13" borderId="0" xfId="1" applyNumberFormat="1" applyFont="1" applyFill="1" applyBorder="1"/>
    <xf numFmtId="166" fontId="23" fillId="13" borderId="3" xfId="1" applyNumberFormat="1" applyFont="1" applyFill="1" applyBorder="1"/>
    <xf numFmtId="166" fontId="13" fillId="13" borderId="3" xfId="1" applyNumberFormat="1" applyFont="1" applyFill="1" applyBorder="1"/>
    <xf numFmtId="9" fontId="23" fillId="13" borderId="0" xfId="2" applyFont="1" applyFill="1" applyBorder="1"/>
    <xf numFmtId="9" fontId="13" fillId="13" borderId="0" xfId="2" applyFont="1" applyFill="1" applyBorder="1"/>
    <xf numFmtId="165" fontId="0" fillId="0" borderId="0" xfId="0" applyNumberFormat="1"/>
    <xf numFmtId="165" fontId="46" fillId="0" borderId="0" xfId="0" applyNumberFormat="1" applyFont="1"/>
    <xf numFmtId="0" fontId="47" fillId="14" borderId="0" xfId="0" applyFont="1" applyFill="1" applyAlignment="1">
      <alignment horizontal="left" wrapText="1"/>
    </xf>
    <xf numFmtId="0" fontId="47" fillId="14" borderId="0" xfId="0" applyFont="1" applyFill="1" applyAlignment="1">
      <alignment horizontal="right"/>
    </xf>
    <xf numFmtId="0" fontId="48" fillId="15" borderId="0" xfId="0" applyFont="1" applyFill="1" applyAlignment="1">
      <alignment horizontal="left" wrapText="1"/>
    </xf>
    <xf numFmtId="165" fontId="48" fillId="15" borderId="0" xfId="1" applyNumberFormat="1" applyFont="1" applyFill="1" applyBorder="1"/>
    <xf numFmtId="0" fontId="49" fillId="0" borderId="0" xfId="0" applyFont="1" applyAlignment="1">
      <alignment horizontal="left" indent="2"/>
    </xf>
    <xf numFmtId="165" fontId="49" fillId="0" borderId="0" xfId="1" applyNumberFormat="1" applyFont="1" applyFill="1" applyBorder="1"/>
    <xf numFmtId="0" fontId="48" fillId="0" borderId="0" xfId="0" applyFont="1"/>
    <xf numFmtId="165" fontId="48" fillId="0" borderId="0" xfId="1" applyNumberFormat="1" applyFont="1" applyFill="1" applyBorder="1"/>
    <xf numFmtId="0" fontId="49" fillId="0" borderId="0" xfId="0" applyFont="1"/>
    <xf numFmtId="165" fontId="50" fillId="0" borderId="0" xfId="1" applyNumberFormat="1" applyFont="1" applyFill="1" applyBorder="1"/>
    <xf numFmtId="0" fontId="48" fillId="17" borderId="0" xfId="0" applyFont="1" applyFill="1"/>
    <xf numFmtId="165" fontId="50" fillId="0" borderId="0" xfId="1" applyNumberFormat="1" applyFont="1" applyFill="1" applyBorder="1" applyAlignment="1">
      <alignment horizontal="right"/>
    </xf>
    <xf numFmtId="9" fontId="50" fillId="0" borderId="0" xfId="2" applyFont="1" applyFill="1" applyBorder="1" applyAlignment="1">
      <alignment horizontal="right"/>
    </xf>
    <xf numFmtId="0" fontId="50" fillId="0" borderId="0" xfId="0" applyFont="1"/>
    <xf numFmtId="0" fontId="50" fillId="15" borderId="0" xfId="0" applyFont="1" applyFill="1" applyAlignment="1">
      <alignment horizontal="center" wrapText="1"/>
    </xf>
    <xf numFmtId="0" fontId="48" fillId="15" borderId="0" xfId="0" applyFont="1" applyFill="1" applyAlignment="1">
      <alignment horizontal="center" wrapText="1"/>
    </xf>
    <xf numFmtId="9" fontId="50" fillId="0" borderId="0" xfId="2" applyFont="1" applyFill="1" applyBorder="1"/>
    <xf numFmtId="9" fontId="48" fillId="0" borderId="0" xfId="2" applyFont="1" applyFill="1" applyBorder="1" applyAlignment="1">
      <alignment horizontal="center" vertical="center"/>
    </xf>
    <xf numFmtId="9" fontId="50" fillId="0" borderId="0" xfId="2" applyFont="1" applyFill="1" applyBorder="1" applyAlignment="1">
      <alignment horizontal="center" vertical="center"/>
    </xf>
    <xf numFmtId="0" fontId="50" fillId="15" borderId="0" xfId="0" applyFont="1" applyFill="1"/>
    <xf numFmtId="165" fontId="50" fillId="15" borderId="0" xfId="1" applyNumberFormat="1" applyFont="1" applyFill="1" applyBorder="1"/>
    <xf numFmtId="9" fontId="48" fillId="15" borderId="0" xfId="2" applyFont="1" applyFill="1" applyBorder="1" applyAlignment="1">
      <alignment horizontal="center" vertical="center"/>
    </xf>
    <xf numFmtId="9" fontId="50" fillId="15" borderId="0" xfId="2" applyFont="1" applyFill="1" applyBorder="1" applyAlignment="1">
      <alignment horizontal="center" vertical="center"/>
    </xf>
    <xf numFmtId="0" fontId="50" fillId="15" borderId="0" xfId="0" applyFont="1" applyFill="1" applyAlignment="1">
      <alignment horizontal="left" wrapText="1"/>
    </xf>
    <xf numFmtId="0" fontId="50" fillId="15" borderId="0" xfId="0" applyFont="1" applyFill="1" applyAlignment="1">
      <alignment horizontal="right"/>
    </xf>
    <xf numFmtId="0" fontId="50" fillId="19" borderId="0" xfId="0" applyFont="1" applyFill="1" applyAlignment="1">
      <alignment horizontal="left" wrapText="1"/>
    </xf>
    <xf numFmtId="165" fontId="50" fillId="19" borderId="0" xfId="1" applyNumberFormat="1" applyFont="1" applyFill="1" applyBorder="1"/>
    <xf numFmtId="9" fontId="50" fillId="15" borderId="0" xfId="2" applyFont="1" applyFill="1" applyBorder="1"/>
    <xf numFmtId="0" fontId="48" fillId="19" borderId="0" xfId="0" applyFont="1" applyFill="1" applyAlignment="1">
      <alignment horizontal="left" wrapText="1"/>
    </xf>
    <xf numFmtId="165" fontId="48" fillId="19" borderId="0" xfId="1" applyNumberFormat="1" applyFont="1" applyFill="1" applyBorder="1"/>
    <xf numFmtId="9" fontId="48" fillId="15" borderId="0" xfId="2" applyFont="1" applyFill="1" applyBorder="1"/>
    <xf numFmtId="0" fontId="51" fillId="20" borderId="14" xfId="0" applyFont="1" applyFill="1" applyBorder="1" applyAlignment="1">
      <alignment wrapText="1"/>
    </xf>
    <xf numFmtId="0" fontId="51" fillId="20" borderId="14" xfId="0" applyFont="1" applyFill="1" applyBorder="1" applyAlignment="1">
      <alignment horizontal="right" wrapText="1"/>
    </xf>
    <xf numFmtId="3" fontId="52" fillId="21" borderId="14" xfId="0" applyNumberFormat="1" applyFont="1" applyFill="1" applyBorder="1"/>
    <xf numFmtId="3" fontId="51" fillId="15" borderId="14" xfId="0" applyNumberFormat="1" applyFont="1" applyFill="1" applyBorder="1"/>
    <xf numFmtId="165" fontId="48" fillId="0" borderId="0" xfId="0" applyNumberFormat="1" applyFont="1"/>
    <xf numFmtId="0" fontId="53" fillId="0" borderId="0" xfId="0" applyFont="1"/>
    <xf numFmtId="0" fontId="53" fillId="0" borderId="0" xfId="0" applyFont="1" applyAlignment="1">
      <alignment horizontal="right"/>
    </xf>
    <xf numFmtId="0" fontId="53" fillId="0" borderId="0" xfId="0" applyFont="1" applyAlignment="1">
      <alignment horizontal="left"/>
    </xf>
    <xf numFmtId="3" fontId="53" fillId="0" borderId="0" xfId="0" applyNumberFormat="1" applyFont="1"/>
    <xf numFmtId="0" fontId="50" fillId="0" borderId="0" xfId="0" applyFont="1" applyAlignment="1">
      <alignment wrapText="1"/>
    </xf>
    <xf numFmtId="0" fontId="53" fillId="0" borderId="0" xfId="0" applyFont="1" applyAlignment="1">
      <alignment horizontal="left" wrapText="1"/>
    </xf>
    <xf numFmtId="3" fontId="53" fillId="0" borderId="0" xfId="0" applyNumberFormat="1" applyFont="1" applyAlignment="1">
      <alignment wrapText="1"/>
    </xf>
    <xf numFmtId="3" fontId="50" fillId="0" borderId="0" xfId="0" applyNumberFormat="1" applyFont="1"/>
    <xf numFmtId="0" fontId="50" fillId="0" borderId="0" xfId="0" applyFont="1" applyAlignment="1">
      <alignment horizontal="center" wrapText="1"/>
    </xf>
    <xf numFmtId="9" fontId="50" fillId="0" borderId="0" xfId="2" applyFont="1" applyFill="1" applyBorder="1" applyAlignment="1">
      <alignment horizontal="center"/>
    </xf>
    <xf numFmtId="165" fontId="56" fillId="0" borderId="0" xfId="1" applyNumberFormat="1" applyFont="1" applyFill="1" applyBorder="1" applyAlignment="1">
      <alignment horizontal="right"/>
    </xf>
    <xf numFmtId="9" fontId="56" fillId="0" borderId="0" xfId="2" applyFont="1" applyFill="1" applyBorder="1" applyAlignment="1">
      <alignment horizontal="right"/>
    </xf>
    <xf numFmtId="0" fontId="56" fillId="0" borderId="0" xfId="0" applyFont="1"/>
    <xf numFmtId="165" fontId="56" fillId="0" borderId="0" xfId="1" applyNumberFormat="1" applyFont="1" applyFill="1" applyBorder="1"/>
    <xf numFmtId="0" fontId="56" fillId="15" borderId="0" xfId="0" applyFont="1" applyFill="1" applyAlignment="1">
      <alignment horizontal="center" wrapText="1"/>
    </xf>
    <xf numFmtId="0" fontId="58" fillId="15" borderId="0" xfId="0" applyFont="1" applyFill="1" applyAlignment="1">
      <alignment horizontal="center" wrapText="1"/>
    </xf>
    <xf numFmtId="9" fontId="56" fillId="0" borderId="0" xfId="2" applyFont="1" applyFill="1" applyBorder="1"/>
    <xf numFmtId="165" fontId="58" fillId="0" borderId="0" xfId="1" applyNumberFormat="1" applyFont="1" applyFill="1" applyBorder="1"/>
    <xf numFmtId="9" fontId="58" fillId="0" borderId="0" xfId="2" applyFont="1" applyFill="1" applyBorder="1" applyAlignment="1">
      <alignment horizontal="center" vertical="center"/>
    </xf>
    <xf numFmtId="9" fontId="56" fillId="0" borderId="0" xfId="2" applyFont="1" applyFill="1" applyBorder="1" applyAlignment="1">
      <alignment horizontal="center" vertical="center"/>
    </xf>
    <xf numFmtId="0" fontId="56" fillId="15" borderId="0" xfId="0" applyFont="1" applyFill="1"/>
    <xf numFmtId="165" fontId="56" fillId="15" borderId="0" xfId="1" applyNumberFormat="1" applyFont="1" applyFill="1" applyBorder="1"/>
    <xf numFmtId="165" fontId="58" fillId="15" borderId="0" xfId="1" applyNumberFormat="1" applyFont="1" applyFill="1" applyBorder="1"/>
    <xf numFmtId="9" fontId="58" fillId="15" borderId="0" xfId="2" applyFont="1" applyFill="1" applyBorder="1" applyAlignment="1">
      <alignment horizontal="center" vertical="center"/>
    </xf>
    <xf numFmtId="9" fontId="56" fillId="15" borderId="0" xfId="2" applyFont="1" applyFill="1" applyBorder="1" applyAlignment="1">
      <alignment horizontal="center" vertical="center"/>
    </xf>
    <xf numFmtId="0" fontId="58" fillId="0" borderId="0" xfId="0" applyFont="1"/>
    <xf numFmtId="0" fontId="56" fillId="15" borderId="0" xfId="0" applyFont="1" applyFill="1" applyAlignment="1">
      <alignment horizontal="left" wrapText="1"/>
    </xf>
    <xf numFmtId="0" fontId="56" fillId="15" borderId="0" xfId="0" applyFont="1" applyFill="1" applyAlignment="1">
      <alignment horizontal="right"/>
    </xf>
    <xf numFmtId="0" fontId="56" fillId="19" borderId="0" xfId="0" applyFont="1" applyFill="1" applyAlignment="1">
      <alignment horizontal="left" wrapText="1"/>
    </xf>
    <xf numFmtId="165" fontId="56" fillId="19" borderId="0" xfId="1" applyNumberFormat="1" applyFont="1" applyFill="1" applyBorder="1"/>
    <xf numFmtId="9" fontId="56" fillId="15" borderId="0" xfId="2" applyFont="1" applyFill="1" applyBorder="1"/>
    <xf numFmtId="0" fontId="58" fillId="19" borderId="0" xfId="0" applyFont="1" applyFill="1" applyAlignment="1">
      <alignment horizontal="left" wrapText="1"/>
    </xf>
    <xf numFmtId="165" fontId="58" fillId="19" borderId="0" xfId="1" applyNumberFormat="1" applyFont="1" applyFill="1" applyBorder="1"/>
    <xf numFmtId="0" fontId="58" fillId="15" borderId="0" xfId="0" applyFont="1" applyFill="1" applyAlignment="1">
      <alignment horizontal="left" wrapText="1"/>
    </xf>
    <xf numFmtId="9" fontId="58" fillId="15" borderId="0" xfId="2" applyFont="1" applyFill="1" applyBorder="1"/>
    <xf numFmtId="0" fontId="57" fillId="14" borderId="0" xfId="0" applyFont="1" applyFill="1" applyAlignment="1">
      <alignment horizontal="left" wrapText="1"/>
    </xf>
    <xf numFmtId="0" fontId="57" fillId="14" borderId="0" xfId="0" applyFont="1" applyFill="1" applyAlignment="1">
      <alignment horizontal="right"/>
    </xf>
    <xf numFmtId="0" fontId="59" fillId="0" borderId="0" xfId="0" applyFont="1" applyAlignment="1">
      <alignment horizontal="left" indent="2"/>
    </xf>
    <xf numFmtId="165" fontId="59" fillId="0" borderId="0" xfId="1" applyNumberFormat="1" applyFont="1" applyFill="1" applyBorder="1"/>
    <xf numFmtId="0" fontId="59" fillId="0" borderId="0" xfId="0" applyFont="1"/>
    <xf numFmtId="165" fontId="59" fillId="16" borderId="0" xfId="1" applyNumberFormat="1" applyFont="1" applyFill="1" applyBorder="1"/>
    <xf numFmtId="165" fontId="59" fillId="0" borderId="0" xfId="0" applyNumberFormat="1" applyFont="1"/>
    <xf numFmtId="0" fontId="58" fillId="17" borderId="0" xfId="0" applyFont="1" applyFill="1"/>
    <xf numFmtId="3" fontId="59" fillId="16" borderId="0" xfId="1" applyNumberFormat="1" applyFont="1" applyFill="1" applyBorder="1"/>
    <xf numFmtId="0" fontId="60" fillId="20" borderId="14" xfId="0" applyFont="1" applyFill="1" applyBorder="1" applyAlignment="1">
      <alignment wrapText="1"/>
    </xf>
    <xf numFmtId="0" fontId="60" fillId="20" borderId="14" xfId="0" applyFont="1" applyFill="1" applyBorder="1" applyAlignment="1">
      <alignment horizontal="right" wrapText="1"/>
    </xf>
    <xf numFmtId="3" fontId="61" fillId="21" borderId="14" xfId="0" applyNumberFormat="1" applyFont="1" applyFill="1" applyBorder="1"/>
    <xf numFmtId="3" fontId="60" fillId="15" borderId="14" xfId="0" applyNumberFormat="1" applyFont="1" applyFill="1" applyBorder="1"/>
    <xf numFmtId="165" fontId="58" fillId="0" borderId="0" xfId="0" applyNumberFormat="1" applyFont="1"/>
    <xf numFmtId="0" fontId="62" fillId="0" borderId="0" xfId="0" applyFont="1"/>
    <xf numFmtId="0" fontId="62" fillId="0" borderId="0" xfId="0" applyFont="1" applyAlignment="1">
      <alignment horizontal="right"/>
    </xf>
    <xf numFmtId="0" fontId="62" fillId="0" borderId="0" xfId="0" applyFont="1" applyAlignment="1">
      <alignment horizontal="left"/>
    </xf>
    <xf numFmtId="3" fontId="62" fillId="0" borderId="0" xfId="0" applyNumberFormat="1" applyFont="1"/>
    <xf numFmtId="0" fontId="56" fillId="0" borderId="0" xfId="0" applyFont="1" applyAlignment="1">
      <alignment wrapText="1"/>
    </xf>
    <xf numFmtId="0" fontId="62" fillId="0" borderId="0" xfId="0" applyFont="1" applyAlignment="1">
      <alignment horizontal="left" wrapText="1"/>
    </xf>
    <xf numFmtId="3" fontId="62" fillId="0" borderId="0" xfId="0" applyNumberFormat="1" applyFont="1" applyAlignment="1">
      <alignment wrapText="1"/>
    </xf>
    <xf numFmtId="3" fontId="56" fillId="0" borderId="0" xfId="0" applyNumberFormat="1" applyFont="1"/>
    <xf numFmtId="0" fontId="56" fillId="0" borderId="0" xfId="0" applyFont="1" applyAlignment="1">
      <alignment horizontal="center" wrapText="1"/>
    </xf>
    <xf numFmtId="9" fontId="56" fillId="0" borderId="0" xfId="2" applyFont="1" applyFill="1" applyBorder="1" applyAlignment="1">
      <alignment horizontal="center"/>
    </xf>
    <xf numFmtId="0" fontId="23" fillId="13" borderId="4" xfId="0" applyFont="1" applyFill="1" applyBorder="1" applyAlignment="1">
      <alignment horizontal="right" vertical="center" wrapText="1"/>
    </xf>
    <xf numFmtId="166" fontId="22" fillId="13" borderId="5" xfId="1" applyNumberFormat="1" applyFont="1" applyFill="1" applyBorder="1"/>
    <xf numFmtId="0" fontId="67" fillId="0" borderId="0" xfId="0" applyFont="1"/>
    <xf numFmtId="0" fontId="68" fillId="0" borderId="0" xfId="0" applyFont="1" applyAlignment="1">
      <alignment horizontal="center"/>
    </xf>
    <xf numFmtId="0" fontId="73" fillId="3" borderId="1" xfId="0" applyFont="1" applyFill="1" applyBorder="1" applyAlignment="1">
      <alignment vertical="center"/>
    </xf>
    <xf numFmtId="0" fontId="72" fillId="0" borderId="0" xfId="0" applyFont="1"/>
    <xf numFmtId="0" fontId="69" fillId="0" borderId="1" xfId="0" applyFont="1" applyBorder="1" applyAlignment="1">
      <alignment horizontal="right" vertical="center"/>
    </xf>
    <xf numFmtId="166" fontId="67" fillId="0" borderId="0" xfId="1" applyNumberFormat="1" applyFont="1"/>
    <xf numFmtId="166" fontId="67" fillId="0" borderId="0" xfId="1" applyNumberFormat="1" applyFont="1" applyFill="1"/>
    <xf numFmtId="0" fontId="67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75" fillId="4" borderId="0" xfId="0" applyFont="1" applyFill="1" applyAlignment="1">
      <alignment vertical="center"/>
    </xf>
    <xf numFmtId="0" fontId="68" fillId="0" borderId="0" xfId="0" applyFont="1" applyAlignment="1">
      <alignment horizontal="center" vertical="center"/>
    </xf>
    <xf numFmtId="166" fontId="67" fillId="0" borderId="0" xfId="1" applyNumberFormat="1" applyFont="1" applyFill="1" applyAlignment="1">
      <alignment vertical="center"/>
    </xf>
    <xf numFmtId="0" fontId="69" fillId="0" borderId="0" xfId="0" applyFont="1" applyAlignment="1">
      <alignment horizontal="left" vertical="center"/>
    </xf>
    <xf numFmtId="0" fontId="69" fillId="0" borderId="0" xfId="0" applyFont="1" applyAlignment="1">
      <alignment horizontal="center" vertical="center"/>
    </xf>
    <xf numFmtId="170" fontId="69" fillId="0" borderId="0" xfId="0" applyNumberFormat="1" applyFont="1" applyAlignment="1">
      <alignment horizontal="right" vertical="center"/>
    </xf>
    <xf numFmtId="0" fontId="71" fillId="26" borderId="0" xfId="0" applyFont="1" applyFill="1" applyAlignment="1">
      <alignment horizontal="left" vertical="center"/>
    </xf>
    <xf numFmtId="0" fontId="71" fillId="26" borderId="0" xfId="0" applyFont="1" applyFill="1" applyAlignment="1">
      <alignment horizontal="center" vertical="center"/>
    </xf>
    <xf numFmtId="166" fontId="71" fillId="26" borderId="0" xfId="1" applyNumberFormat="1" applyFont="1" applyFill="1" applyAlignment="1">
      <alignment horizontal="right" vertical="center"/>
    </xf>
    <xf numFmtId="0" fontId="69" fillId="23" borderId="0" xfId="0" applyFont="1" applyFill="1" applyAlignment="1">
      <alignment horizontal="left" vertical="center"/>
    </xf>
    <xf numFmtId="0" fontId="69" fillId="23" borderId="0" xfId="0" applyFont="1" applyFill="1" applyAlignment="1">
      <alignment horizontal="center" vertical="center"/>
    </xf>
    <xf numFmtId="170" fontId="69" fillId="23" borderId="0" xfId="0" applyNumberFormat="1" applyFont="1" applyFill="1" applyAlignment="1">
      <alignment horizontal="right" vertical="center"/>
    </xf>
    <xf numFmtId="0" fontId="71" fillId="24" borderId="0" xfId="0" applyFont="1" applyFill="1" applyAlignment="1">
      <alignment horizontal="left" vertical="center"/>
    </xf>
    <xf numFmtId="0" fontId="71" fillId="24" borderId="0" xfId="0" applyFont="1" applyFill="1" applyAlignment="1">
      <alignment horizontal="center" vertical="center"/>
    </xf>
    <xf numFmtId="166" fontId="71" fillId="24" borderId="0" xfId="1" applyNumberFormat="1" applyFont="1" applyFill="1" applyAlignment="1">
      <alignment horizontal="right" vertical="center"/>
    </xf>
    <xf numFmtId="0" fontId="69" fillId="13" borderId="0" xfId="0" applyFont="1" applyFill="1" applyAlignment="1">
      <alignment horizontal="left" vertical="center"/>
    </xf>
    <xf numFmtId="0" fontId="69" fillId="13" borderId="0" xfId="0" applyFont="1" applyFill="1" applyAlignment="1">
      <alignment horizontal="center" vertical="center"/>
    </xf>
    <xf numFmtId="170" fontId="69" fillId="13" borderId="0" xfId="0" applyNumberFormat="1" applyFont="1" applyFill="1" applyAlignment="1">
      <alignment horizontal="right" vertical="center"/>
    </xf>
    <xf numFmtId="0" fontId="70" fillId="25" borderId="0" xfId="0" applyFont="1" applyFill="1" applyAlignment="1">
      <alignment horizontal="left" vertical="center"/>
    </xf>
    <xf numFmtId="0" fontId="70" fillId="25" borderId="0" xfId="0" applyFont="1" applyFill="1" applyAlignment="1">
      <alignment horizontal="center" vertical="center"/>
    </xf>
    <xf numFmtId="166" fontId="70" fillId="25" borderId="0" xfId="1" applyNumberFormat="1" applyFont="1" applyFill="1" applyAlignment="1">
      <alignment horizontal="right" vertical="center"/>
    </xf>
    <xf numFmtId="166" fontId="67" fillId="0" borderId="0" xfId="1" applyNumberFormat="1" applyFont="1" applyAlignment="1">
      <alignment vertical="center"/>
    </xf>
    <xf numFmtId="0" fontId="71" fillId="0" borderId="0" xfId="0" applyFont="1" applyAlignment="1">
      <alignment horizontal="left" vertical="center"/>
    </xf>
    <xf numFmtId="0" fontId="71" fillId="0" borderId="0" xfId="0" applyFont="1" applyAlignment="1">
      <alignment horizontal="center" vertical="center"/>
    </xf>
    <xf numFmtId="170" fontId="71" fillId="0" borderId="0" xfId="0" applyNumberFormat="1" applyFont="1" applyAlignment="1">
      <alignment horizontal="right" vertical="center"/>
    </xf>
    <xf numFmtId="170" fontId="71" fillId="24" borderId="0" xfId="0" applyNumberFormat="1" applyFont="1" applyFill="1" applyAlignment="1">
      <alignment horizontal="right" vertical="center"/>
    </xf>
    <xf numFmtId="0" fontId="71" fillId="25" borderId="0" xfId="0" applyFont="1" applyFill="1" applyAlignment="1">
      <alignment horizontal="left" vertical="center"/>
    </xf>
    <xf numFmtId="0" fontId="71" fillId="25" borderId="0" xfId="0" applyFont="1" applyFill="1" applyAlignment="1">
      <alignment horizontal="center" vertical="center"/>
    </xf>
    <xf numFmtId="166" fontId="71" fillId="0" borderId="0" xfId="1" applyNumberFormat="1" applyFont="1" applyFill="1" applyBorder="1" applyAlignment="1">
      <alignment vertical="center"/>
    </xf>
    <xf numFmtId="166" fontId="71" fillId="24" borderId="0" xfId="1" applyNumberFormat="1" applyFont="1" applyFill="1" applyBorder="1" applyAlignment="1">
      <alignment horizontal="right" vertical="center"/>
    </xf>
    <xf numFmtId="0" fontId="75" fillId="27" borderId="0" xfId="0" applyFont="1" applyFill="1" applyAlignment="1">
      <alignment horizontal="left" vertical="center"/>
    </xf>
    <xf numFmtId="166" fontId="71" fillId="25" borderId="0" xfId="1" applyNumberFormat="1" applyFont="1" applyFill="1" applyAlignment="1">
      <alignment horizontal="right" vertical="center"/>
    </xf>
    <xf numFmtId="170" fontId="66" fillId="13" borderId="0" xfId="0" applyNumberFormat="1" applyFont="1" applyFill="1" applyAlignment="1">
      <alignment horizontal="right" vertical="center"/>
    </xf>
    <xf numFmtId="170" fontId="70" fillId="25" borderId="0" xfId="0" applyNumberFormat="1" applyFont="1" applyFill="1" applyAlignment="1">
      <alignment horizontal="right" vertical="center"/>
    </xf>
    <xf numFmtId="166" fontId="70" fillId="25" borderId="0" xfId="1" applyNumberFormat="1" applyFont="1" applyFill="1" applyBorder="1" applyAlignment="1">
      <alignment horizontal="right" vertical="center"/>
    </xf>
    <xf numFmtId="165" fontId="77" fillId="8" borderId="0" xfId="4" applyNumberFormat="1" applyFont="1" applyFill="1" applyBorder="1"/>
    <xf numFmtId="0" fontId="24" fillId="0" borderId="0" xfId="0" applyFont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1" fillId="8" borderId="0" xfId="0" applyFont="1" applyFill="1" applyAlignment="1">
      <alignment horizontal="center" vertical="center"/>
    </xf>
    <xf numFmtId="9" fontId="79" fillId="0" borderId="0" xfId="2" applyFont="1" applyAlignment="1">
      <alignment horizontal="center" vertical="center"/>
    </xf>
    <xf numFmtId="9" fontId="71" fillId="26" borderId="0" xfId="2" applyFont="1" applyFill="1" applyAlignment="1">
      <alignment horizontal="right" vertical="center"/>
    </xf>
    <xf numFmtId="166" fontId="0" fillId="0" borderId="0" xfId="1" applyNumberFormat="1" applyFont="1"/>
    <xf numFmtId="0" fontId="56" fillId="0" borderId="0" xfId="0" applyFont="1" applyAlignment="1">
      <alignment horizontal="right"/>
    </xf>
    <xf numFmtId="166" fontId="58" fillId="0" borderId="0" xfId="0" applyNumberFormat="1" applyFont="1"/>
    <xf numFmtId="0" fontId="78" fillId="29" borderId="0" xfId="0" applyFont="1" applyFill="1"/>
    <xf numFmtId="0" fontId="0" fillId="4" borderId="0" xfId="0" applyFill="1"/>
    <xf numFmtId="0" fontId="0" fillId="30" borderId="0" xfId="0" applyFill="1"/>
    <xf numFmtId="0" fontId="0" fillId="31" borderId="0" xfId="0" applyFill="1"/>
    <xf numFmtId="0" fontId="11" fillId="23" borderId="1" xfId="0" applyFont="1" applyFill="1" applyBorder="1" applyAlignment="1">
      <alignment horizontal="right" vertical="center" wrapText="1"/>
    </xf>
    <xf numFmtId="165" fontId="11" fillId="23" borderId="0" xfId="4" applyNumberFormat="1" applyFont="1" applyFill="1" applyBorder="1"/>
    <xf numFmtId="9" fontId="79" fillId="0" borderId="0" xfId="2" applyFont="1" applyAlignment="1">
      <alignment horizontal="center"/>
    </xf>
    <xf numFmtId="9" fontId="71" fillId="26" borderId="0" xfId="2" applyFont="1" applyFill="1" applyAlignment="1">
      <alignment horizontal="right"/>
    </xf>
    <xf numFmtId="165" fontId="80" fillId="0" borderId="0" xfId="4" applyNumberFormat="1" applyFont="1"/>
    <xf numFmtId="166" fontId="67" fillId="0" borderId="0" xfId="0" applyNumberFormat="1" applyFont="1" applyAlignment="1">
      <alignment vertical="center"/>
    </xf>
    <xf numFmtId="168" fontId="79" fillId="0" borderId="0" xfId="2" applyNumberFormat="1" applyFont="1" applyAlignment="1">
      <alignment horizontal="center"/>
    </xf>
    <xf numFmtId="168" fontId="67" fillId="0" borderId="0" xfId="2" applyNumberFormat="1" applyFont="1" applyAlignment="1">
      <alignment vertical="center"/>
    </xf>
    <xf numFmtId="9" fontId="59" fillId="0" borderId="0" xfId="2" applyFont="1" applyFill="1" applyBorder="1"/>
    <xf numFmtId="168" fontId="59" fillId="0" borderId="0" xfId="2" applyNumberFormat="1" applyFont="1" applyFill="1" applyBorder="1"/>
    <xf numFmtId="168" fontId="58" fillId="0" borderId="0" xfId="2" applyNumberFormat="1" applyFont="1" applyFill="1" applyBorder="1"/>
    <xf numFmtId="9" fontId="81" fillId="15" borderId="0" xfId="2" applyFont="1" applyFill="1" applyBorder="1"/>
    <xf numFmtId="0" fontId="73" fillId="32" borderId="1" xfId="0" applyFont="1" applyFill="1" applyBorder="1" applyAlignment="1">
      <alignment vertical="center"/>
    </xf>
    <xf numFmtId="165" fontId="11" fillId="6" borderId="0" xfId="4" applyNumberFormat="1" applyFont="1" applyFill="1" applyBorder="1"/>
    <xf numFmtId="165" fontId="67" fillId="0" borderId="0" xfId="6" applyNumberFormat="1" applyFont="1"/>
    <xf numFmtId="165" fontId="83" fillId="0" borderId="0" xfId="6" applyNumberFormat="1" applyFont="1"/>
    <xf numFmtId="165" fontId="67" fillId="0" borderId="0" xfId="6" applyNumberFormat="1" applyFont="1" applyFill="1"/>
    <xf numFmtId="165" fontId="67" fillId="34" borderId="0" xfId="6" applyNumberFormat="1" applyFont="1" applyFill="1"/>
    <xf numFmtId="165" fontId="67" fillId="5" borderId="0" xfId="6" applyNumberFormat="1" applyFont="1" applyFill="1"/>
    <xf numFmtId="165" fontId="67" fillId="30" borderId="0" xfId="6" applyNumberFormat="1" applyFont="1" applyFill="1"/>
    <xf numFmtId="0" fontId="72" fillId="0" borderId="0" xfId="7" applyFont="1" applyAlignment="1">
      <alignment vertical="center" wrapText="1"/>
    </xf>
    <xf numFmtId="0" fontId="72" fillId="5" borderId="0" xfId="7" applyFont="1" applyFill="1" applyAlignment="1">
      <alignment vertical="center" wrapText="1"/>
    </xf>
    <xf numFmtId="0" fontId="67" fillId="0" borderId="0" xfId="7" applyFont="1" applyAlignment="1">
      <alignment vertical="center" wrapText="1"/>
    </xf>
    <xf numFmtId="0" fontId="67" fillId="0" borderId="0" xfId="7" applyFont="1"/>
    <xf numFmtId="0" fontId="85" fillId="0" borderId="0" xfId="7" applyFont="1"/>
    <xf numFmtId="0" fontId="83" fillId="0" borderId="0" xfId="7" applyFont="1"/>
    <xf numFmtId="0" fontId="83" fillId="35" borderId="0" xfId="7" applyFont="1" applyFill="1"/>
    <xf numFmtId="0" fontId="84" fillId="0" borderId="0" xfId="7" applyFont="1"/>
    <xf numFmtId="0" fontId="67" fillId="8" borderId="0" xfId="7" applyFont="1" applyFill="1"/>
    <xf numFmtId="0" fontId="67" fillId="30" borderId="0" xfId="7" applyFont="1" applyFill="1"/>
    <xf numFmtId="0" fontId="67" fillId="5" borderId="0" xfId="7" applyFont="1" applyFill="1"/>
    <xf numFmtId="0" fontId="67" fillId="33" borderId="0" xfId="7" applyFont="1" applyFill="1"/>
    <xf numFmtId="165" fontId="67" fillId="33" borderId="0" xfId="7" applyNumberFormat="1" applyFont="1" applyFill="1"/>
    <xf numFmtId="0" fontId="67" fillId="0" borderId="0" xfId="7" applyFont="1" applyAlignment="1">
      <alignment horizontal="left"/>
    </xf>
    <xf numFmtId="3" fontId="67" fillId="0" borderId="0" xfId="7" applyNumberFormat="1" applyFont="1"/>
    <xf numFmtId="165" fontId="67" fillId="0" borderId="0" xfId="7" applyNumberFormat="1" applyFont="1"/>
    <xf numFmtId="0" fontId="67" fillId="0" borderId="0" xfId="0" applyFont="1" applyAlignment="1">
      <alignment horizontal="center" vertical="center" wrapText="1"/>
    </xf>
    <xf numFmtId="0" fontId="67" fillId="0" borderId="0" xfId="0" applyFont="1" applyAlignment="1">
      <alignment wrapText="1"/>
    </xf>
    <xf numFmtId="0" fontId="67" fillId="0" borderId="0" xfId="0" applyFont="1" applyAlignment="1">
      <alignment horizontal="left"/>
    </xf>
    <xf numFmtId="0" fontId="73" fillId="36" borderId="0" xfId="0" applyFont="1" applyFill="1" applyAlignment="1">
      <alignment vertical="center" wrapText="1"/>
    </xf>
    <xf numFmtId="0" fontId="73" fillId="36" borderId="0" xfId="0" applyFont="1" applyFill="1" applyAlignment="1">
      <alignment horizontal="right" vertical="center" wrapText="1"/>
    </xf>
    <xf numFmtId="0" fontId="63" fillId="36" borderId="0" xfId="0" applyFont="1" applyFill="1" applyAlignment="1">
      <alignment horizontal="right" vertical="center" wrapText="1"/>
    </xf>
    <xf numFmtId="0" fontId="0" fillId="0" borderId="0" xfId="0" applyAlignment="1">
      <alignment vertical="center"/>
    </xf>
    <xf numFmtId="0" fontId="72" fillId="0" borderId="0" xfId="0" applyFont="1" applyAlignment="1">
      <alignment horizontal="center" vertical="center" wrapText="1"/>
    </xf>
    <xf numFmtId="0" fontId="89" fillId="0" borderId="0" xfId="0" applyFont="1"/>
    <xf numFmtId="0" fontId="67" fillId="0" borderId="0" xfId="0" pivotButton="1" applyFont="1" applyAlignment="1">
      <alignment wrapText="1"/>
    </xf>
    <xf numFmtId="0" fontId="67" fillId="0" borderId="0" xfId="0" pivotButton="1" applyFont="1" applyAlignment="1">
      <alignment horizontal="center" vertical="center" wrapText="1"/>
    </xf>
    <xf numFmtId="0" fontId="67" fillId="0" borderId="0" xfId="0" pivotButton="1" applyFont="1"/>
    <xf numFmtId="0" fontId="24" fillId="0" borderId="9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35" fillId="11" borderId="0" xfId="0" applyFont="1" applyFill="1" applyAlignment="1">
      <alignment horizontal="center" vertical="center"/>
    </xf>
    <xf numFmtId="0" fontId="30" fillId="8" borderId="0" xfId="0" applyFont="1" applyFill="1" applyAlignment="1">
      <alignment horizontal="center"/>
    </xf>
    <xf numFmtId="0" fontId="57" fillId="10" borderId="0" xfId="0" applyFont="1" applyFill="1" applyAlignment="1">
      <alignment horizontal="center"/>
    </xf>
    <xf numFmtId="0" fontId="57" fillId="18" borderId="0" xfId="0" applyFont="1" applyFill="1" applyAlignment="1">
      <alignment horizontal="center"/>
    </xf>
    <xf numFmtId="165" fontId="58" fillId="0" borderId="0" xfId="1" applyNumberFormat="1" applyFont="1" applyFill="1" applyBorder="1" applyAlignment="1">
      <alignment horizontal="center" vertical="center"/>
    </xf>
    <xf numFmtId="0" fontId="58" fillId="15" borderId="0" xfId="0" applyFont="1" applyFill="1" applyAlignment="1">
      <alignment horizontal="center"/>
    </xf>
    <xf numFmtId="0" fontId="73" fillId="28" borderId="0" xfId="0" applyFont="1" applyFill="1" applyAlignment="1">
      <alignment horizontal="center" vertical="center"/>
    </xf>
    <xf numFmtId="0" fontId="75" fillId="22" borderId="0" xfId="0" applyFont="1" applyFill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30" fillId="9" borderId="0" xfId="0" applyFont="1" applyFill="1" applyAlignment="1">
      <alignment horizontal="center" vertical="center"/>
    </xf>
    <xf numFmtId="0" fontId="47" fillId="18" borderId="0" xfId="0" applyFont="1" applyFill="1" applyAlignment="1">
      <alignment horizontal="center"/>
    </xf>
    <xf numFmtId="0" fontId="47" fillId="10" borderId="0" xfId="0" applyFont="1" applyFill="1" applyAlignment="1">
      <alignment horizontal="center"/>
    </xf>
    <xf numFmtId="165" fontId="48" fillId="0" borderId="0" xfId="1" applyNumberFormat="1" applyFont="1" applyFill="1" applyBorder="1" applyAlignment="1">
      <alignment horizontal="center" vertical="center"/>
    </xf>
    <xf numFmtId="0" fontId="48" fillId="15" borderId="0" xfId="0" applyFont="1" applyFill="1" applyAlignment="1">
      <alignment horizontal="center"/>
    </xf>
    <xf numFmtId="0" fontId="63" fillId="28" borderId="0" xfId="0" applyFont="1" applyFill="1" applyAlignment="1">
      <alignment horizontal="center" vertical="center"/>
    </xf>
    <xf numFmtId="0" fontId="65" fillId="22" borderId="0" xfId="0" applyFont="1" applyFill="1" applyAlignment="1">
      <alignment horizontal="center" vertical="center"/>
    </xf>
  </cellXfs>
  <cellStyles count="8">
    <cellStyle name="Comma" xfId="1" builtinId="3"/>
    <cellStyle name="Comma 2" xfId="4" xr:uid="{4227A71A-4BD3-7B4D-8E4C-BA48ED4FB168}"/>
    <cellStyle name="Comma 3" xfId="6" xr:uid="{512D6FF8-EED4-D143-9CD6-A46595D48ABB}"/>
    <cellStyle name="Hyperlink" xfId="3" builtinId="8"/>
    <cellStyle name="Normal" xfId="0" builtinId="0"/>
    <cellStyle name="Normal 2" xfId="5" xr:uid="{A42C31CB-3C20-AC42-A826-C1743697582A}"/>
    <cellStyle name="Normal 2 2" xfId="7" xr:uid="{EC91B098-33DC-054B-A596-968AA61389CC}"/>
    <cellStyle name="Percent" xfId="2" builtinId="5"/>
  </cellStyles>
  <dxfs count="26"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font>
        <name val="Helvetica Neue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ex!A1"/><Relationship Id="rId1" Type="http://schemas.openxmlformats.org/officeDocument/2006/relationships/hyperlink" Target="#Fihrist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Index!A1"/><Relationship Id="rId1" Type="http://schemas.openxmlformats.org/officeDocument/2006/relationships/hyperlink" Target="#Fihris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1166515</xdr:colOff>
      <xdr:row>2</xdr:row>
      <xdr:rowOff>0</xdr:rowOff>
    </xdr:from>
    <xdr:to>
      <xdr:col>2</xdr:col>
      <xdr:colOff>1608664</xdr:colOff>
      <xdr:row>2</xdr:row>
      <xdr:rowOff>0</xdr:rowOff>
    </xdr:to>
    <xdr:sp macro="" textlink="">
      <xdr:nvSpPr>
        <xdr:cNvPr id="2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234D28-1A93-DC48-AF9F-20492DE5EBDC}"/>
            </a:ext>
          </a:extLst>
        </xdr:cNvPr>
        <xdr:cNvSpPr/>
      </xdr:nvSpPr>
      <xdr:spPr>
        <a:xfrm rot="10800000">
          <a:off x="1255415" y="406400"/>
          <a:ext cx="0" cy="0"/>
        </a:xfrm>
        <a:prstGeom prst="rightArrow">
          <a:avLst>
            <a:gd name="adj1" fmla="val 74000"/>
            <a:gd name="adj2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1166515</xdr:colOff>
      <xdr:row>2</xdr:row>
      <xdr:rowOff>0</xdr:rowOff>
    </xdr:from>
    <xdr:to>
      <xdr:col>8</xdr:col>
      <xdr:colOff>1608664</xdr:colOff>
      <xdr:row>2</xdr:row>
      <xdr:rowOff>0</xdr:rowOff>
    </xdr:to>
    <xdr:sp macro="" textlink="">
      <xdr:nvSpPr>
        <xdr:cNvPr id="3" name="Arrow: Righ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06C0D8-35C2-7947-AF42-9E394642C26E}"/>
            </a:ext>
          </a:extLst>
        </xdr:cNvPr>
        <xdr:cNvSpPr/>
      </xdr:nvSpPr>
      <xdr:spPr>
        <a:xfrm rot="10800000">
          <a:off x="7160915" y="406400"/>
          <a:ext cx="61149" cy="0"/>
        </a:xfrm>
        <a:prstGeom prst="rightArrow">
          <a:avLst>
            <a:gd name="adj1" fmla="val 74000"/>
            <a:gd name="adj2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886046</xdr:colOff>
      <xdr:row>1</xdr:row>
      <xdr:rowOff>65852</xdr:rowOff>
    </xdr:from>
    <xdr:to>
      <xdr:col>9</xdr:col>
      <xdr:colOff>4920</xdr:colOff>
      <xdr:row>1</xdr:row>
      <xdr:rowOff>186070</xdr:rowOff>
    </xdr:to>
    <xdr:sp macro="" textlink="">
      <xdr:nvSpPr>
        <xdr:cNvPr id="4" name="Arrow: Right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9ACF2C1-8F6F-DA4E-A0B1-23064F73A7E8}"/>
            </a:ext>
          </a:extLst>
        </xdr:cNvPr>
        <xdr:cNvSpPr/>
      </xdr:nvSpPr>
      <xdr:spPr>
        <a:xfrm rot="10800000">
          <a:off x="6880446" y="269052"/>
          <a:ext cx="350774" cy="120218"/>
        </a:xfrm>
        <a:prstGeom prst="rightArrow">
          <a:avLst>
            <a:gd name="adj1" fmla="val 74000"/>
            <a:gd name="adj2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1166515</xdr:colOff>
      <xdr:row>2</xdr:row>
      <xdr:rowOff>0</xdr:rowOff>
    </xdr:from>
    <xdr:to>
      <xdr:col>2</xdr:col>
      <xdr:colOff>1608664</xdr:colOff>
      <xdr:row>2</xdr:row>
      <xdr:rowOff>0</xdr:rowOff>
    </xdr:to>
    <xdr:sp macro="" textlink="">
      <xdr:nvSpPr>
        <xdr:cNvPr id="2" name="Arrow: Righ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942262-F263-BA43-9C72-32CD72B29238}"/>
            </a:ext>
          </a:extLst>
        </xdr:cNvPr>
        <xdr:cNvSpPr/>
      </xdr:nvSpPr>
      <xdr:spPr>
        <a:xfrm rot="10800000">
          <a:off x="1471315" y="406400"/>
          <a:ext cx="442149" cy="0"/>
        </a:xfrm>
        <a:prstGeom prst="rightArrow">
          <a:avLst>
            <a:gd name="adj1" fmla="val 74000"/>
            <a:gd name="adj2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1166515</xdr:colOff>
      <xdr:row>2</xdr:row>
      <xdr:rowOff>0</xdr:rowOff>
    </xdr:from>
    <xdr:to>
      <xdr:col>8</xdr:col>
      <xdr:colOff>1608664</xdr:colOff>
      <xdr:row>2</xdr:row>
      <xdr:rowOff>0</xdr:rowOff>
    </xdr:to>
    <xdr:sp macro="" textlink="">
      <xdr:nvSpPr>
        <xdr:cNvPr id="3" name="Arrow: Righ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8F6BA2-FD28-C940-BCF7-087536DBD360}"/>
            </a:ext>
          </a:extLst>
        </xdr:cNvPr>
        <xdr:cNvSpPr/>
      </xdr:nvSpPr>
      <xdr:spPr>
        <a:xfrm rot="10800000">
          <a:off x="7795915" y="406400"/>
          <a:ext cx="0" cy="0"/>
        </a:xfrm>
        <a:prstGeom prst="rightArrow">
          <a:avLst>
            <a:gd name="adj1" fmla="val 74000"/>
            <a:gd name="adj2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886046</xdr:colOff>
      <xdr:row>1</xdr:row>
      <xdr:rowOff>65852</xdr:rowOff>
    </xdr:from>
    <xdr:to>
      <xdr:col>9</xdr:col>
      <xdr:colOff>4920</xdr:colOff>
      <xdr:row>1</xdr:row>
      <xdr:rowOff>186070</xdr:rowOff>
    </xdr:to>
    <xdr:sp macro="" textlink="">
      <xdr:nvSpPr>
        <xdr:cNvPr id="4" name="Arrow: Right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01AFD92-2E0C-FB4A-ABEB-2EC4C9B92587}"/>
            </a:ext>
          </a:extLst>
        </xdr:cNvPr>
        <xdr:cNvSpPr/>
      </xdr:nvSpPr>
      <xdr:spPr>
        <a:xfrm rot="10800000">
          <a:off x="7718646" y="269052"/>
          <a:ext cx="84074" cy="120218"/>
        </a:xfrm>
        <a:prstGeom prst="rightArrow">
          <a:avLst>
            <a:gd name="adj1" fmla="val 74000"/>
            <a:gd name="adj2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bd/Documents/Univera/00%20Sat&#305;s&#807;/01%202026%20Bu&#776;tc&#807;eDosyalar&#305;/2025_Sat&#305;s&#807;Analizi_Lbd.v06.xlsx" TargetMode="External"/><Relationship Id="rId1" Type="http://schemas.openxmlformats.org/officeDocument/2006/relationships/externalLinkPath" Target="/Users/Lbd/Documents/Univera/00%20Sat&#305;s&#807;/01%202026%20Bu&#776;tc&#807;eDosyalar&#305;/2025_Sat&#305;s&#807;Analizi_Lbd.v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 Dağılımı 2026"/>
      <sheetName val="Account2026-Adet"/>
      <sheetName val="AccountPivotTL"/>
      <sheetName val="SatışYönHedef-Aylık-2026 (LBD)"/>
      <sheetName val="SatışYönHedef-Yıllık-2026 (L"/>
      <sheetName val="2026Sy-Pivot"/>
      <sheetName val="Müşteri-Ürün"/>
      <sheetName val="Lisans Hizmet Satışları"/>
      <sheetName val="Unidox"/>
      <sheetName val="Kanal"/>
      <sheetName val="Hosting"/>
      <sheetName val="AccountPivot"/>
      <sheetName val="2025 Aylık Satış"/>
      <sheetName val="YeniSatış-Yenileme"/>
      <sheetName val="Faturalar- toplu"/>
      <sheetName val="Account Dağılımı 2026 Pivot"/>
      <sheetName val="KimNeSatacak-2026"/>
      <sheetName val="KimNeSatıyor-Ürün"/>
      <sheetName val="Öncelikler"/>
      <sheetName val="Satış Ekibi 2026"/>
      <sheetName val="2025 faturalar"/>
      <sheetName val="2024 faturalar"/>
      <sheetName val="2023 faturalar"/>
      <sheetName val="Faturalar- toplueski"/>
    </sheetNames>
    <sheetDataSet>
      <sheetData sheetId="0"/>
      <sheetData sheetId="1"/>
      <sheetData sheetId="2"/>
      <sheetData sheetId="3"/>
      <sheetData sheetId="4">
        <row r="30">
          <cell r="B30">
            <v>284290706.62190938</v>
          </cell>
          <cell r="H30">
            <v>146979392</v>
          </cell>
        </row>
        <row r="31">
          <cell r="H31">
            <v>111000000</v>
          </cell>
        </row>
        <row r="32">
          <cell r="H32">
            <v>35979392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Özge Aytar Şahin" id="{C2DF79F3-D6FB-6241-B82B-1B7F9540DD2A}" userId="S::ozge.aytar@univera.com.tr::048e3d07-18be-4da1-b662-98af715cf52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ventburakdemiral/Documents/00%20Sat&#305;s&#807;/01%202026%20Bu&#776;tc&#807;eDosyalar&#305;/2025_Sat&#305;s&#807;Analizi_Lbd.v05.xlsx" TargetMode="Externa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25_Sat&#305;s&#807;Analizi_Lbd.v0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Levent Burak Demiralp" refreshedDate="46062.030661921293" createdVersion="8" refreshedVersion="8" minRefreshableVersion="3" recordCount="6459" xr:uid="{6E31CAF2-8F3D-794C-AF0E-13F7C5272B16}">
  <cacheSource type="worksheet">
    <worksheetSource ref="A1:AL6460" sheet="Faturalar- toplu" r:id="rId1"/>
  </cacheSource>
  <cacheFields count="38">
    <cacheField name="Sipariş ID" numFmtId="0">
      <sharedItems containsBlank="1" containsMixedTypes="1" containsNumber="1" containsInteger="1" minValue="825044" maxValue="39384985"/>
    </cacheField>
    <cacheField name="Sipariş_x000a_ Tarihi" numFmtId="14">
      <sharedItems containsNonDate="0" containsDate="1" containsString="0" containsBlank="1" minDate="2026-01-01T00:00:00" maxDate="2026-01-29T00:00:00"/>
    </cacheField>
    <cacheField name="Fatura_x000a_Tarihi" numFmtId="169">
      <sharedItems containsDate="1" containsMixedTypes="1" minDate="2024-01-02T00:00:00" maxDate="2026-01-29T00:00:00"/>
    </cacheField>
    <cacheField name="Çeyrek" numFmtId="0">
      <sharedItems containsMixedTypes="1" containsNumber="1" containsInteger="1" minValue="1" maxValue="4"/>
    </cacheField>
    <cacheField name="Yıl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Ay" numFmtId="0">
      <sharedItems containsSemiMixedTypes="0" containsString="0" containsNumber="1" containsInteger="1" minValue="1" maxValue="12"/>
    </cacheField>
    <cacheField name="Sipariş_x000a_Durum" numFmtId="0">
      <sharedItems containsBlank="1"/>
    </cacheField>
    <cacheField name="Müşteri Adı" numFmtId="0">
      <sharedItems count="820">
        <s v="RED BULL GIDA DAGITIM VE PAZARLAMA TICARET LTD. STI"/>
        <s v="SÖLEN ÇIKOLATA GIDA SAN. VE TIC. A.S."/>
        <s v="TADIM GIDA MADDELERI SAN.VE TIC.AS."/>
        <s v="LA LORRAINE UNLU MAMÜLLER SAN. VE TIC. A.S."/>
        <s v="TADIM GMBH"/>
        <s v="DARDANEL DAGITIM A.S."/>
        <s v="PERRIGO KISISEL Bakım ÜRÜNLERI SAN. VE TIC. LTD.STI"/>
        <s v="OF ÇAYSAN TARIM ÜRÜN. ENTEGRE TES. SAN VE TIC. AS."/>
        <s v="Univera - Haribo SEKERLEME SAN. TIC.LTD. STI."/>
        <s v="MEY IÇKI SAN.VE TIC.A.S."/>
        <s v="NESTLE TÜRKIYE GIDA SANAYI A.S."/>
        <s v="KOROPLAST TEMIZLIK AMBALAJ ÜRÜNLERI SAN. VE DIS TIC.A.S."/>
        <s v="MIYA OTOMASYON VE BARKOD BILISIM SISTEMLERI SAN TIC VE LTD STI"/>
        <s v="MATRIKS BILGISAYAR SISTEMLERI LTD.STI"/>
        <s v="ÖZÇELIK YAPI MALZEMELERI INSAAT SANAYI TIC. LTD. STI"/>
        <s v="MS DIRILIS PAZARLAMA TARIM TEMIZLIK INSAAT SANAYI VE TIC.LTD.STI."/>
        <s v="ALFA GRUP GIDA INSAAT IMALAT ITHALAT IHRACAT SAN. VE TIC. LTD. STI."/>
        <s v="TEZIL TICARET-AYKUT TEZIL"/>
        <s v="TURKUAZ TRADE LLC"/>
        <s v="ALDEMIR BILISIM HIZ. VE DANISMANLIK - ARZU ALDEMIR"/>
        <s v="KARASU KÖSEOGLU GIDA VE MES. PAZ. LTD. STI."/>
        <s v="JT INTERNATIONAL SA"/>
        <s v="MARS GIDA ÜRÜNLERI TIC. LTD.STI."/>
        <s v="LEANK BUSINESS SOLUTIONS LTD."/>
        <s v="MURR ELEKTRONIK SANAYI VE TICARET LTD. STI."/>
        <s v="DOGAN TREND OTOMOTIV TICARET HIZMET VE TEKNOLOJI A.S."/>
        <s v="ILHANLAR GIDA TIC. A.S"/>
        <s v="MESÇI TOPTAN VE PERAKENDE GIDA SAN. TIC. LTD. STI. ADANA SUBESI"/>
        <s v="BULAN TICARET - TUNÇ BULAN"/>
        <s v="FLLC EFESTRADE BY"/>
        <s v="BMC OTOMOTIV SAN. VE TIC. A.S."/>
        <s v="TAVUK DÜNYASI GIDA SANAYI VE TICARET A.S."/>
        <s v="JTI TÜTÜN ÜRÜNLERI SANAYI A.S"/>
        <s v="DOGUS ÇAY VE GIDA MADD.ÜRT.PAZ.ITH.IHR.A.S"/>
        <s v="ERBAK-ULUDAG PAZARLAMA SATIS VE DAGITIM A.S."/>
        <s v="BROWN FORMAN IÇKI TIC. LTD. STI."/>
        <s v="EFES PAZARLAMA VE DAGITIM TIC.A.S"/>
        <s v="POLARIS YAZILIM ÇÖZÜMLERI VE DANISMANLIK HIZMETLERI LTD.STI."/>
        <s v="DURU ITR.DEPOSU SAN VE TIC. A.S."/>
        <s v="EGE BES KARDESLER GIDA PAZARLAMA TIC.LTD.STI"/>
        <s v="MIZAH TICARET- EBRU AVCI"/>
        <s v="BURDA BEBEK SAN. VE TIC.A.S"/>
        <s v="PERNOD RICARD ISTANBUL IÇ VE DIS TIC. LTD. STI"/>
        <s v="KUZEY GIDA MAD.TUR.TIC.LTD.STI."/>
        <s v="DOLUCA SARAPÇILIK VE PAZARLAMA AS."/>
        <s v="EKSILIOGLU  GIDA VE TEM ÜRÜN DAG PAZ  SAN ve TIC LTD. STI"/>
        <s v="PANASONIC ELEKTRIC WORKS ELEKTRIK SAN.VE TIC. A.S."/>
        <s v="KÜRESEL TEDARIK VE TICARET ANONIM SIRKETI"/>
        <s v="BALIKESIR ELEKTROMEKANIK SANAYI TESISLERI AS."/>
        <s v="PAK-SEL TASIMACILIK YAKIT GIDA TEMIZLIK INSAAT SANAYI VE TICARET LIMITED SIRKETI"/>
        <s v="ÇAYKUR ÇAY ISLETMELERI GENEL MÜDÜRLÜGÜ"/>
        <s v="ENERJISA ENERJI ÜRETIM A.S."/>
        <s v="AZTEK TEKNOLOJI ÜRÜNLERI TIC. A.S"/>
        <s v="SOLGAR VITAMIN VE SAGLIK ÜRÜNLERI SAN VE TIC A.S."/>
        <s v="GÖNÜL GIDA VE NAKLIYE GIDA IMALATI TOPTAN PAZ. VE NAKLIYE -ATILA GÖNÜL"/>
        <s v="RECKITT BENCKISER EV ve HIJYEN ÜRÜNLERI A.S."/>
        <s v="RECKITT BENCKISER TEMIZLIK MALZEMESI SAN. VE TIC. A.S."/>
        <s v="LOMISI JSC"/>
        <s v="HORIZON HIZLI TÜKETIM ÜRÜNLERI ÜRETIM PAZ. SATIS VE TIC. A.S."/>
        <s v="SEBA ASC"/>
        <s v="KORKMAZ TICARET – HÜSEYIN KORKMAZ TOPTAN BIRA MESRUBAT"/>
        <s v="ROYAL CANIN TURKEY EVCIL HAYVAN ÜRÜNLERI TIC. LTD. STI."/>
        <s v="FHP EV IÇI KULLANIM ARAÇLARI SAN VE TIC . A.S"/>
        <s v="EFES VITANTA MOLDOVA BREWERY S.A"/>
        <s v="EFES KAZAKHSTAN JSC FE"/>
        <s v="ALI SERGEN KART"/>
        <s v="GENÇ TÜTÜN MAMÜLLERI PAZ. SAN. VE TIC. LTD STI."/>
        <s v="ILKADIM GG PAZ. GIDA TIC. LTD. STI."/>
        <s v="BAHTIYAR HISAR - BILCOM BILGISAYAR"/>
        <s v="YÖNTEM KOZMETIK A.S."/>
        <s v="ÖZKAN TICARET ERHAN ÖZKAN"/>
        <s v="TÜRK HENKEL KIMYA SAN TIC. A.S."/>
        <s v="EDM BILISIM DANISMANLIK HIZ. A.S."/>
        <s v="YILMAZTEKIN GIDA SAN.TIC.LTD.STI"/>
        <s v="ERVIN MESRUBAT SAN. VE TIC. LTD. STI."/>
        <s v="KENT GIDA MADDELERI SAN VE TIC.AS."/>
        <s v="ÇELIKLER GIDA OTO. NAK. TICARET SAN. LTD. STI."/>
        <s v="HEN GIDA PAZARLAMA VE DAGITIM TICARET ANONIM SIRKETI"/>
        <s v="ASI GIDA OTOMOTIV INSAAT VE TURIZM SANAYI TICARET LIMITED SIRKETI."/>
        <s v="AROMA BURSA MEYVE SULARI VE GIDA SAN. A.S."/>
        <s v="ACARLAR TIC.SAN. VE TURIZM A.S."/>
        <s v="EVYAP SABUN YAG GLISERIN SAN. VE TIC.A.S."/>
        <s v="YAYLA BAL ARICILIK HIZMETLERI-KEMAL ELINÇ"/>
        <s v="ANADOLU MOTOR ÜRETIM VE PAZARLAMA A.S"/>
        <s v="SES GIDA VE TEKEL MAD. DAG. TIC. SAN. LTD. STI."/>
        <s v="TURK FINANSMAN ANONIM SIRKETI"/>
        <s v="FATIH ACAR TICARET SAN. VE TUR. AS."/>
        <s v="SERHAN GIDA MURAT BARDAKKAYA"/>
        <s v="LEVENT KIMYA SAN. VE TIC. A.S."/>
        <s v="SAROGLU TURIZM TICARET VE SANAYI A.S."/>
        <s v="TURCAN EGLENCE TURIZM VE REKLAM ISL. TIC. LTD. STI."/>
        <s v="THY DO&amp;CO IKRAM HIZMETLERI A.S."/>
        <s v="YADO GIDA ÜRÜNLERI SAN. TIC. A.S"/>
        <s v="YS IÇECEK DAGITIM PERAKENDE PAZARLAMA SANAYI VE TICARET AS."/>
        <s v="NUROL MAKINA VE SANAYI A.S."/>
        <s v="TPI ARIZONA, LLC"/>
        <s v="SUNAOGLU GIDA TARIM HAYV. PAZ. SAN. INS. SAN. TIC. LTD. STI."/>
        <s v="KOÇAK TÜTÜN GIDA PAZARLAMA-KÜRSAT KOÇAK"/>
        <s v="BALAKAN DAGITIM GIDA PETROL TASIMACILIK IÇECEK TURIZM SAN TIC.AS."/>
        <s v="SEÇKIN GROUP GIDA SANAYI TICARET LIMITED SIRKET"/>
        <s v="LOREAL TÜRKIYE SAN VE TIC. A.S."/>
        <s v="MERT MERVE GIDA LTD. STI"/>
        <s v="Eczacibasi Tüketim Ürünleri San. Tic. A.S."/>
        <s v="GENÇ TERCAN GIDA TURIZM NAKLIYAT TIC.LTD.STI"/>
        <s v="UMUT SARIGÖL"/>
        <s v="KIYMAK GIDA LOJISTIK SANAYI TICARET LIMITED SIRKETI"/>
        <s v="GENÇ ve GÜÇLÜ GIDA DAGITIM TIC LTD. STI"/>
        <s v="AVSAR MESRUBAT GIDA INSAAT TURIZM SAN. VE TIC.LTD.STI."/>
        <s v="Ekosal Tasimacilik - Ekosal Tasimacilik Tarim Gida Petrol Insaat San. Ve Tic. Ltd.Sti."/>
        <s v="ERTUG GIDA PAZ. LOJ. SAN. VE TIC. LTD. STI."/>
        <s v="SGS TRADE YATIRIM VE SAN. LTD. STI"/>
        <s v="BUNGE GIDA SAN. VE TIC. A.S."/>
        <s v="GÜRBÜZ KARA BOYA INS.INS. MLZ. GIDA.TIC.VE SAN.LTD.STI"/>
        <s v="IMPERIAL TOBACCO TÜTÜN ÜRÜNLERI SATIS VE PAZARLAMA A.S"/>
        <s v="LILA KAGIT SAN. VE TIC. A.S."/>
        <s v="BEYLERBEYI IÇECEK PAZARLAMA A.S"/>
        <s v="MY ZIRAAT GIDA TARIM LTD. STI."/>
        <s v="MSK ENTEGRE GIDA SAN. VE TIC.LTD.STI."/>
        <s v="ZAFER ALPKAYA-KAYA TICARET"/>
        <s v="GLAXOSMITHKLINE TUKETICI SAGLIGI ANONIM SIRKETI"/>
        <s v="SATEM GRUP GIDA DAGITIM VE PAZARLAMA A.S."/>
        <s v="MEDITERA TIBBI MALZ.SAN.VE TIC.A.S."/>
        <s v="ANA GIDA DAG. VE PAZ. A.S."/>
        <s v="DOGADAN GIDA ÜRÜNLERI SANAYI VE PAZARLAMA A.S."/>
        <s v="TOO AKTAU SOFTWARE"/>
        <s v="TOO OS2"/>
        <s v="ALTIPARMAK GIDA SAN. VE TIC. AS."/>
        <s v="ALPAR ALANYA PAZ. TUR. INS. VE TIC. LTD. STI."/>
        <s v="TPI KOMPOZIT KANAT 2 ÜRETIM SAN. VE TIC. LTD. STI."/>
        <s v="RA PAZARLAMA LTD.STI"/>
        <s v="NAZ ZEYTINYAGI MESR. SU KÖMÜR GIDA LPG DAG. PAZ. ITH. IHR. SAN. Ve TIC. LTD. STI."/>
        <s v="KONFRUT AG TARIM ANONIM SIRKETI"/>
        <s v="TÜRKIYE'NIN OTOMOBILI GIRISIM GRUBU SANAYI VE TICARET A.S."/>
        <s v="TOLON GLOBAL MAKINA SAN. VE TIC. A.S"/>
        <s v="BIROL GÜNDÜZ"/>
        <s v="TOKGÖZLER TARIM GIDA ITH.IHR. SAN. VE TIC. LTD. STI"/>
        <s v="DURU OTO KIRALAMA NAKLIYE VE OFIS HIZMETLERI TIC. A.S."/>
        <s v="TUDU GIDA DAGT.VE OTO.SAN.TIC.LTD.STI"/>
        <s v="NOVATEK YAZILIM VE BILISIM HIZMETLERI - SERAP KAYA"/>
        <s v="ERUSLU SAGLIK ÜRÜNLERI SAN. VE TIC. A.S."/>
        <s v="LOGO YAZILIM SAN. VE TIC.A.S"/>
        <s v="ÖZDE DAGITIM PAZARLAMA SANAYI TICARET LTD.STI."/>
        <s v="BRISA BRIDGESTONE SABANCI LASTIK SANAYI VE TICARET A.S."/>
        <s v="UNIVIS BILISIM DESTEK HIZMETLERI SAN.TIC .A.S"/>
        <s v="GÜNDOGDU PILIÇ-ÖMER GÜNDOGDU"/>
        <s v="SEN PILIÇ GIDA SAN. A.S"/>
        <s v="YAHYA BULUT -BULUT GIDA"/>
        <s v="ECZACIBASI YAPI GEREÇLERI SAN. VE TIC. AS."/>
        <s v="NIVEA BEIERSDORF TÜRKIYE KOZMETIK SAN. ve TIC.  A.S."/>
        <s v="ERIKLI SU VE MESRUBAT SAN. TIC. A.S"/>
        <s v="EMINOGLU SBV MERMER INS. TUR.SAN.VE TIC.A.S."/>
        <s v="JTI TÜTÜN ÜRÜNLERI PAZARLAMA A.S."/>
        <s v="SIRIN GIDA VE MES. SAN. TIC. LTD. STI"/>
        <s v="IBRAHIM ÖRENKAYA"/>
        <s v="DOGANAY GIDA TARIM VE HAYVANCILIK SAN. VE TIC. A.S."/>
        <s v="DÜZEY TÜKETIM MAL. SAN. PAZ. VE TIC. A.S."/>
        <s v="AYVAZ LOJISTIK GIDA TIC. LTD. STI"/>
        <s v="SÜTAS SÜT ÜRÜNLERI A.S."/>
        <s v="AGAÇLI OTOMOTIV GIDA TIC. VE SAN. A.S."/>
        <s v="KOPUZ GIDA TIC. A.S."/>
        <s v="SEKERCI GIDA TEMIZLIK ÜRÜN. PAZ. VE DAG. LTD. STI."/>
        <s v="YUSUF BEKTAS GIDA VE IHTIYAÇ MAD. ILETISIM NAKLIYE TIC.VE SAN.LTD.STI."/>
        <s v="DÜNYA MESRUBAT GIDA INS.TURIZM PAZ. SAN. VE TIC. LTD. STI."/>
        <s v="ÖZÇELIK MESRUBAT VE GIDA MAD.TIC.PAZ.A.S."/>
        <s v="ÖZERLER TICARET ILHAN ÖZER"/>
        <s v="AYDIN ÜNLÜER TUR.GIDA TIC. VE SAN. A.S."/>
        <s v="ÖZCIHAN GIDA INSAAT TARIM NAKLIYE ENERJI TURIZM MAD. PAZ. VE SAN. LTD. STI."/>
        <s v="BAMS GIDA ITRIYAT VE TEKSTIL TIC. VE SAN. LTD. STI."/>
        <s v="BAYRAKTAR SATIS VE DAGITIM ANONIM SIRKETI"/>
        <s v="KALPAKÇIOGLU GIDA SAN. VE TIC. LTD. STI."/>
        <s v="PIRAMIT GIDA LOJISTIK TICARET TIC. A.S."/>
        <s v="SAMI EMGIN DAG. PAZ. TUR. TEKS. INS. SAN. TIC. LTD. STI."/>
        <s v="SEYPA GIDA IHTIYAÇ MAD.ÜRETIM.DAG.VE TIC. A.S."/>
        <s v="SSG DAYANIKLI TÜKETIM MAD. GIDA ÜRÜNLERI PAZ. SAN. TIC. LTD. STI."/>
        <s v="YILDIRIMLAR GRUP IHTIYAÇ VE GIDA MAD. TURIZM A.S"/>
        <s v="ONGUN EMGIN GIDA DAG. PAZ. TUR.SAN. TIC. LTD. STI."/>
        <s v="ALTUN TEMIZLIK TÜTÜN ÜRÜNLERI PAZARLAMA A .S"/>
        <s v="ARME DAGITIM PAZARLAMA SANAYI VE TIC. A.S."/>
        <s v="BESLER GIDA PAZ. SAN. VE TIC. A.S."/>
        <s v="BUGRA MÜH. VE INS. MALZ. IML. ITH. IHR. TIC. SAN. LTD. STI."/>
        <s v="BURAY TÜTÜN MAMUL. MESR. PAZ. VE DAG. TIC. LTD. STI."/>
        <s v="CAN TÜTÜN MAMULLERI INSAAT VE SANAYI TICARET A.S."/>
        <s v="ÇELIKKOL TURIZM GIDA MAD.SAN VE TIC. LTD. STI."/>
        <s v="DOYURAN GIDA A.S."/>
        <s v="FLAS TURIZM INSAAT TAAHHÜT TIC. LTD. STI."/>
        <s v="KILKISLI MES. TEK. MAM. GIDA MAD. SAN. TIC. LTD. STI."/>
        <s v="REYMAR TÜTÜN MAM. DAG. VE PAZ. LTD. STI."/>
        <s v="SAGIROGLU TÜTÜN ÜRÜN. INS.TAAH. SAN. VE TIC. LTD. STI."/>
        <s v="SEYDIM DAG.PAZ.A.S."/>
        <s v="ZÜMRÜT TEKEL ÜRÜNLERI GIDA PAZ.INS.TAAH.SAN.VE.TIC.LTD STI"/>
        <s v="YÜCELER GIDA TÜTÜN MAM. SAN. TIC. LTD. STI"/>
        <s v="KOÇAK GIDA-ÖZLEM KOÇAK"/>
        <s v="KAYSERI MESRUBAT GIDA TÜKETIM PAZARLAMA INSAAT ITHALAT IHRACAT SANAYI TICARET LIMITED SIRKETI"/>
        <s v="VODAFONE MOBILE OPERATION LTD"/>
        <s v="V.N.G. GIDA PAZARLAMA-NURAY YILDIRIM"/>
        <s v="DANONE TIKVESLI GIDA VE IÇECEK SAN.TIC.A.S."/>
        <s v="KMK GIDA- MEHMET KODAL"/>
        <s v="ZYS GIDA GROUP SAN. VE TIC. STI."/>
        <s v="ANKA GIDA- ORHAN VELI ÇELIK"/>
        <s v="ELMAS GIDA- UGUR ELMAS"/>
        <s v="RAMPA GIDA ÜRÜNLERI PAZARLAMA A.S."/>
        <s v="VAN KILIÇLAR GIDA VE TÜK.ÜRÜN.LOJ.PAZ.YAT.SAN.TIC.LTD.STI&quot;"/>
        <s v="DURU PAZARLAMA  SAN. VE TIC. A.S."/>
        <s v="BILPA SAN. VE TIC. LTD. STI"/>
        <s v="ENDERER MESRUBAT DAG. PAZ. TIC. LTD. STI."/>
        <s v="HABITAT ZEYTIN ZEYTINYAGI GIDA TARIM SANAYI ITHALAT IHRACAT VE TICARET ANONIM SIRKETI"/>
        <s v="OLUSUM KOZMETIK GIDA VE TEM. HIZ. ITH-IHR SAN. TIC. A.S."/>
        <s v="ÇEVIK BAKLIYAT GIDA A.S"/>
        <s v="Avrasya Tüketim Ürünleri Lojistik Pazarlama Yatirim Sanayi ve Ticaret Ltd. Sti."/>
        <s v="ATA GIDA AMB. SAN. Ve PAZ. A.S"/>
        <s v="END DAGITIM E-TICARET ITHALAT IHRACAT SANAYI TICARET LIMITED SIRKETI"/>
        <s v="AYDIN TOPTAN GIDA VE PAZARLAMA -FATMA AYDIN"/>
        <s v="HAYAT KIMYA SAN. A.S"/>
        <s v="SHELL &amp; TURCAS PETROL A.S"/>
        <s v="SUZUKI MOTORLU ARAÇLAR PAZARLAMA A.S."/>
        <s v="OTOMOBILITE MOTORLU ARACLAR TICARET VE HIZMETLERI ANONIM SIRKETI"/>
        <s v="HIKMET URUN- NIL TICARET GIDA DAGITIM PAZARLAMA HIZMETLERI"/>
        <s v="ADAGAZ SANAYI TICARET TURIZM INSAAT ITHALAT IHRACAT LIMITED SIRKETI"/>
        <s v="GÜLÜNCE GIDA SANAYI TICARET LIMITED SIRKETI"/>
        <s v="MURAT ÇAGIR"/>
        <s v="ÖZBAK GIDA VE IHTIYAÇ MADDELERI SAN.VE TIC.A.S"/>
        <s v="SENGÖR MESRUBAT PAZARLAMA VE TICARET LTD STI"/>
        <s v="HARIBO SEKERLEME SAN. TIC.LTD. STI."/>
        <s v="HIT MAGAZACILIK IHT.VE TÜK.MAD.SAN.VE TIC.A.S."/>
        <s v="BILGINOGLU ENDÜSTRI MALZEMELERI  SAN.TIC. A.S."/>
        <s v="HALIM BOYALI-HISAR GIDA"/>
        <s v="TÜLPA GIDA IÇECEK INSAAT SANAYI VE TICARET AS."/>
        <s v="ONUR TOPTAN GIDA  - AHMET DUMAN"/>
        <s v="ENGIN DINÇER"/>
        <s v="SAMET CEYLAN"/>
        <s v="RAMAZAN KARAGAÇ"/>
        <s v="SIRMAGRUP IÇECEK SAN. VE TIC. A.S."/>
        <s v="SEM GIDA- EJDER KITIR"/>
        <s v="ZEYCAN DAGITIM VE PAZARLAMA FATMA ÇELIK"/>
        <s v="TÜRKIYE SISE VE CAM FABRIKALARI A.S"/>
        <s v="EGE SAHIL GIDA ITH.IHR.TIC.SAN.LTD.STI"/>
        <s v="KUZEYNAM MESRUBAT SATIS DAGITIM GIDA SAN. TIC. LTD. STI"/>
        <s v="KÖKTEPE GIDA TEMIZLIK VE TEMIZLIK MALZ.PAZ.ITH.IHR.SAN.TIC.LTD.STI."/>
        <s v="BOLKAR ALKOLLÜ VE ALKOLSÜZ IÇECEKLER TÜTN. ÜR. GIDA VE TEM. MAD.PAZ.NAK.TIC.LTD.STI."/>
        <s v="ERGÜLAY GIDA SAN.TIC.LTD.STI."/>
        <s v="MAHIROGULLARI GENEL INSAAT MÜTAHITLIK - MAHIR AVCI"/>
        <s v="KILIÇASLAN YEDEK PARÇA PAZARLAMA GIDA VE INS.TIC.LTD.STI."/>
        <s v="AC GLOBAL SU VE HIZLI TÜKETIM ÜRÜNLERI DAG.PAZ.SAN.TIC.LTD.STI."/>
        <s v="ÖZPA GIDA DAG. PAZ  VE HAYVANCILIKTIC.LTD.STI"/>
        <s v="TAYFUN BAKIR"/>
        <s v="AMDOCS YAZILIM HIZMETLERI A.S."/>
        <s v="BADEMLER GIDA SAN. TIC. LTD.STI."/>
        <s v="OVAM PILIÇ PAZ. HAY. INS. TAR. NAKL. TEKS. TAH. TIC. SAN. LTD. STI."/>
        <s v="ULUS GIDA 37 SANAYI VE TIC.LTD.STI."/>
        <s v="BBS GIDA ÜR. TEKEL MAD. TEKSTIL SAN VE TIC. LTD.STI."/>
        <s v="DERKO KOZMETIK TURIZM VE ILAÇ ITH. IHR. TIC. LTD. STI."/>
        <s v="ÖZGÖRKEY OTOMOTIV TURIZM GIDA SANAYI VE TICARET ANONIM SIRKETI"/>
        <s v="INTEMA INSAAT VE TESISAT MALZEME A.S"/>
        <s v="VITRA KARO SERAMIK SAN. VE TIC. AS."/>
        <s v="VOLKAN MESRUBAT &amp; GIDA -VOLKAN KARABOGA"/>
        <s v="YÜCETÜRK TOPTAN GIDA PAZ. INS. TAAH. TIC. VE SAN. LTD.STI"/>
        <s v="SONER TOPTAN GIDA -SONER PALTAVURAN"/>
        <s v="NURHAN BASOGLU BOLU MENGEN TAVUKÇULUK"/>
        <s v="ASRINSAH GIDA TURIZM VE LOJISTIK LTD.STI"/>
        <s v="TEMMUZ TEMIZLIK KOZMETIK GIDA KIRTASIYE INS. SAN. VE TIC A.S."/>
        <s v="DILEK GIDA ÜRETIM VE PAZARLAMA TIC. A.S."/>
        <s v="Laçin Grup Ins. Gida Tur. Oto. Nak. San. Ve Tic. Ltd. Sti."/>
        <s v="AR-SEZ MOBILYA TEKSTIL GIDA KIRTASIYE INSAAT TURIZM IHRACAT TICARET LIMITED SIRKETI"/>
        <s v="SEMIH MESRUBAT LOJISTIK GIDA INS. TUR. SAN. VE TIC. LTD. STI."/>
        <s v="TOKAT ÖZEN GIDA TARIM SAN.TIC.LTD.STI."/>
        <s v="BABAYIGIT GIDA TEM.ÜRÜN. PAZ. TUR. INS. SAN. ve TIC. LTD. STI."/>
        <s v="BELINAY GIDA PAZ. SAN. VE TIC.LTD.STI."/>
        <s v="ÖZOCAKLAR GIDA INSAAT PAZARLAMA IÇ VE DIS TICARET LIMITED SIRKETI"/>
        <s v="GAMSAN GIDA IMALAT SANAYI VE DIS TICARET LIMITED SIRKETI"/>
        <s v="AYDEM YENILENEBILIR ENERJI A.S."/>
        <s v="GDZ ENERJI YATIRIMLARI AS"/>
        <s v="GDZ ELEKTRIK DAGITIM A.S."/>
        <s v="ADM ELEKTRIK DAGITIM AS."/>
        <s v="DORUK GIDA -YUSUF SOYBILGIN"/>
        <s v="AYDEM ELEKTRIK PERAKENDE SATIS A.S"/>
        <s v="BIDFOOD DAGITIM VE PAZARLAMA A.S."/>
        <s v="SUSAN GIDA - TARKAN SUSAN"/>
        <s v="SAYGIVAR IÇECEK-CEM SAYGIVAR"/>
        <s v="TUNA GIDA PAZARLAMA -ORHAN TUNA"/>
        <s v="DÜZYOL MOTOR-EROL DÜZYOL"/>
        <s v="ÖRSE GLOBAL GIDA LOJISTIK ITHALAT IHRACAT SAN.TIC.LTD.STI."/>
        <s v="FACAR GIDA - FURKAN ACAR"/>
        <s v="YASIN YAGCIOGLU"/>
        <s v="ÇELIKOGLU GIDA SAN. TIC. PAZ. INS. TAAH. TAS. LTD. STI"/>
        <s v="HANEDAR GIDA KIRT.SKR.TIC. PAZ. SAN. LTD. STI."/>
        <s v="TUTAR ELEKTRIK ELEKTRONIK GIDA SANAYI TICARET LIMITED SIRKETI"/>
        <s v="AKSEHIR OPAK GIDA IHTIYAÇ ÜRÜNLERI SANAYI TICARET LIMITED SIRKETI"/>
        <s v="KANATOGLU GIDA SANAYI VE TIC.LTD.STI."/>
        <s v="ALI KEMAL PEHLIVAN"/>
        <s v="AHMET NART DAGITIM PAZARLAMA-AHMET NART"/>
        <s v="UNILEVER SAN VE TIC.TÜRK AS."/>
        <s v="YENER ELEKTRONIK ESYA LPG-AKARYAKIT GIDA INSAAT TAAHHÜT SANAYI TICARET LIMITED SIRKETI"/>
        <s v="ÖZKAN GIDA SAIT ÇIÇEK"/>
        <s v="SERVET KARAKOLCU"/>
        <s v="SARIDAYILAR GIDA PAZ.TIC.LTD.STI."/>
        <s v="MUSTAFA MEVLANA AZIZ MUHAMMET KARALI-KARALI TICARET"/>
        <s v="EFINANS ELEKTRONIK TIC.VE BILISIM HIZ. A.S."/>
        <s v="ZIRVEGÜL GIDA SANAYI TIC. LTD. STI."/>
        <s v="ZIRVEGÜL GRUP GIDA TEMIZLIK ÜRÜNLERI DAG. VE PAZ. TIC. LTD. STI."/>
        <s v="ZIRVE UNITRAK GID.TEM.ÜRÜN.DAG.PAZ.SAN.VE TIC.LTD.STI."/>
        <s v="PILOTCAR OTOMOTIV SAN. ve TIC. A.S."/>
        <s v="HC ATILIM GIDA SANAYI VE TICARET LTD.STI"/>
        <s v="TD TASIMACILIK LOJISTIK HIZ.SAN.VE TIC LTD.STI."/>
        <s v="MGO GRUP HIZLI TÜKETIM ÜRÜNLERI PAZARLAMA A.S.-ASYA"/>
        <s v="YVZ GIDA DAGITIM PAZ.OTO.NAK.INS.TUR.SAN.VE TIC.LTD.STI"/>
        <s v="MEHMET LEVENT ARIKAN GIDA TURZ TIC LTD STI"/>
        <s v="RAFIK DOGAN- NEVSEL DOGAN ADI ORT."/>
        <s v="BSM BATI ANADOLU MOTOR VE AKSESUARLARI SAN.TIC.AS."/>
        <s v="KAAN GRUP TEMIZLIK ÜRÜNLERI GIDA PAZARLAMA SANAYI VE TICARET LTD. STI."/>
        <s v="FATIH BALCI TOPTAN VE PERAKENDE GIDA-SARKÜTERI"/>
        <s v="Toros 2010 Gida Ins. Tur. San. ve Tic. Ltd.Sti."/>
        <s v="OPET FUCHS MADENI YAG SAN VE TIC A.S"/>
        <s v="NG GRUP MESRUBAT - GÜLAY ISIK"/>
        <s v="EMEK IÇECEK GIDA TEDARIK PAZARLAMA LIMITED SIRKETI"/>
        <s v="KARADENIZ KARDESLER GIDA SAN.VE TIC. A.S."/>
        <s v="POYRAZ GIDA INS.NAK.TURZ.VE TIC.LTD.STI."/>
        <s v="Edab Gida Sanayi ve Ticaret Limited Sirketi"/>
        <s v="YIL SAK PAZARLAMA GIDA IÇECEK SANAYI VE TICARET LIMITED SIRKETI"/>
        <s v="NUMIL GIDA ÜRÜNLERI SAN. VE TIC. A.S."/>
        <s v="S MOTOR TICARET VE SANAYI LIMITED SIRKETI"/>
        <s v="HIZMET MARKET -SÜKRÜ CAN BAKIR"/>
        <s v="TURKTAB GLOBAL TOBACCO SIGARA VE TÜTÜNCÜLÜK PAZARLAMA A.S."/>
        <s v="PAMUK GIDA TURIZM A.S."/>
        <s v="ONGUN EMGIN GIDA DAG. PAZ. TUR.SAN. TIC. LTD. STI"/>
        <s v="ARMA ILAÇ SAN. VE TIC. A. S."/>
        <s v="SIMYA DAGITIM LOJISTIK GIDA YATIRIM VE TIC.A.S."/>
        <s v="ÖZBILGIÇLER GIDA IHT.MAD.MESR.SAN.VE TIC.LTD.STI."/>
        <s v="SUSEHRI KUTLU AKMAR GIDA VE IHTIYAÇ MADDELERI TICARET SANAYI LIMITED SIRKETI"/>
        <s v="KOTILOGULLARI DAGITIM PAZ. TIC. SAN . A.S."/>
        <s v="ER-FA BILGI ISL.TEK.VE EMN.SIS.IML.ITH.IHR.TIC.LT.ST"/>
        <s v="BEFA PAZARLAMA TICARET LTD STI"/>
        <s v="AKZO NOBEL DECO GMBH"/>
        <s v="ÇNR GRUP OTOM.MIM.INS.SAN.VE TIC.LTD.STI."/>
        <s v="BILGE PAZARLAMA INSAAT MAD.NAK.TAAH.GIDA TURIZM SAN. VE TIC.LTD.STI"/>
        <s v="SÜTKAR TICARET -UGUR AYDIN"/>
        <s v="GÜRBOGA GIDA-SERHAT GÜRBOGA"/>
        <s v="WEBSIS YAZILIM VE BILGISAYAR HAYRIYE BEKTAS"/>
        <s v="OGER IÇECEK SANAYI VE TICARET LTD.STI."/>
        <s v="YIGITOL GIDA TARIM VE NAK. SAN. TIC. LTD. STI."/>
        <s v="KULE GIDA INSAAT TURIZM SAN VE TIC.LTD.STI."/>
        <s v="TASLICALI SATIS DAGITIM PAZARLAMA TIC SAN LTD STI"/>
        <s v="ELIF IÇECEK GIDA ÜRT. SAN. VE TIC. LTD. STI."/>
        <s v="HALIT ULUS IÇECEK ANONIM SIRKETI"/>
        <s v="KUZEYPET VETERINER ÜRÜNLERI ILAÇ VE GIDA SAN. DIS TIC. A.S."/>
        <s v="ÖNDER PILIÇ GIDA INSAAT TAAHHÜT SAN.VE TIC. LTD STI."/>
        <s v="MUZAFFER TICARET - MUZAFFER BOZAL"/>
        <s v="FATIH3LER GIDA / SELÇUK EVREN"/>
        <s v="YUSUF ALDEMIR (ALDEMIR BILISIM HIZMETLERI VE DANISMANLIK)"/>
        <s v="MYSET OTOMOTIV DIS TICARET LIMITED SIRKETI"/>
        <s v="NALÇACIOGLU GIDA TARIM TEKSTIL INSAAT DAYANIKLI TÜKETIM MALLARI SANAYI VE TICARET LIMITED SIRKETI"/>
        <s v="ANKA SATIS DAGITIM SANAYI VE TICARET LTD.STI"/>
        <s v="KIYAL GIDA TUR.INS.TEM.NAK.TIC.SAN.LTD.STI."/>
        <s v="ERZA GIDA ANONIM SIRKETI"/>
        <s v="KARAMEHMETLER GIDA VE IHTIYAÇ MADDELERI SANAYI VE TICARET LIMITED SIRKETI"/>
        <s v="BELGIN MADENI YAGLAR TICARET VE SANAYI ANONIM SIRKETI"/>
        <s v="HEDEF DIRECT ILETISIM ÇÖZ.PAZ. VE DAN.HIZM.LTD.STI"/>
        <s v="BELKIM KIMYEVI MADDELER TICARET VE SANAYI ANONIM SIRKETI"/>
        <s v="ÖZEROGLU GIDA VE INS SAN TIC LTD STI"/>
        <s v="MYS GIDA KOZM. KIM. OTO.ÜRÜN.SAN. VE TIC. LTD. STI"/>
        <s v="SIPAR PAZARLAMA TURIZM INS. VE TIC. LTD. STI"/>
        <s v="TURASAN PAZARLAMA SANAYI VE TICARET LIMITED SIRKETI"/>
        <s v="AYFO GIDA LTD. STI."/>
        <s v="MARSAS DENIZCILIK INS. TAAH. TIC. A.S."/>
        <s v="DURMAZ GIDA DAGITIM VE PAZARLAMA-IBRAHIM DURMAZ"/>
        <s v="HALIL ENDERER DAGITIM PAZARLAMA SANAYI VE TICARET LIMITED SIRKETI"/>
        <s v="AVRUPA SATIS DAG. VE TIC. LTD. STI."/>
        <s v="4 SIMPLE BILISIM SANAYI VE TIC. LTD. STI."/>
        <s v="ACARSOY GIDA TURZ.INS.VE IHT.MAD.PAZ.SAN.TIC.LTD.STI."/>
        <s v="PASA GIDA PAZ. SAN. TURZ. ve TIC. ITH.IHR. LTD. STI."/>
        <s v="GÜVEN SIRA  PAZARI ALI SARILAR VE ORT."/>
        <s v="BRN GRUP DAGITIM TICARET LIMITED SIRKETI"/>
        <s v="NASIROGULLARI GIDA KIRTASIYE GIYIM DAY. TÜK. MALLARI TIC. VE SAN. LTD. STI."/>
        <s v="SAN-KAR GIDA INS.NAK.OTO. YAZILIM TIC.LTD.STI."/>
        <s v="EMNIYET GIDA NAKLIYAT TIC. LTD. STI."/>
        <s v="MARSHALL BOYA VE VERNIK SANAYI A.S."/>
        <s v="NEWAL AL EBDAA IMPORT-EXPORT AND GENERAL TRADING LTD COMPANY"/>
        <s v="VIZYON GIDA-CAFER SAHIN"/>
        <s v="WEITNAUER DIS TICARET ANONIM SIRKETI"/>
        <s v="CENAT GIDA / YASIN CENAT"/>
        <s v="MIRAY GIDA DAGITIM PAZARLAMA - MIRAY KURNALI"/>
        <s v="BASKANLAR GIDA PAZARLAMA TIC.LTD.STI."/>
        <s v="URAS GIDA - UMUT INANAN"/>
        <s v="EYMEN GIDA DAGITIM- ALI GÜLER"/>
        <s v="GÖKÇE MESRUBAT TIC. A.S."/>
        <s v="METIN ÖKMEN- ATAKAN GIDA"/>
        <s v="MYZ ATILIM TOPTAN GIDA PAZARLAMA TIC.LTD.STI."/>
        <s v="RAFIK DOGAN MOTOR BILISIM INSAAT ITHALAT IHRACAT TICARET VE SANAYI LIMITED SIRKETI"/>
        <s v="ALPEDO GIDA SAN.VE TIC.A.S"/>
        <s v="NISAN MESRUBAT DAG. PAZ. SAN. TIC. LTD. STI."/>
        <s v="KORBIR SOSYAL HIZ. INS. GIDA OTOMOTIV MAK. SAN. TIC. LTD. STI."/>
        <s v="ABC DETERJAN SANAYİ VE TİCARET ANONİM ŞİRKETİ"/>
        <s v="ALPEDO GIDA SAN.VE TİC.A.Ş"/>
        <s v="Altıparmak Gıda San. ve Tic. A.Ş. "/>
        <s v="Altıparmak Gıda San. ve Tic. A.Ş."/>
        <s v="Arcelik Hitachi Home Appliances Sales (Thailand) Ltd."/>
        <s v="Arma İlaç San. ve Tic. Ltd. Şti."/>
        <s v="AYDEM YENİLENEBİLİR ENERJİ"/>
        <s v="GDZ ENERJİ YATIRIMLARI AŞ"/>
        <s v="GDZ ELEKTRİK DAĞITIM A.Ş."/>
        <s v="AYDEM ELEKTRİK PERAKENDE SATIŞ A.Ş"/>
        <s v="GEDİZ ELEKTRİK PERAKENDE SATIŞ A.Ş."/>
        <s v="ADM ELEKTRİK DAĞITIM AŞ."/>
        <s v="BELKİM KİMYEVİ MADDELER TİCARET VE SANAYİ ANONİM ŞİRKETİ"/>
        <s v="BALIKESİR ELEKTROMEKANİK SANAYİ TESİSLERİ AŞ."/>
        <s v="BEYAZ KAĞIT VE HİJYENİK TEMİZLİK ÜRÜNLERİ SAN.TİC.A.Ş."/>
        <s v="BİLGİNOĞLU ENDÜSTRİ MALZEMELERİ  SAN.TİC. A.Ş."/>
        <s v="BMC Otomotiv Sanayi ve Ticaret A. Ş."/>
        <s v="Brisa Bridgestone Sabancı Lastik San. ve Tic. A.Ş."/>
        <s v="BROWN FORMAN İÇKİ TİC. LTD. ŞTİ."/>
        <s v="BURDA BEBEK ÜRÜNLERİ SANAYİ VE TİCARET ANONİM ŞİRKETİ"/>
        <s v="INSERVIS GRUP GIDA SAN. VE TIC. A.S."/>
        <s v="ÇAYTAS GIDA PAZARLAMA VE REKLAM HIZMETLERI SAN. TIC. A.S"/>
        <s v="GIDASAN IHT. MAD. IML. VE PAZ.A.S."/>
        <s v="BIZIMYAKI TEMIZLIK VE GIDA SAN. VE TIC. LTD STI"/>
        <s v="BİZİMYAKI TEMİZLİK VE GIDA SANAYİ VE TİCARET LİMİTED ŞİRKETİ"/>
        <s v="ÇAYKUR ÇAY İŞLETMELERİ GENEL MÜDÜRLÜĞÜ"/>
        <s v="çaykur - Başhan Agro Gıda San Tic A.S."/>
        <s v="DEPE DANIŞMANLIK İNŞ.TAAH.EMLAK OTO İNŞ.MALZ.TİC.VE SAN.LTD.ŞTİ."/>
        <s v="MERSEL LOJİSTİK GIDA PAZARLAMA TİC.LTD.STİ."/>
        <s v="YİGİTOL GIDA"/>
        <s v="ÇAYTAŞ GIDA PAZARLAMA VE REKLAM HizmetLERİ SANAYİ VE TİCARET ANONİM ŞİRKETİ"/>
        <s v="Danone Tikveşli Gıda ve İçecek San.Ve Tic.A.Ş."/>
        <s v="DARDANEL DAĞITIM A.Ş."/>
        <s v="MENEKSEOGLU TICARET ZEKERIYA MENEKSE"/>
        <s v="ASLI UÇUR"/>
        <s v="ESRA MUHTAROGLU"/>
        <s v="KM MARKASI GIDA İNŞAAT TEMİZLİK TİC. VE SAN. LDT. ŞTİ."/>
        <s v="DERKO KOZMETİK TUR.VE İLAÇ İT.İH.TİC.LTD.ŞTİ."/>
        <s v="Deva İçecek San. Tic. A.Ş."/>
        <s v="Doğadan Gıda Ürünleri San. ve Paz. A.Ş."/>
        <s v="DOĞAN TREND OTOMOTİV TİCARET Hizmet VE TEKNOLOJİ ANONİM ŞİRKETİ"/>
        <s v="DOĞUŞ ÇAY VE GIDA MADD.ÜRT.PAZ.İTH.İHR.A.Ş"/>
        <s v="NATURAL HUBUBAT BAKLIYAT GIDA TEMIZLIK MADDELERI SANAYI VE TICARET LIMITED SIRKETI"/>
        <s v="ÖZKILIÇ-BAKI ÖZKILIÇ"/>
        <s v="EMRULLAH ÜNAL"/>
        <s v="ERCIS PARK TOPTAN VE PERAKENDE GIDA SAN.TIC.LTD.STI"/>
        <s v="ERAY TOPTAN TICARET - SINAN GÖBEL"/>
        <s v="ALKAN GIDA PAZARLAMA"/>
        <s v="BAHAR TOPTAN GIDA TİCARETİ - ZEHRA BAHAR"/>
        <s v="DÜZEY TÜKETİM MALLARI SAN. PAZARLAMA VE TİC. A.Ş."/>
        <s v="SANİPAK SAĞLIKLI YAŞAM ÜRÜNLERİ SAN VE TİC AŞ"/>
        <s v="İNTEMA İNŞAAT VE TESİSAT MALZEME A.Ş"/>
        <s v="FLLC EFES TRADE BY"/>
        <s v="Lomisi JSC Efes Gürcistan "/>
        <s v="Lomisi JSC Efes Gürcistan"/>
        <s v="EFES KAZAKHSTAN JSC FE "/>
        <s v="SAHAN GIDA DAGITIM SAN. VE TIC. LTD. STI."/>
        <s v="EFES PAZARLAMA DAĞITIM VE TİCARET ANONİM ŞİRKETİ"/>
        <s v="Eminoğlu Mermer"/>
        <s v="TATLISUMAKLAR TARIM PETROL INSAAT GIDA SANAYI VE TICARET ANONIM SIRKETI"/>
        <s v="AKÇAKOCA TEKSTİL GIDA SANAYİ VE TİCARET LİMİTED ŞİRKETİ"/>
        <s v="Eruslu Sağlık Ürünleri Sanayi Ve Ticaret AŞ"/>
        <s v="EVYAP SABUN YAĞ GLISERIN SAN. VE TİC.A.Ş."/>
        <s v="ERLEY GIDA VE IHT.MAD PAZ SAN VE TIC LTD STI"/>
        <s v="TTM PAZARLAMA TİCARET İTHALAT VE İHRACAT ANONİM ŞİRKETİ"/>
        <s v="IFFCO TURKEY GIDA SAN. ve TIC. A.S"/>
        <s v="FELDA IFFCO Gıda San. ve Tic. A.Ş."/>
        <s v="HALEON TÜKETICI SAGLIGI A.S."/>
        <s v="HABAŞ SINAİ VE TIBBİ GAZLAR İSTİHSAL ENDÜSTRİSİ A.Ş."/>
        <s v="Haribo Şekerleme Tic. Ltd. Şti."/>
        <s v="HAYDAROĞLU GIDA TEM ELK.ELEKTRONİK DAĞ PAZ İNŞ SAN"/>
        <s v="Hayat Kimya San.A.Ş"/>
        <s v="ATAK GIDA MOBILYA DAG.PAZ.SAN.VE TIC.LTD.STI."/>
        <s v="EKS ECOMMERCE DIS TICARET ANONIM SIRKETI"/>
        <s v="ATAK TEMİZLİK GIDA MOBİLYA DAĞ.PAZ.SAN.VE TİC.LTD."/>
        <s v="ÇEVİK BAKLİYAT GIDA ANONİM ŞİRKETİ"/>
        <s v="Oluşum Kozmetik Gıda Temizlik Hizmet İth.İhr.San. T.AŞ"/>
        <s v="Duru Itrıyat Deposu Sanayı Ve Tıcaret Anonım Sırketı"/>
        <s v="ENDERER MEŞRUBAT SATIŞ DAĞITIM SAN.VE TİC.A.Ş."/>
        <s v="RAMPA GIDA ÜRÜNLERİ PAZARLAMA A.Ş."/>
        <s v="VAN KILIÇLAR Gıda Ve Tüketim Ürünleri Lojistik Paz. Yat. San. Tic Ltd Şti"/>
        <s v="EKS ECOMMERCE DIS TICARET"/>
        <s v="ATA GIDA AMBALAJ SANAYI VE PAZARLAMA ANONIM SIRKETI"/>
        <s v="END DAĞITIM E-TİCARET İTHALAT İHRACAT SANAYİ TİCARET LİMİTED ŞİRKETİ"/>
        <s v="Avrasya Tüketim Ürünleri Lojistik Pazarlama Yatırım Sanayi Ve Ticaret Limited Şirketi"/>
        <s v="Duru Pazarlama Ticaret Ve Sanayi A.Ş."/>
        <s v="RA PAZARLAMA LTD. ŞTİ"/>
        <s v="IMPERIAL TOBACCO TÜTÜN ÜRÜNLERİ SATIŞ VE PAZARLAMA A.Ş"/>
        <s v="JTI Tütün Ürünleri Pazarlama A.Ş."/>
        <s v="ALTUN TEMİZLİK TÜTÜN ÜRÜNLERİ PAZARLAMA A .Ş"/>
        <s v="ARME DAĞITIM PAZARLAMA SANAYİ VE TİC. A.Ş."/>
        <s v="AYDIN ÜNLÜER TUR.GIDA TİC. VE SAN. A.Ş."/>
        <s v="BUĞRA MÜH. VE İNŞ. MALZ. İML. İTH. İHR. TİC. SAN. LTD. ŞTİ."/>
        <s v="CAN TÜTÜN MAMULLERİ İNŞAAT VE SANAYİ TİCARET A.Ş."/>
        <s v="ÇELİKKOL TURİZM GIDA MAD.SAN VE TİC. LTD. ŞTİ."/>
        <s v="DOYURAN GIDA A.Ş."/>
        <s v="KALPAKÇIOĞLU GIDA SAN. VE TİC. LTD. ŞTİ."/>
        <s v="FLAŞ TURİZM İNŞAAT TAAHHÜT TİC. LTD. ŞTİ."/>
        <s v="BAMS GIDA ITRİYAT VE TEKSTİL TİC. VE SAN. LTD. ŞTİ."/>
        <s v="BESLER GIDA PAZ. SAN. VE TİC. A.Ş."/>
        <s v="BURAY TÜTÜN MAMUL. MEŞR. PAZ. VE DAĞ. TİC. LTD. ŞTİ."/>
        <s v="DÜNYA MEŞRUBAT GIDA İNŞ.TURİZM PAZ. SAN. VE TİC. LTD. ŞTİ."/>
        <s v="KILKIŞLI MEŞ. TEK. MAM. GIDA MAD. SAN. TİC. LTD. ŞTİ."/>
        <s v="KOPUZ GIDA TİC. A.Ş."/>
        <s v="ONGUN EMGİN GIDA DAĞ. PAZ. TUR.SAN. TİC. LTD. ŞTİ."/>
        <s v="Özçelik Meşrubat ve Gıda Mad.Tic.Paz.A.Ş."/>
        <s v="ÖZCİHAN GIDA İNŞAAT TARIM NAKLİYE ENERJİ TURİZM MAD. PAZ. VE SAN. LTD. ŞTİ."/>
        <s v="ÖZERLER TİCARET İLHAN ÖZER"/>
        <s v="REYMAR TÜTÜN MAM. DAĞ. VE PAZ. LTD. ŞTİ."/>
        <s v="SAĞIROĞLU TÜTÜN ÜRÜN. İNŞ.TAAH. SAN. VE TİC. LTD. ŞTİ."/>
        <s v="SAMİ EMGİN DAĞ. PAZ. TUR. TEKS. İNŞ. SAN. TİC. LTD. ŞTİ."/>
        <s v="SEYDİM DAĞ.PAZ.A.Ş."/>
        <s v="SSG DAYANIKLI TÜKETİM MAD. GIDA ÜRÜNLERİ PAZ. SAN. TİC. LTD. ŞTİ."/>
        <s v="PRAMİT GIDA LOJİSTİK TİCARET TİC. A.Ş."/>
        <s v="ŞEKERCİ GIDA TEMİZLİK ÜRÜN. PAZ. VE DAĞ. LTD. ŞTİ."/>
        <s v="SEYPA GIDA İHTİYAÇ MAD.ÜRETİM.DAĞ.VE TİC. A.Ş."/>
        <s v="YILDIRIMLAR GRUP İHTİYAÇ VE GIDA MAD. TURİZM A.Ş"/>
        <s v="YUSUF BEKTAŞ GIDA VE İHTİYAÇ MAD. İLETİŞİM NAKLİYE TİC.VE SAN.LTD.ŞTİ."/>
        <s v="ZÜMRÜT TEKEL ÜRÜNLERİ GIDA PAZ.İNŞ.TAAH.SAN.VE.TİC.LTD ŞTİ"/>
        <s v="AĞAÇLI OTOMOTİV GIDA TİCARET VE SANAYİ ANONİM ŞİRKETİ"/>
        <s v="LOGO Yazılım SAN. VE TİC. A.Ş."/>
        <s v="JTI INTERNATIONAL SA"/>
        <s v="K RIDES MOTOSIKLET VE BISIKLET SAN.TIC.AS."/>
        <s v="K Rides Motosiklet Ve Bisiklet San. Ve Tic. A.Ş."/>
        <s v="YUSUF ALDEMİR (ALDEMİR BİLİŞİM HizmetLERİ VE DANIŞMANLIK)"/>
        <s v="4 SIMPLE BİLİŞİM SANAYİ VE TİC. LTD. ŞTİ."/>
        <s v="POLARİS Yazılım ÇÖZÜMLERİ VE DANIŞMANLIK HizmetLERİ LTD.ŞTİ."/>
        <s v="MİYA OTOMASYON VE BARKOD BILISIM SISTEMLERI SAN TİC. VE L.T.D. STI."/>
        <s v="MATRIKS BİLGİSAYAR SİSTEMLERİ LTD.ŞTİ"/>
        <s v="ALİ SERGEN KART"/>
        <s v="EDM BİLİŞİM SİSTEMLERİ VE DANIŞMANLIK HizmetLERİ A.Ş."/>
        <s v="yusuf aldemir (aldemir bilişim Hizmetleri ve danışmanlık)"/>
        <s v="KARADENİZ KARDEŞLER GIDA SAN.VE TİC. A.Ş."/>
        <s v="LEANK BUSİNESS SOLUTİONS LTD."/>
        <s v="TURK FİNANSMAN ANONİM ŞİRKETİ"/>
        <s v="ADA DENIZ GRUP GIDA DAN.SAN.TIC.IHR.VE ITH.LTD.STI"/>
        <s v="KENT GIDA MADDELERİ SAN VE TİC.AŞ."/>
        <s v="AYTUNÇLAR GIDA İNŞAAT VE TURİZM SAN.TİC.LDT.ŞTİ"/>
        <s v="KOROPLAST TEMİZLİK AMBALAJ ÜRÜNLERİ SAN. VE DIŞ TİC.A.Ş."/>
        <s v="KÜRESEL TEDARİK VE TİCARET ANONİM ŞİRKETİ"/>
        <s v="BASAK PAZARLAMA TEMIZLIK ve GIDA ÜRÜNLERI TIC. LTD. STI"/>
        <s v="ETKIN UNLU MAMULLER LTD. STI."/>
        <s v="ISPAS ISPARTA GIDA PAZARLAMA DAGITIM TICARET LIMITED SIRKETI"/>
        <s v="KÖMÜRCÜLER GIDA SAN. VE TIC. A.S"/>
        <s v="SMB ELEN TÜKETIM MALLARI DAGITIM PAZARLAMA SANAYI VE TICARET LIMITED SIRKETI"/>
        <s v="ZIRVE DONDURMA ÜRÜNLERI GIDA VE TEMIZLIK ITH. IHR. SAN. VE TIC. LTD. STI."/>
        <s v="ÖZ ORUÇOGLU GIDA SANAYI VE TIC LTD STI"/>
        <s v="La Lorraine Unlu Mamülleri Tic. San. A.Ş."/>
        <s v="İLKADIM GG PAZ. GIDA TİC. LTD. ŞTİ."/>
        <s v="KÖMÜRCÜLER GIDA SAN. VE TİC. A.Ş."/>
        <s v="BAŞAK PAZARLAMA TEMİZLİK VE GIDA ÜRÜNLERİ LTD ŞTİ"/>
        <s v="ERLEY GIDA"/>
        <s v="ISPAŞ ISPARTA GIDA PAZARLAMA DAĞITIM TİCARET LİMİTED ŞİRKETİ"/>
        <s v="ÖZ ORUÇOĞLU GIDA SANAYİ VE TİC LTD ŞTİ"/>
        <s v="Zirve Dondurma"/>
        <s v="Etkin Şirketler Topluluğu - Etkin Unlu Mamülleri"/>
        <s v="LEVENT KİMYA SAN. VE TİC. A.Ş."/>
        <s v="Loreal Türkiye Kozmetik Tic. ve San. A.Ş."/>
        <s v="MARS GIDA ÜRÜNLERİ TİC. LTD.ŞTİ."/>
        <s v="MARSHALL BOYA VE VERNİK SANAYİ A.Ş."/>
        <s v="MEDİTERA TIBBİ MALZ.SAN.VE TİC.A.Ş."/>
        <s v="MENDERES TEKSTİL SAN.TİC.A.Ş."/>
        <s v="Mey İçki Sanayi ve Ticaret A.Ş."/>
        <s v="Murr Elektronik San. Ve Tic. Ltd. Şti."/>
        <s v="LODOS MESRUBAT TASIMACILIK GIDA LTD. STI ."/>
        <s v="Nestle Gıda Sanayi A.Ş."/>
        <s v="Nestle Turkiye Gida San A.S."/>
        <s v="ERİKLİ SU VE MEŞRUBAT SAN. TİC. A.Ş"/>
        <s v="ADANA PAZARLAMA DAĞITIM VE TİC.LDT.ŞTİ"/>
        <s v="adana pazarlama dağıtım ve tic ltd.şti"/>
        <s v="Üçyol Dayanıklı Tüketim Malları Tekstil Ve Dış Tic.A.Ş. - Newal"/>
        <s v="NİVEA BEİERSDORF TURKEY KOZMETİK SANAYİ VE TİCARET ANONİM ŞİRKETİ"/>
        <s v="Nurol Makina ve Sanayi A.Ş."/>
        <s v="OF ÇAYSAN TARIM ÜRÜN ENTEGRE TES SAN VE TİC A Ş"/>
        <s v="OMAK TEKNOLOJI MÜHENDISLIK ENERJI VE DIS TICARET LIMITED SIRKETI"/>
        <s v="OMAK TEKNOLOJİ MÜHENDİSLİK ENERJİ VE DIŞ TİCARET LİMİTED ŞİRKETİ"/>
        <s v="PERRİGO KİŞİSEL Bakım ÜRÜNLERİ SAN. VE TİC. LTD.ŞTİ"/>
        <s v="OPET FUCHS MADENİ YAĞ SAN VE TİC A.Ş"/>
        <s v="Satem Grup Gıda Dağıtım Ve Pazarlama A. Ş."/>
        <s v="ÖZGÖRKEY OTOMOTİV TURİZM GIDA SANAYİ VE TİCARET ANONİM ŞİRKETİ"/>
        <s v="PANASONİC ELECTRİC WORKS ELEKTRİK SANAYİ VE TİCARET ANONİM ŞİRKETİ"/>
        <s v="TURKIYE SISE VE CAM FABRIKALARI A.S."/>
        <s v="PERNOD RICARD İSTANBUL İÇ VE DIŞ TİC. LTD. ŞTİ"/>
        <s v="EKŞİLİOGLU  GIDA VE TEM ÜRÜN DAĞ PAZ  SAN ve TİC LTD. ŞTİ"/>
        <s v="MERT MERVE GIDA "/>
        <s v="RECKITT BENCKİSER TEMİZLİK MALZEMESİ SAN. VE TİC. A.Ş."/>
        <s v="MERT MERVE GIDA"/>
        <s v="NUMET GIDA TEMIZLIK YEMEK IMALATI KIRTASIYE BILGISAYAR PLASTIK ITH.IHR.SAN ve TIC.LTD.STI"/>
        <s v="ALKAN IÇECEK INSAAT PAZARLAMA LIMITED SIRKETI"/>
        <s v="BAYKA GIDA DANISMANLIK PETROL ÜRÜN. SAN. ve TIC. LTD. STI"/>
        <s v="ATAS ERZEN GIDA OTOMOTIV SAN. VE TIC. LTD.STI"/>
        <s v="TEKE IÇECEK ANONIM SIRKETI"/>
        <s v="RED BULL GIDA DAĞITIM VE PAZARLAMA TİCARET LTD. ŞTİ"/>
        <s v="MEKPA GIDA TEMİZLİK ÜRÜNLERİ İNŞAAT OTOMOTİV PETROL SANAYİ VE TİCARET LİMİTED ŞİRKETİ"/>
        <s v="ROYAL CANIN TURKEY EVCİL HAYVAN ÜRÜNLERİ TİC. LTD. ŞTİ."/>
        <s v="VALORA PAZARLAMA ANONIM SIRKETI"/>
        <s v="BEYLERBEYİ İÇECEK PAZARLAMA A.Ş"/>
        <s v="AGROMIRA TARIM ÜRÜNLERI GIDA SANAYI VE TICARET A.S."/>
        <s v="SBR TARIM ÜRÜNLERI GIDA SANAYI VE TICARET A.S."/>
        <s v="SBR TARIM ÜRÜNLERİ GIDA SANAYİ VE TİCARET A.Ş."/>
        <s v="AGROMİRA TARIM ÜRÜNLERİ GIDA SAN.TİC. ANONİM ŞİRKETİ"/>
        <s v="Shell &amp; Turcas Petrol A.Ş."/>
        <s v="Şenpiliç Gıda Sanayi A.Ş."/>
        <s v="Şölen Çikolata Gıda Sanayi Ve Ticaret A. Ş."/>
        <s v="Tadım Gıda Maddeleri San. ve Tic. A.Ş."/>
        <s v="SOYHAN GIDA VE IÇ.PAZ.TIC.LTD.STI."/>
        <s v="LND GIDA PERAKENDE VE LOJISTIK LIMITED SIRKETI"/>
        <s v="EMIR GIDA - ERHAN ÇADIROGLU"/>
        <s v="TCHIBO KAHVE MAMÜLLERI DAG. VE PAZ. TIC. LTD. STI."/>
        <s v="TCHIBO KAHVE MAMÜLLERİ DAĞ. VE PAZ. TİC. LTD. ŞTİ."/>
        <s v="TÜRKİYE'NİN OTOMOBİLİ GİRİŞİM GRUBU SANAYİ VE TİCARET A.Ş."/>
        <s v="PANAGRO TAR. HAY. GIDA SAN. TIC. A.S."/>
        <s v="PARAM MerkezI YÖNETIM DESTEK HIZMETLERI A.S"/>
        <s v="TURK ELEKTRONIK PARA A.S"/>
        <s v="PARAMTECH"/>
        <s v="KREDİM"/>
        <s v="UNİVİS BİLİŞİM DESTEK HizmetLERİ SANAYİ VE TİCARET ANONİM ŞİRKETİ"/>
        <s v="TÜRK PARA A.Ş."/>
        <s v="TURK ELEKTRONİK PARA A.Ş."/>
        <s v="PARAM Merkezİ YÖNETİM DESTEK HizmetLERİ ANONİM ŞİRKETİ"/>
        <s v="Eçözüm Bilgi Teknolojileri A.Ş."/>
        <s v="TURK ELEKTRONİK PARA ANONİM ŞİRKETİ"/>
        <s v="TURK FİNANSAL TEKNOLOJİ ANONİM ŞİRKETİ"/>
        <s v="PARAM Merkezİ YÖNETİM DESTEK HizmetLERİ A.Ş."/>
        <s v="Turk Elektronik Para Anonim Şirketi"/>
        <s v="THY DO&amp;CO İKRAM HizmetLERİ A.Ş."/>
        <s v="TURKTAB MARKETING SIGARA VE TÜTÜNCÜLÜK ANONIM SIRKETI"/>
        <s v="ULUDAG IÇECEK TÜRK ANONIM SIRKETI"/>
        <s v="ADA TICARET - ALI RECEP UYSAL"/>
        <s v="DOĞA IHTIYAC MAD. GIDA PAZ. SAN. VE TIC. LTD. STI."/>
        <s v="ERBAK - ULUDAĞ PAZARLAMA SATIŞ VE DAĞITIM ANONİM ŞİRKETİ"/>
        <s v="ERBAK - ULUDAĞ PAZARLAMA SATIŞ VE DAĞITIM ANONİM ŞİRKETİ/SANAL POS"/>
        <s v="EFE BEVERAGE GIDA TURZ.İNŞ.TİC.İTH."/>
        <s v="ZIRVEGÜL YAPI INS. TIC. LTD. STI."/>
        <s v="AKDENIZ GIDA TICARET AS."/>
        <s v="RECEPOGLU TÜKETIM MAL. GIDA DAG.TAS.YAT.A.S"/>
        <s v="GÜL-PAS TEMIZLIK MAD. GIDA DAG. TAS. SAN. VE TIC. LTD. STI"/>
        <s v="Emeksar Gida Turzm.Ins.LTD.STI."/>
        <s v="ZIRVE GIDA ve TEMIZLIK ÜRÜNLERI SAN ve TIC. LTD. STI"/>
        <s v="KARADENIZ GIDA VE TEMIZLIK MADDELERI TIC. LTD. STI."/>
        <s v="Unilever San. ve Tic. Türk A.Ş."/>
        <s v="Gül-Paş Tem.Mad. Gıda Dağ.Taş.San.ve Tic.Ltd.Şti."/>
        <s v="AKCAN TEMİZLİK MADDELERİ SAN.VE TİC.A.Ş."/>
        <s v="EMEKSAR GIDA TURİZM SAN.TİC.LDT.ŞTİ"/>
        <s v="Altaner Gıda Temizlik ve İhtiyaç Maddeleri Nakliyat Sanayi Tic. Ltd. Şti."/>
        <s v="RECEPOĞLU TÜKETİM MAL. GIDA DAĞ.TAŞ.YAT.A.Ş"/>
        <s v="ZİRVEGÜL YAPI İNŞ. TİC. LTD. ŞTİ."/>
        <s v="AKDENİZ GIDA TİCARET AŞ."/>
        <s v="Karadeniz Gıda ve Temizlik Maddeleri tic. Ltd. şti."/>
        <s v="MNK GIDA SAN. ve Tic. A.Ş"/>
        <s v="FHP EV İÇİ KULLANIM ARAÇLARI SAN VE TC A.Ş/VİLEDA"/>
        <s v="HEDEF DIRECT İLETİŞİM ÇÖZÜMLERİ"/>
        <s v="VODAFONE MOBILE OPERATION LTD."/>
        <s v="WAGNER KABLO A.S."/>
        <s v="WAGNER KABLO A.Ş."/>
        <s v="HAS SAK GIDA IÇECEK TURIZM INS. SAN. VE TIC. LTD. STI."/>
        <s v="ANZERLI ALKOLLÜ IÇECEK INSAAT GIDA BILISIM TEKNO TURIZM SAN VE DIS TIC. LTD.STI."/>
        <s v="MGO GRUP HIZLI TÜKETIM ÜRÜNLERI PAZARLAMA A.S"/>
        <s v="ERCAN MESRUBAT GIDA SAN. TIC. LTD.STI"/>
        <s v="WEITNAUER DIŞ TİCARET A.Ş "/>
        <s v="WEITNAUER DIŞ TİCARET A.Ş"/>
        <s v="KP GIDA DAGITIM PAZARLAMA OTOMOBIL ITHALAT IHRACAT SANAYI VE TICARET LIMITED SIRKETI"/>
        <s v="ERCAN AYKAÇ"/>
        <s v="GEZICI GROUP SAN.VE TIC.LTD.STI."/>
        <s v="KARAMAN EFSUN GIDA MADDELERI PAZARLAMA SANAYI VE TICARET LTD.STI."/>
        <s v="TOPUZ MARKET- UTKU TOPUZ"/>
        <s v="KT GIDA PAZARLAMA -KURTUL TAS"/>
        <s v="ERKISI IÇECEK SANAYI VE TICARET LTD.STI."/>
        <s v="ÇANAKKALE BATI IÇECEK GIDA TICARET LTD.STI."/>
        <s v="KARACASULU GIDA VE TARIM ÜRÜNLERI SAN.VE TIC.LTD.STI."/>
        <s v="BARIS MESRUBAT - HASAN KADIR ZOGUN"/>
        <s v="ÖZGÜL KARDESLER TOPTAN GIDA PAZ. LTD. STI."/>
        <s v="ÇANTAYLAR IÇECEK ÜR. GIDA TUR. INS. HAY. KUY. SAN. VE TIC. LTD. STI."/>
        <s v="BORA GIDA PAZARLAMA-BORA TEMEL"/>
        <s v="BILCEN ET VE SÜT ÜRÜNLERI PAZ.SAN.TIC.LTD.STI."/>
        <s v="BIRSEN KOÇAK"/>
        <s v="LINERA GIDA A.S."/>
        <s v="TWINE IÇECEK GIDA LIMITED SIRKETI"/>
        <s v="ZETA TICARET SERHAT GÜNGÖR"/>
        <s v="EFOR IÇECEK GIDA TICARET LIMITED SIRKETI"/>
        <s v="ÇANTAY IÇECEK EMLAK TURIZM AKARYAKIT NAKLIYE INSAAT GIDA HAYVANCILIK KUYUMCULUK OTOMOTIV SANAYI VE T"/>
        <s v="BARIK GIDA ISI KURU TEMIZLEME TICARET LIMITED SIRKETI"/>
        <s v="KARADENIZ IÇECEK PAZARLAMA DAGITIM TIC.LTD.STI"/>
        <s v="ALKAR DAGITIM GIDA INSAAT VE OTOMOTIV SANAYI TICARET LIMITED SIRKETI"/>
        <s v="KETPA GIDA TEMIZLIK LPG TÜM KÖMÜR ALIM SATIM INSAAT SAGLIK HIZMETLERI SANAYI VE TICARET LTD."/>
        <s v="FREKANS PET EVCIL HAYVAN ÜRÜNLERI LTD.STI."/>
        <s v="AYSEGÜL ÖZDEMIR  BI-TAD GIDA"/>
        <s v="KÖSEOGLU PETROL INSAATÇILIK NAKLIYE TAAHHÜT ZAHIRIYE GÜBRE ZIRAAT ALETLERI SAN.VE TIC.LTD.STI."/>
        <s v="YELKEN ANATOLYA GIDA DAGITIM ANANIM SIRKETI"/>
        <s v="ÖZ AKDAG TOPTAN GIDA ve MESRUBAT PAZARLAMA HALIL ISÇI"/>
        <s v="AKAR TOPTAN PERAKENDE GIDA TIC.LTD.STI."/>
        <s v="TERCAN KARAHANLAR OTOMOTIV GIDA TURIZM INSAAT TAAHHÜT PETROL ÜRÜNLERI TICARET SANAYI LIMITED SIRKETI"/>
        <s v="TÜRKMEN TOPTAN GIDA-ABDURRAHMAN TÜRKMEN"/>
        <s v="UNUTULMAZ GIDA TAR.HAYV.INS. TAAH.OTO.DAY.TUK.MAL.ITH.IHR VE SAN.TIC.LTD.STI."/>
        <s v="SU&amp;DEM GIDA PAZARLAMA-YUSUF ERDAL SALIHOGLU"/>
        <s v="ATABEY IÇECEK GIDA TURIZM INSAAT TAAHHÜT TICARET LIMITED SIRKETI"/>
        <s v="ACAR GSF GIDA INSAAT TASIMACILIK ITH.IHR.SANAYI VE TICARET LTD.STI."/>
        <s v="BEDAS GIDA SANAYI TICARET LIMITED SIRKETI"/>
        <s v="ÖZ KA GIDA SAN.TIC.LTD.STI"/>
        <s v="ÖZYILDIZ GIDA-ÖMER YILDIZ"/>
        <s v="EPA GIDA TICARET-TURGUT PARLAK"/>
        <s v="SISTEM PAZARLAMA GIDA VE INS.TAAH.SAN.TIC.LTD.STI."/>
        <s v="ADANA PAZARLAMA DAGITIM VE TIC. LTD STI."/>
        <s v="ÖZBİLGİÇLER GIDA İHT.MAD.MEŞR.SAN.VE TİC.LTD.ŞTİ."/>
        <s v="HANEDAR OTO LASTİK SANAYİ İNŞAAT EMLAK TURİZM VE TİCARET LİMİTED ŞİRKETİ"/>
        <s v="CAN GIDA TİC. LTD. ŞTİ."/>
        <s v="AYSANLAR GIDA OTOMOTİV TOPRAK MAHSULLERİ SANAYİ VE TİCARET LİMİTED ŞİRKETİ"/>
        <s v="Hizmet MARKET -ŞÜKRÜ CAN BAKIR"/>
        <s v="Karacasulu Gıda ve Tarım Ürünleri San. ve Tic. Ltd. Şti."/>
        <s v="SALİHOĞLU GIDA MES.NAK.INS.PAZ.SAN.VTIC.LTD.STI."/>
        <s v="GÖKALP TEKEL ÜRÜNLERİ GIDA TUR.İNŞ.NAK.SAN.VE TİC.LTD.STİ."/>
        <s v="DATA GIDA OTO. TUR. İNŞ. SAN. VE TİC. LTD. ŞTİ."/>
        <s v="BEFA PAZARLAMA TİCARET LTD ŞTİ"/>
        <s v="MYSET OTOMOTİV DIŞ TİCARET LİMİTED ŞİRKETİ"/>
        <s v="TURUNCU HOLDİNG ANONİM ŞİRKETİ"/>
        <s v="TURK FİLO ARAÇ Kiralama ANONİM ŞİRKETİ"/>
        <s v="TR TURUNCU SİGORTA ACENTELİĞİ ANONİM ŞİRKETİ"/>
        <s v="AC PAZARLAMA DAĞITIM VE GIDA SAN. TİC. LTD. ŞTİ"/>
        <s v="KIRKGÖZE İLETİŞİM VE TÜKETİM MADDELERİ SANAYİİ VE TİCARET LİMİTED ŞİRKETİ"/>
        <s v="ÖZTÜRKLER GIDA MAD. TİC. VE PAZ. LTD. ŞTİ. "/>
        <s v="TAŞLICALI SATIŞ DAĞITIM PAZARLAMA TİC SAN LTD ŞTİ"/>
        <s v="TRABZON ÇAY SAN. VE TİC.LTD.ŞTİ."/>
        <s v="ALKAN İÇECEK İNŞAAT PAZARLAMA LİMİTED ŞİRKETİ"/>
        <s v="ÖZDİMDİK İNŞAAT TAAHHÜT GIDA VE TÜKETİM MADDELERİ TUR.NAK. TAVUKÇULUK İHT.İHR.TİC VE SAN.LTD.STİ"/>
        <s v="ERCAN MEŞRUBAT GIDA SAN. VE TİC.LTD.STİ."/>
        <s v="ÇNR GRUP OTOMOTİV MİMARLIK İNŞAAT SANAYİ VE TİCARET LİMİTED ŞİRKETİ "/>
        <s v="NURHAN BAŞOĞLU BOLU MENGEN TAVUKÇULUK"/>
        <s v="NİSA PAZARLAMA SAN. VE TİC.LTD.ŞTİ."/>
        <s v="ARTER GRUP GIDA EMLAK İNŞAAT TURİZM OTOMOTİV SAN.TİC.LTD.ŞTİ"/>
        <s v="KAAN GRUP TEMİZLİK ÜRÜNLERİ GIDA PAZARLAMA SANAYİ VE TİCARET LTD. STİ."/>
        <s v="S MOTOR TİCARET VE SANAYİ LİMİTED ŞİRKETİ"/>
        <s v="GİMBAK GIDA ve İHTİYAÇ MADDELERİ SAN. Ve TİC. LTD.ŞTİ."/>
        <s v="ARYA ŞEKERLEME GIDA SANAYİ TİCARET  LTD. ŞTİ."/>
        <s v="ÖZGÜR GIDA MEŞRUBAT TEKSTİL VE İNŞ. SAN. TİC. LTD. ŞTİ."/>
        <s v="MEGA YAPI MARKET JENERATÖR VE HIRDAVAT CUMA YILMAZ"/>
        <s v="BBS GIDA ÜR. TEKEL MAD. TEKSTİL SAN VE TİC. LTD.ŞTİ."/>
        <s v="MAHİR ÇINAR GIDA VE İHTİYAÇ MAD.SAN.TİC.LTD.ŞTİ."/>
        <s v="CEYLAN GRUP GIDA ŞEKERLEME TEM SAN VE TİC. LTD.ŞTİ."/>
        <s v="Endi Gıda Pazarlama Sanayi ve Ticaret A.Ş."/>
        <s v="AC GLOBAL SU VE HIZLI TÜKETİM ÜRÜNLERİ DAĞITIM PAZARLAMA SAN VE TİC.LTD.ŞTİ"/>
        <s v="BİRLEŞİK DAĞITIM PAZARLAMA TURİZM TİCARET VE SAN.ANONİM ŞİRK"/>
        <s v="TAÇ TOPTAN GIDA TICARET VE SANAYI LIMITED SIRKETI"/>
        <s v="ÖZKAN TİCARET ERHAN ÖZKAN"/>
        <s v="ERSA YOL İNŞAAT SAN. VE TİC. LTD. ŞTİ."/>
        <s v="KP GIDA DAĞITIM PAZARLAMA OTOMOBİL İTHALAT İHRACAT SANAYİ VE TİCARET LİMİTED ŞİRKETİ"/>
        <s v="ÇAĞAN KOZMETİK TEMİZLİK ELEKTRİK GIDA SANAYİ VE TİCARET LTD. ŞTİ."/>
        <s v="SEÇEM İÇECEK TÜTÜN İNŞAAT PETROL GIDA İTHALAT İHRACAT SANAYİ TİCARET LTD. ŞTİ."/>
        <s v="ANKA SATIŞ DAĞITIM SANAYİ VE TİCARET LTD.STİ."/>
        <s v="MENGİ DAYANIKLI TÜK.GID İNŞ.TİC LTD ŞTİ.-İLHAMİ MENGİ"/>
        <s v="ÜÇKÖK GIDA İMALAT OTOMOTİV TİC. SAN. LTD. ŞTİ."/>
        <s v="RAUF BAYDAK"/>
        <s v="İNCELİ ET ÜRÜNLERİ GIDA PAZARLAMA TİC. LTD. ŞTİ."/>
        <s v="CEM SAYGIVAR SAYGIVAR İÇECEK"/>
        <s v="BAŞ 48 GIDA LTD.STİ."/>
        <s v="KT GIDA PAZARLAMA -KURTUL TAŞ"/>
        <s v="GÜLTEN DEMİRCAN"/>
        <s v="BALAKAN DAĞITIM GIDA PETROL TAŞIMACILIK İÇECEK TURİZM SAN TİC.AŞ."/>
        <s v="doruk gıda yusuf soybilgin"/>
        <s v="TRAKYA MEŞRUBAT DAĞITIM TİCARET LTD.STİ."/>
        <s v="ER-FA BİLGİ İŞLEM TEK. VE EMN.SİSTEMLERİ İMALAT-İTH.İHR.TİC.LTD.STİ."/>
        <s v="DURMAZ GIDA DAĞITIM VE PAZARLAMA-İBRAHİM DURMAZ"/>
        <s v="VOLKAN MEŞRUBAT &amp; GIDA -VOLKAN KARABOĞA"/>
        <s v="ZÜLKÜF KAR"/>
        <s v="KERİM ÖZEL"/>
        <s v="ZYS GIDA GROUP SAN. VE TİC. ŞTİ."/>
        <s v="matriks bilgisayar sistemleri ltd.şti"/>
        <s v="ÖZERDEM GIDA İTH. MAD. TİC. SAN. LTD. ŞTİ."/>
        <s v="TT GIDA PAZARLAMA TURGUT YAVUZ"/>
        <s v="MELTEM YÜRÜRDURMAZ"/>
        <s v="BULAN TİCARET - TUNÇ BULAN"/>
        <s v="MELİH BACAK OTOMOTİV SANAYİ VE TİCARET LTD. ŞTİ."/>
        <s v="OGER İÇECEK "/>
        <s v="BERK ÜÇGÜL-YUUMİ BABY"/>
        <s v="OVAM PİLİÇ PAZ. HAY. İNŞ. TAR. NAKL. TEKS. TAH. TİC. SAN. LTD. ŞTİ."/>
        <s v="Önerler Gıda ve İht.Mad.Dağ.Paz.Tic.Ltd.Şti"/>
        <s v="EROL GEVREK"/>
        <s v="SERHAN GIDA-MURAT BARDAKKAYA"/>
        <s v="GÜLER SÜTOĞLU"/>
        <s v="EKINCI GIDA PAZARLAMA SANAYI VE TICARET LTD.STI."/>
        <s v="Erdem Demir Gıda İçecek Nak. SAn Tic LTd Şti"/>
        <s v="Tezil Ticaret- Aykut Tezil"/>
        <s v="HEPİYİ MAMA YEM TİCARET VE SANAYİ ANONİM ŞİRKETİ"/>
        <s v="Brs Gıda- Emu Baharat"/>
        <s v="PAK-SEL TAŞIMACILIK YAKIT GIDA TEMİZLİK İNŞAAT SANAYİ VE TİCARET LİMİTED ŞİRKETİ"/>
        <s v="ŞAN-KAR GIDA İNŞ.NAK.OTO.YAZ.SAN VE TİC.LTD.STİ."/>
        <s v="FİRDEVS YÖNET"/>
        <s v="MAPİTA PİLİÇ SANAYİ TİCARET LİMİTED ŞİRKETİ"/>
        <s v="KARSEN SU DAGITIM SATIS VE PAZARLAMA SANAYI TICARET LIMITED SIRKETI"/>
        <s v="DOĞU GRUP GIDA INS.SAN.VE TIC.LTD.STI."/>
        <s v="AQUAMIX TEDARIK TEMIZLIK GIDA ÜRÜNLERI LIMITED SIRKETI"/>
        <s v="SERKAN ISSI"/>
        <s v="KAPTANOĞLU MOTORLU.ARAÇLAR SAN.VE TİC.LTD.ŞTİ."/>
        <s v="ÖZOCAKLAR GIDA"/>
        <s v="JOY İÇECEK DAĞITIM TURİZM TİCARET İTHALAT VE İHRACAT LİMİTED ŞİRKETİ"/>
        <s v="BEREKET PAZARLAMA İÇ VE DIŞ TİC. LTD. ŞTİ"/>
        <s v="Erza Gıda A.ş"/>
        <s v="SADE DAĞITIM VE TİCARET SAN.LTD.STİ."/>
        <s v="DİLEK GIDA ÜRETİM PAZARLAMA HİZ. TİC. A.Ş."/>
        <s v="KAYSERİ MEŞRUBAT GIDA TÜKETİM PAZARLAMA İNŞAAT İTHALAT İHRACAT SANAYİ TİCARET LİMİTED ŞİRKETİ"/>
        <s v="BaBayiğit Gıda Temizlik Ürünleri Pazarlama Turizm San tic. Ltd.Şti."/>
        <s v="GÖKÇE MEŞRUBAT TİC. A.Ş."/>
        <s v="SİPAR PAZARLAMA TURİZM İNŞ. VE TİC. LTD. ŞTİ"/>
        <s v="ALPER YÜKSEL"/>
        <s v="EFOR İÇECEK GIDA TİCARET LİMİTED ŞİRKETİ"/>
        <s v="ACET TİCARET GIDA PAZARLAMA"/>
        <s v="ÖZHAS GÜN GIDA ÜRT. İNŞ. MALZ. TUR. TEKS. TAR. HAY. İTH. İHR. SAN VE TİC.LTD. ŞTİ."/>
        <s v="CANAN GALYONCU"/>
        <s v="PATİGO HAYVANCILIK GIDA REKLAM SANAYİ VE TİCARET LİMİTED ŞİRKETİ"/>
        <s v="MYZ ATILIM TOPTAN GIDA PAZARLAMA TİC.LTD.STİ."/>
        <s v="BEYHAN BAŞOĞLU"/>
        <s v="ACARLAR TİC.SAN. VE TURİZM A.Ş."/>
        <s v="Sütaş Süt Ürünleri A.Ş."/>
        <s v="Çelikoğlu Gıda Sanayi Tic. ve Paz. İnş.Ta. Taş. Ltd. Şti."/>
        <s v="ZİRVEGÜL GIDA SANAYİ TİC. LTD. ŞTİ."/>
        <s v="ZİRVE UNİ TRAK GIDA TEMZ.ÜR.DAĞ.PAZ.SAN.VE TİC.LTD. ŞTİ."/>
        <s v="ZİRVEGÜL GRUP GIDA TEMİZLİK ÜRÜNLERİ DAĞ. VE PAZ. TİC. LTD. ŞTİ."/>
        <s v="MALATYA 2 İÇECEK DÜNYASI GIDA İNŞAAT OTOMOTİV TURİZM SANAYİ VE TİCARET LİMİTED ŞİRKETİ"/>
        <s v="TABEY IÇECEK GIDA SANAYI VE TICARET LIMITED SIRKETI"/>
        <s v="KAYACAN NAKLİYAT SAN. VE TİC. LTD.ŞTİ."/>
        <s v="ESYÜN TEKSTİL TUHAFİYE NAZİF AYAZ"/>
        <s v="POLARİS YAZILIM ÇÖZÜMLERİ VE DANIŞMANLIK HİZMETLERİ LTD.ŞTİ."/>
        <s v="IŞITIR GIDA PAZARLAMA SANAYİ VE TİCARET LİMİTED ŞİRKETİ"/>
        <s v="SAHAN GIDA DAĞITIM SAN. VE TİC. LTD. ŞTİ."/>
        <s v="MOVILO ULASIM TEKNOLOJI ANONIM SIRKETI"/>
        <s v="Anadolu Motor Üretim ve Paz. A.Ş."/>
        <s v="Panasonic Electric Works Elektrik Sanayi Ve Ticaret Anonim Şirketi"/>
        <s v="KOTİLOGULLARI TEMEL TÜKETİM MAD.PAZ.İÇ Ve DIŞ TİC.LTD.ŞTİ"/>
        <s v="GIDA PORT IÇECEK SANAYI TICARET LIMITED SIRKETI"/>
        <s v="OCAKLAR ET VE SÜT ÜRÜNLERİ PAZARLAMA LTD.ŞTİ"/>
        <s v="EDM BİLİŞİM SİSTEMLERİ VE DANIŞMANLIK HİZMETLERİ A.Ş."/>
      </sharedItems>
    </cacheField>
    <cacheField name="Ürün Kodu" numFmtId="0">
      <sharedItems containsBlank="1" containsMixedTypes="1" containsNumber="1" containsInteger="1" minValue="99000" maxValue="500001210"/>
    </cacheField>
    <cacheField name="Ürün Adı" numFmtId="0">
      <sharedItems/>
    </cacheField>
    <cacheField name="Proje (PYP)" numFmtId="0">
      <sharedItems/>
    </cacheField>
    <cacheField name="Satış Yöneticisi" numFmtId="0">
      <sharedItems/>
    </cacheField>
    <cacheField name="Ana Ürün" numFmtId="0">
      <sharedItems count="10">
        <s v="Enroute"/>
        <s v="Hosting"/>
        <s v="E-Dönüşüm"/>
        <s v="Outsource - Hizmet"/>
        <s v="Quest"/>
        <s v="Stokbar"/>
        <s v="Calldesk"/>
        <s v="Varuna"/>
        <s v="DONANIM"/>
        <s v="BFG"/>
      </sharedItems>
    </cacheField>
    <cacheField name="Alt Ürün" numFmtId="0">
      <sharedItems containsBlank="1"/>
    </cacheField>
    <cacheField name="Birim Fiyat" numFmtId="0">
      <sharedItems containsString="0" containsBlank="1" containsNumber="1" minValue="0.83699999999999997" maxValue="914055.24"/>
    </cacheField>
    <cacheField name="Para Birimi_x000a_ (Brim Fiyat)" numFmtId="0">
      <sharedItems containsBlank="1"/>
    </cacheField>
    <cacheField name="Miktar" numFmtId="0">
      <sharedItems containsString="0" containsBlank="1" containsNumber="1" minValue="-10000" maxValue="7000000"/>
    </cacheField>
    <cacheField name="Birim/Adet" numFmtId="0">
      <sharedItems containsBlank="1"/>
    </cacheField>
    <cacheField name="Brüt Satış Toplamı" numFmtId="3">
      <sharedItems containsString="0" containsBlank="1" containsNumber="1" minValue="0" maxValue="5400000"/>
    </cacheField>
    <cacheField name="Para Birimi_x000a_ (Brüt Satış)" numFmtId="3">
      <sharedItems containsBlank="1"/>
    </cacheField>
    <cacheField name="İskonto" numFmtId="3">
      <sharedItems containsBlank="1" containsMixedTypes="1" containsNumber="1" minValue="-5.0000000000000001E-3" maxValue="2115927"/>
    </cacheField>
    <cacheField name="Para Birimi_x000a_ (İskonto)" numFmtId="3">
      <sharedItems containsBlank="1"/>
    </cacheField>
    <cacheField name="Net Satış" numFmtId="3">
      <sharedItems containsSemiMixedTypes="0" containsString="0" containsNumber="1" minValue="-4027163" maxValue="5426939.8043999998"/>
    </cacheField>
    <cacheField name="Para Birimi_x000a_ (Net Satış)" numFmtId="4">
      <sharedItems containsBlank="1"/>
    </cacheField>
    <cacheField name="Brüt Kar" numFmtId="0">
      <sharedItems containsString="0" containsBlank="1" containsNumber="1" minValue="-354214600" maxValue="2006404.7"/>
    </cacheField>
    <cacheField name="Para Birimi (Brüt Kar)" numFmtId="0">
      <sharedItems containsBlank="1" containsMixedTypes="1" containsNumber="1" minValue="0" maxValue="4027163"/>
    </cacheField>
    <cacheField name="SAP Ref.#" numFmtId="0">
      <sharedItems containsBlank="1" containsMixedTypes="1" containsNumber="1" minValue="1.4" maxValue="1000004365"/>
    </cacheField>
    <cacheField name="Yeni / Mevcut Müşteri/ İş Ort." numFmtId="0">
      <sharedItems containsBlank="1"/>
    </cacheField>
    <cacheField name="Yenileme / Yeni Satış" numFmtId="0">
      <sharedItems/>
    </cacheField>
    <cacheField name="Yazılım / _x000a_Hizmet / _x000a_Kontor" numFmtId="0">
      <sharedItems/>
    </cacheField>
    <cacheField name="Ürün / Hizmet" numFmtId="0">
      <sharedItems/>
    </cacheField>
    <cacheField name="Müşteri Segmenti" numFmtId="0">
      <sharedItems containsBlank="1"/>
    </cacheField>
    <cacheField name="Ürün Yöneticisi" numFmtId="0">
      <sharedItems containsBlank="1"/>
    </cacheField>
    <cacheField name="Proje Yöneticisi" numFmtId="0">
      <sharedItems containsBlank="1"/>
    </cacheField>
    <cacheField name="Yurt İçi / _x000a_Yurt Dışı" numFmtId="0">
      <sharedItems containsBlank="1"/>
    </cacheField>
    <cacheField name="Sektör" numFmtId="0">
      <sharedItems containsBlank="1"/>
    </cacheField>
    <cacheField name="Bayi / _x000a_Merkez" numFmtId="0">
      <sharedItems containsBlank="1"/>
    </cacheField>
    <cacheField name="2026 SY" numFmtId="0">
      <sharedItems containsBlank="1" count="12">
        <m/>
        <s v="Begüm Hayta"/>
        <s v="Semih Balaban"/>
        <s v="Mülkiye Akdoğaner Arıcı"/>
        <s v="Özlem Özge Güler"/>
        <s v="Eren Oral"/>
        <s v="Nigar Uygun"/>
        <s v="İş Ortaklıkları"/>
        <s v="Mülkiye Akdoğaner"/>
        <s v="Grup İçi"/>
        <s v="Grup içi"/>
        <s v="E-Dönüşü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vent Burak Demiralp" refreshedDate="46131.718423148151" createdVersion="8" refreshedVersion="8" minRefreshableVersion="3" recordCount="135" xr:uid="{84B27B9A-D8CA-CD43-A5E0-6249096210D9}">
  <cacheSource type="worksheet">
    <worksheetSource ref="A1:R136" sheet="Account Dağılımı 2026" r:id="rId2"/>
  </cacheSource>
  <cacheFields count="18">
    <cacheField name="2025-4 Satış Yöneticisi" numFmtId="0">
      <sharedItems/>
    </cacheField>
    <cacheField name="2026-1 Satış Yöneticisi" numFmtId="0">
      <sharedItems count="14">
        <s v="Begüm Hayta"/>
        <s v="Melike Akgünlü"/>
        <s v="İptal"/>
        <s v="Semih Balaban"/>
        <s v="Mülkiye Akdoğaner"/>
        <s v="Özge Güler"/>
        <s v="E-Dönüşüm"/>
        <s v="Iş Ortaklıkları"/>
        <s v="BFG"/>
        <s v="Dilara Bogu"/>
        <s v="Özlem Özge Güler" u="1"/>
        <s v="GRUP FİRMALARI" u="1"/>
        <s v="Nigar Uygun" u="1"/>
        <s v="Eren Oral" u="1"/>
      </sharedItems>
    </cacheField>
    <cacheField name="Proje" numFmtId="0">
      <sharedItems/>
    </cacheField>
    <cacheField name="2025 Yeni Satış TL" numFmtId="165">
      <sharedItems containsString="0" containsBlank="1" containsNumber="1" minValue="0" maxValue="25326464"/>
    </cacheField>
    <cacheField name="2025 Yenileme TL" numFmtId="165">
      <sharedItems containsString="0" containsBlank="1" containsNumber="1" minValue="0" maxValue="15784756.085767999"/>
    </cacheField>
    <cacheField name="2026 HEDEF Yeni Satış " numFmtId="165">
      <sharedItems containsString="0" containsBlank="1" containsNumber="1" minValue="0" maxValue="75979392"/>
    </cacheField>
    <cacheField name="2026 HEDEF Yenileme TL" numFmtId="165">
      <sharedItems containsString="0" containsBlank="1" containsNumber="1" minValue="0" maxValue="24624219.493798081"/>
    </cacheField>
    <cacheField name="Durum" numFmtId="0">
      <sharedItems/>
    </cacheField>
    <cacheField name="Sınıf" numFmtId="0">
      <sharedItems containsBlank="1" containsMixedTypes="1" containsNumber="1" containsInteger="1" minValue="1" maxValue="4"/>
    </cacheField>
    <cacheField name="Sınıf-2" numFmtId="0">
      <sharedItems containsBlank="1" containsMixedTypes="1" containsNumber="1" containsInteger="1" minValue="1" maxValue="4"/>
    </cacheField>
    <cacheField name="Müşteri" numFmtId="0">
      <sharedItems count="125">
        <s v="ABC Deterjan"/>
        <s v="ALPEDO"/>
        <s v="ALTERA"/>
        <s v="ALTIPARMAK-BALPARMAK"/>
        <s v="ANA GIDA- BUNGE GIDA"/>
        <s v="ANADOLU MOTOR - STOKBAR"/>
        <s v="ARÇELİK"/>
        <s v="ARMA İLAÇ"/>
        <s v="AROMA"/>
        <s v="AYDEM"/>
        <s v="AZTEK"/>
        <s v="BELGİN - BELKIM"/>
        <s v="BEST ELEKTROMEKANIK"/>
        <s v="BEYAZ KAĞIT"/>
        <s v="BILGINOGLU"/>
        <s v="BMC"/>
        <s v="BRISA BRIDGESTONE"/>
        <s v="BROWN FORMAN"/>
        <s v="BURDA BEBEK"/>
        <s v="ÇAYKUR"/>
        <s v="DANONE"/>
        <s v="DARDANEL"/>
        <s v="DERKO KOZMETIK"/>
        <s v="DEVA İÇECEK"/>
        <s v="DOGADAN"/>
        <s v="DOGANAY"/>
        <s v="DOĞAN TREND"/>
        <s v="DOGUS CAY"/>
        <s v="DÖHLER GIDA"/>
        <s v="DÜZEY TÜKETIM"/>
        <s v="ECZACIBAŞI"/>
        <s v="EFES AZERBAYCAN"/>
        <s v="EFES BELARUS"/>
        <s v="EFES GÜRCISTAN"/>
        <s v="EFES KAZAKISTAN"/>
        <s v="EFES KIBRIS"/>
        <s v="EFES MOLDOVA"/>
        <s v="EFES TÜRKIYE"/>
        <s v="EGETAV"/>
        <s v="EMINOGLU MERMERCILIK"/>
        <s v="ENERJISA"/>
        <s v="ERUSLU"/>
        <s v="EVYAP"/>
        <s v="DERMOKİL"/>
        <s v="FELDA IFFCO"/>
        <s v="GLAXOSMITKLINE ILAÇ"/>
        <s v="HABAŞ"/>
        <s v="HARIBO"/>
        <s v="HAYAT KIMYA"/>
        <s v="HENKEL"/>
        <s v="HOBBY-RA PAZARLAMA"/>
        <s v="IGA"/>
        <s v="IMPERIAL TOBACCO"/>
        <s v="JTI"/>
        <s v="JTI IRAN"/>
        <s v="JTI SUDAN"/>
        <s v="K-RIDES"/>
        <s v="KEBIR SÜT"/>
        <s v="KENT GIDA"/>
        <s v="KOROPLAST"/>
        <s v="KÜRESEL TEDARIK"/>
        <s v="LA LORRAINE"/>
        <s v="LEVENT KIMYA"/>
        <s v="LILA KAGIT"/>
        <s v="LOREAL"/>
        <s v="MARNAK LOJISTIK"/>
        <s v="MARS GIDA"/>
        <s v="MARSHALL"/>
        <s v="MENDERES HOME"/>
        <s v="MEY IÇKI"/>
        <s v="MURR ELEKTRONIK"/>
        <s v="NESTLE"/>
        <s v="NETLOG KÜRESEL PAZ."/>
        <s v="NEWAL"/>
        <s v="NIVEA BEIERSDORF"/>
        <s v="NUROL MAKINA"/>
        <s v="OFÇAY - EFOR ÇAY"/>
        <s v="OMAK"/>
        <s v="OMEGA PHARMA (PERRIGO)"/>
        <s v="OPET"/>
        <s v="OYAK GRUP - SATEM"/>
        <s v="ÖZGÖRKEY"/>
        <s v="PANASONIC"/>
        <s v="ŞİŞECAM"/>
        <s v="PERNOD RICARD"/>
        <s v="PETLAS"/>
        <s v="PİLOTCAR"/>
        <s v="RECKITT BENCKISER"/>
        <s v="REDBULL"/>
        <s v="ROYAL CANIN"/>
        <s v="SARPER IÇECEK - BEYLERBEYİ"/>
        <s v="SBR TARIM ÜRÜNLERI"/>
        <s v="SCHWARZKOPF HENKEL"/>
        <s v="SEBA ASC"/>
        <s v="SEN PILIC"/>
        <s v="SHELL"/>
        <s v="SOLGAR"/>
        <s v="SÖLEN"/>
        <s v="SÖLEN IRAK"/>
        <s v="SUZUKI"/>
        <s v="SÜTAS"/>
        <s v="TADIM"/>
        <s v="TADIM EXPORT"/>
        <s v="TAVUK DÜNYASI"/>
        <s v="TCHIBO"/>
        <s v="TOGG"/>
        <s v="TOLON"/>
        <s v="TORKU KONYA SEKER"/>
        <s v="TPI COMPOSITE"/>
        <s v="TURKISH DO &amp; CO"/>
        <s v="TURKTAB"/>
        <s v="TURKUAZ - KAZAKISTAN"/>
        <s v="ULUDAG IÇECEK"/>
        <s v="UNILEVER"/>
        <s v="ÜLKER"/>
        <s v="VILEDA"/>
        <s v="VODAFONE"/>
        <s v="WAGNER KABLO"/>
        <s v="WEIUTNAER"/>
        <s v="MAGNUM AŞ"/>
        <s v="E-Dönüşüm"/>
        <s v="Iş Ortaklıkları"/>
        <s v="BFG"/>
        <s v="Grup Şirketleri"/>
        <s v="GRUP FİRMALARI" u="1"/>
      </sharedItems>
    </cacheField>
    <cacheField name="Ana Sektör" numFmtId="0">
      <sharedItems count="22">
        <s v="FMCG"/>
        <s v="Sağlık"/>
        <s v="Otomotiv"/>
        <s v="Beyaz Eşya"/>
        <s v="Enerji"/>
        <s v="Üretim"/>
        <s v="İnşaat"/>
        <s v="Havacılık"/>
        <s v="Madencilik"/>
        <s v="Boya"/>
        <s v="Tekstil"/>
        <s v="Elektrik Elektronik"/>
        <s v="Hizmet"/>
        <s v="Petrol"/>
        <s v="Cam Sanayi"/>
        <s v="Endüstriyel Ürünler"/>
        <s v="Telekom"/>
        <s v="E-Dönüşüm"/>
        <s v="Iş Ortaklıkları"/>
        <s v="BFG"/>
        <s v="Grup Şirketleri"/>
        <s v="GRUP FİRMALARI" u="1"/>
      </sharedItems>
    </cacheField>
    <cacheField name="Alt Sektör" numFmtId="0">
      <sharedItems count="49">
        <s v="Temizlik Deterjan"/>
        <s v="Gıda"/>
        <s v="Sağlık Ekipmanları"/>
        <s v="Otomotiv Yan Sanayi"/>
        <s v="Beyaz Eşya"/>
        <s v="Pet Mama"/>
        <s v="İçecek"/>
        <s v="Enerji"/>
        <s v="Tıbbi Malzeme"/>
        <s v="Trafo Üretimi"/>
        <s v="Yağ Üretimi"/>
        <s v="Otomotiv - Savunma Sanayi"/>
        <s v="Lastik Üretimi"/>
        <s v="Alkol"/>
        <s v="Kozmetik"/>
        <s v="Çay"/>
        <s v="Distribütör"/>
        <s v="Meyve Konsantre"/>
        <s v="Dağıtıcı"/>
        <s v="Seramik ve Armatür"/>
        <s v="Yer Hizmetleri"/>
        <s v="Mermer"/>
        <s v="Palm Yağı"/>
        <s v="Ağır Vasıta"/>
        <s v="Atıştırmalık"/>
        <s v="Tütün"/>
        <s v="Motorsiklet"/>
        <s v="Boya"/>
        <s v="Ev Tekstili"/>
        <s v="Üretici"/>
        <s v="Küçük Ev Aletleri"/>
        <s v="Bakım Hizmetleri"/>
        <s v="Petrol Ürünleri"/>
        <s v="Elektrik Elektronik"/>
        <s v="Eektrikli Araç"/>
        <s v="Meyve"/>
        <s v="İlaç Üreticisi"/>
        <s v="Kahve"/>
        <s v="Elektrikli Otomotiv"/>
        <s v="Çamaşır Makinası Üreticisi"/>
        <s v="Gıda Üretimi"/>
        <s v="Rüzgar Trübini Üretimi"/>
        <s v="Hazır Yemek"/>
        <s v="Operatör"/>
        <s v="E-Dönüşüm"/>
        <s v="Iş Ortaklıkları"/>
        <s v="BFG"/>
        <s v="Grup Şirketleri"/>
        <s v="GRUP FİRMALARI" u="1"/>
      </sharedItems>
    </cacheField>
    <cacheField name="BFH Fırsatına göre" numFmtId="0">
      <sharedItems containsBlank="1"/>
    </cacheField>
    <cacheField name="Komplex İhtiyaçları Var mı?" numFmtId="0">
      <sharedItems containsBlank="1"/>
    </cacheField>
    <cacheField name="Şehir" numFmtId="0">
      <sharedItems containsBlank="1"/>
    </cacheField>
    <cacheField name="Ürünler" numFmtId="0">
      <sharedItems containsBlank="1"/>
    </cacheField>
    <cacheField name="Risk Var mı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s v="Begüm Hayta"/>
    <x v="0"/>
    <s v="ABC Deterjan"/>
    <n v="2658550"/>
    <m/>
    <n v="4147338"/>
    <n v="0"/>
    <s v="Yeni"/>
    <n v="3"/>
    <n v="3"/>
    <x v="0"/>
    <x v="0"/>
    <x v="0"/>
    <s v="Var"/>
    <s v="Hayır"/>
    <s v="İstanbul"/>
    <s v="Enroute"/>
    <s v="Hayır"/>
  </r>
  <r>
    <s v="Semih Balaban"/>
    <x v="0"/>
    <s v="ALPEDO"/>
    <n v="5150520"/>
    <n v="1116214.8900000001"/>
    <n v="8034811.2000000002"/>
    <n v="1741295.2284000004"/>
    <s v="Aktif"/>
    <n v="3"/>
    <n v="3"/>
    <x v="1"/>
    <x v="0"/>
    <x v="1"/>
    <s v="Var"/>
    <s v="Hayır"/>
    <s v="Kahramanmaraş"/>
    <s v="Enroute"/>
    <s v="Hayır"/>
  </r>
  <r>
    <s v="Nigar Uygun"/>
    <x v="1"/>
    <s v="ALTERA"/>
    <n v="51250"/>
    <n v="190000"/>
    <n v="79950"/>
    <n v="296400"/>
    <s v="Aktif"/>
    <n v="4"/>
    <n v="4"/>
    <x v="2"/>
    <x v="1"/>
    <x v="2"/>
    <s v="Yok"/>
    <s v="Hayır"/>
    <s v="İstanbul"/>
    <s v="Stokbar"/>
    <s v="Hayır"/>
  </r>
  <r>
    <s v="Nigar Uygun"/>
    <x v="0"/>
    <s v="ALTIPARMAK-BALPARMAK"/>
    <n v="0"/>
    <n v="1769359.6800000002"/>
    <n v="0"/>
    <n v="2760201.1008000001"/>
    <s v="Aktif"/>
    <n v="3"/>
    <n v="3"/>
    <x v="3"/>
    <x v="0"/>
    <x v="1"/>
    <s v="Var"/>
    <s v="Hayır"/>
    <s v="İstanbul"/>
    <s v="Enroute"/>
    <s v="Hayır"/>
  </r>
  <r>
    <s v="Semih Balaban"/>
    <x v="2"/>
    <s v="ANA GIDA- BUNGE GIDA"/>
    <n v="0"/>
    <n v="0"/>
    <n v="0"/>
    <n v="0"/>
    <s v="Sonlandı"/>
    <n v="3"/>
    <n v="3"/>
    <x v="4"/>
    <x v="0"/>
    <x v="1"/>
    <s v="Yok"/>
    <s v="Hayır"/>
    <s v="İstanbul"/>
    <s v="Enroute, Quest"/>
    <s v="Sonlandı"/>
  </r>
  <r>
    <s v="Nigar Uygun"/>
    <x v="3"/>
    <s v="ANADOLU MOTOR - STOKBAR"/>
    <n v="0"/>
    <n v="324120.69"/>
    <n v="0"/>
    <n v="505628.27640000003"/>
    <s v="Aktif"/>
    <n v="2"/>
    <n v="2"/>
    <x v="5"/>
    <x v="2"/>
    <x v="3"/>
    <s v="Yok"/>
    <s v="Hayır"/>
    <s v="İstanbul"/>
    <s v="Stokbar"/>
    <s v="Hayır"/>
  </r>
  <r>
    <s v="Mülkiye Akdoğaner"/>
    <x v="4"/>
    <s v="ARÇELİK"/>
    <n v="2318038.8079999997"/>
    <n v="0"/>
    <n v="3616140.5404799995"/>
    <n v="0"/>
    <s v="Yeni"/>
    <n v="1"/>
    <n v="1"/>
    <x v="6"/>
    <x v="3"/>
    <x v="4"/>
    <s v="Yok"/>
    <s v="Evet"/>
    <s v="Yurtdışı"/>
    <s v="Quest"/>
    <s v="Hayır"/>
  </r>
  <r>
    <s v="Semih Balaban"/>
    <x v="5"/>
    <s v="ARMA İLAÇ"/>
    <n v="1059650"/>
    <n v="1210754.99"/>
    <n v="1653054"/>
    <n v="1888777.7844"/>
    <s v="Aktif"/>
    <n v="3"/>
    <n v="3"/>
    <x v="7"/>
    <x v="0"/>
    <x v="5"/>
    <s v="Var"/>
    <s v="Hayır"/>
    <s v="İstanbul"/>
    <s v="Enroute"/>
    <s v="Evet"/>
  </r>
  <r>
    <s v="Semih Balaban"/>
    <x v="2"/>
    <s v="AROMA"/>
    <n v="0"/>
    <n v="0"/>
    <n v="0"/>
    <n v="0"/>
    <s v="Hold"/>
    <n v="3"/>
    <n v="3"/>
    <x v="8"/>
    <x v="0"/>
    <x v="6"/>
    <s v="Yok"/>
    <s v="Hayır"/>
    <s v="Bursa"/>
    <s v="Enroute"/>
    <s v="Sonlandı"/>
  </r>
  <r>
    <s v="Mülkiye Akdoğaner"/>
    <x v="1"/>
    <s v="AYDEM"/>
    <n v="0"/>
    <n v="329520.06"/>
    <n v="0"/>
    <n v="514051.29360000003"/>
    <s v="Aktif"/>
    <n v="3"/>
    <n v="3"/>
    <x v="9"/>
    <x v="4"/>
    <x v="7"/>
    <s v="Yok"/>
    <s v="Hayır"/>
    <s v="İzmir"/>
    <s v="Quest"/>
    <s v="Hayır"/>
  </r>
  <r>
    <s v="Nigar Uygun"/>
    <x v="2"/>
    <s v="AZTEK"/>
    <n v="0"/>
    <n v="0"/>
    <n v="0"/>
    <n v="0"/>
    <s v="Sonlandı"/>
    <n v="4"/>
    <n v="4"/>
    <x v="10"/>
    <x v="1"/>
    <x v="8"/>
    <s v="Yok"/>
    <s v="Hayır"/>
    <s v="İstanbul"/>
    <s v="Stokbar"/>
    <s v="Sonlandı"/>
  </r>
  <r>
    <s v="Begüm Hayta"/>
    <x v="3"/>
    <s v="BELGİN - BELKIM"/>
    <n v="675855"/>
    <n v="0"/>
    <n v="1054333.8"/>
    <n v="0"/>
    <s v="Aktif"/>
    <n v="2"/>
    <n v="2"/>
    <x v="11"/>
    <x v="0"/>
    <x v="0"/>
    <s v="Var"/>
    <s v="Hayır"/>
    <s v="İstanbul"/>
    <s v="Enroute"/>
    <s v="Hayır"/>
  </r>
  <r>
    <s v="Semih Balaban"/>
    <x v="1"/>
    <s v="BEST ELEKTROMEKANIK"/>
    <n v="343000"/>
    <n v="1099992.7999999996"/>
    <n v="535080"/>
    <n v="1715988.7679999995"/>
    <s v="Aktif"/>
    <n v="3"/>
    <n v="3"/>
    <x v="12"/>
    <x v="4"/>
    <x v="9"/>
    <s v="Var"/>
    <s v="Hayır"/>
    <s v="Balıkesir"/>
    <s v="Stokbar"/>
    <s v="Hayır"/>
  </r>
  <r>
    <s v="Mülkiye Akdoğaner"/>
    <x v="4"/>
    <s v="BEYAZ KAĞIT"/>
    <n v="2477475"/>
    <n v="0"/>
    <n v="3864861"/>
    <n v="0"/>
    <s v="Yeni"/>
    <n v="2"/>
    <n v="2"/>
    <x v="13"/>
    <x v="0"/>
    <x v="0"/>
    <s v="Var"/>
    <s v="Hayır"/>
    <s v="İstanbul"/>
    <s v="Enroute"/>
    <s v="Hayır"/>
  </r>
  <r>
    <s v="Mülkiye Akdoğaner"/>
    <x v="5"/>
    <s v="BILGINOGLU"/>
    <m/>
    <n v="250600"/>
    <n v="0"/>
    <n v="390936"/>
    <s v="Aktif"/>
    <n v="4"/>
    <n v="4"/>
    <x v="14"/>
    <x v="5"/>
    <x v="10"/>
    <s v="Yok"/>
    <s v="Hayır"/>
    <s v="İzmir"/>
    <s v="Stokbar"/>
    <s v="Hayır"/>
  </r>
  <r>
    <s v="Mülkiye Akdoğaner"/>
    <x v="3"/>
    <s v="BMC"/>
    <n v="1760378.25"/>
    <n v="3049615.63"/>
    <n v="2746190.0700000003"/>
    <n v="4757400.3827999998"/>
    <s v="Aktif"/>
    <s v="Key Account"/>
    <s v="Key Account"/>
    <x v="15"/>
    <x v="2"/>
    <x v="11"/>
    <s v="Yok"/>
    <s v="Evet"/>
    <s v="İzmir"/>
    <s v="Calldesk, Enroute, Quest"/>
    <s v="Hayır"/>
  </r>
  <r>
    <s v="Mülkiye Akdoğaner"/>
    <x v="3"/>
    <s v="BRISA BRIDGESTONE"/>
    <n v="395369.39999999997"/>
    <n v="5958777.4799999995"/>
    <n v="616776.26399999997"/>
    <n v="9295692.8687999994"/>
    <s v="Aktif"/>
    <s v="Key Account"/>
    <s v="Key Account"/>
    <x v="16"/>
    <x v="2"/>
    <x v="12"/>
    <s v="Var"/>
    <s v="Evet"/>
    <s v="İstanbul"/>
    <s v="Enroute"/>
    <s v="Hayır"/>
  </r>
  <r>
    <s v="Begüm Hayta"/>
    <x v="4"/>
    <s v="BROWN FORMAN"/>
    <n v="2118942.6799999997"/>
    <n v="5197676.62"/>
    <n v="3305550.5807999996"/>
    <n v="8108375.5272000004"/>
    <s v="Aktif"/>
    <s v="Key Account"/>
    <s v="Key Account"/>
    <x v="17"/>
    <x v="0"/>
    <x v="13"/>
    <s v="Var"/>
    <s v="Hayır"/>
    <s v="İstanbul"/>
    <s v="Enroute, Quest"/>
    <s v="Hayır"/>
  </r>
  <r>
    <s v="Nigar Uygun"/>
    <x v="5"/>
    <s v="BURDA BEBEK"/>
    <n v="19000"/>
    <n v="836915.28"/>
    <n v="29640"/>
    <n v="1305587.8368000002"/>
    <s v="Aktif"/>
    <n v="3"/>
    <n v="3"/>
    <x v="18"/>
    <x v="0"/>
    <x v="14"/>
    <s v="Var"/>
    <s v="Hayır"/>
    <s v="İstanbul"/>
    <s v="Enroute"/>
    <s v="Evet"/>
  </r>
  <r>
    <s v="Begüm Hayta"/>
    <x v="0"/>
    <s v="ÇAYKUR"/>
    <n v="1678630"/>
    <n v="2533873.3200000008"/>
    <n v="2618662.8000000003"/>
    <n v="3952842.3792000012"/>
    <s v="Aktif"/>
    <n v="2"/>
    <n v="2"/>
    <x v="19"/>
    <x v="0"/>
    <x v="15"/>
    <s v="Var"/>
    <s v="Hayır"/>
    <s v="Rize"/>
    <s v="Eroute, Stokbar"/>
    <s v="Hayır"/>
  </r>
  <r>
    <s v="Onur Günay"/>
    <x v="0"/>
    <s v="DANONE TIKVESLI"/>
    <n v="105352.91"/>
    <n v="2174000"/>
    <n v="164350.53960000002"/>
    <n v="3391440"/>
    <s v="Sonlanıyor"/>
    <s v="Key Account"/>
    <s v="Key Account"/>
    <x v="20"/>
    <x v="0"/>
    <x v="1"/>
    <s v="Yok"/>
    <s v="Hayır"/>
    <s v="İstanbul"/>
    <s v="Enroute"/>
    <s v="Sonlandı"/>
  </r>
  <r>
    <s v="Onur Günay"/>
    <x v="0"/>
    <s v="DANONE WATERS"/>
    <n v="0"/>
    <n v="2016738.3"/>
    <n v="0"/>
    <n v="3146111.7480000001"/>
    <s v="Sonlanıyor"/>
    <s v="Key Account"/>
    <s v="Key Account"/>
    <x v="20"/>
    <x v="0"/>
    <x v="1"/>
    <s v="Yok"/>
    <s v="Hayır"/>
    <s v="İstanbul"/>
    <s v="Enroute"/>
    <s v="Sonlandı"/>
  </r>
  <r>
    <s v="Begüm Hayta"/>
    <x v="0"/>
    <s v="DARDANEL"/>
    <n v="156215"/>
    <n v="2709095.93"/>
    <n v="243695.4"/>
    <n v="4226189.6507999999"/>
    <s v="Aktif"/>
    <n v="2"/>
    <n v="2"/>
    <x v="21"/>
    <x v="0"/>
    <x v="1"/>
    <s v="Var"/>
    <s v="Evet"/>
    <s v="İstanbul"/>
    <s v="Enroute"/>
    <s v="Hayır"/>
  </r>
  <r>
    <s v="Mülkiye Akdoğaner"/>
    <x v="5"/>
    <s v="DERKO KOZMETIK"/>
    <m/>
    <n v="114961.65"/>
    <n v="0"/>
    <n v="179340.174"/>
    <s v="Aktif"/>
    <n v="4"/>
    <n v="4"/>
    <x v="22"/>
    <x v="0"/>
    <x v="14"/>
    <s v="Var"/>
    <s v="Hayır"/>
    <s v="İzmir"/>
    <s v="Stokbar"/>
    <s v="Hayır"/>
  </r>
  <r>
    <s v="Mülkiye Akdoğaner"/>
    <x v="4"/>
    <s v="DEVA İÇECEK"/>
    <n v="2090947.2200000002"/>
    <n v="0"/>
    <n v="3261877.6632000003"/>
    <n v="0"/>
    <s v="Aktif"/>
    <n v="3"/>
    <n v="3"/>
    <x v="23"/>
    <x v="0"/>
    <x v="13"/>
    <s v="Var"/>
    <s v="Hayır"/>
    <s v="İstanbul"/>
    <s v="Enroute"/>
    <s v="Hayır"/>
  </r>
  <r>
    <s v="Nigar Uygun"/>
    <x v="0"/>
    <s v="DOGADAN"/>
    <n v="12250"/>
    <n v="259285"/>
    <n v="19110"/>
    <n v="404484.60000000003"/>
    <s v="Aktif"/>
    <n v="3"/>
    <n v="3"/>
    <x v="24"/>
    <x v="0"/>
    <x v="15"/>
    <s v="Yok"/>
    <s v="Hayır"/>
    <s v="İstanbul"/>
    <s v="Quest"/>
    <s v="Evet"/>
  </r>
  <r>
    <s v="Mülkiye Akdoğaner"/>
    <x v="2"/>
    <s v="DOGANAY"/>
    <n v="0"/>
    <n v="1850243.7"/>
    <n v="0"/>
    <n v="2886380.1720000003"/>
    <s v="Sonlandı"/>
    <n v="3"/>
    <n v="3"/>
    <x v="25"/>
    <x v="0"/>
    <x v="15"/>
    <s v="Yok"/>
    <s v="Hayır"/>
    <s v="İstanbul"/>
    <s v="Enroute"/>
    <s v="Sonlandı"/>
  </r>
  <r>
    <s v="Mülkiye Akdoğaner"/>
    <x v="2"/>
    <s v="DOĞAN TREND"/>
    <n v="2691515.05"/>
    <n v="2569397.4899999998"/>
    <n v="4198763.4780000001"/>
    <n v="4008260.0843999996"/>
    <s v="Sonlandı"/>
    <s v="Key Account"/>
    <s v="Key Account"/>
    <x v="26"/>
    <x v="2"/>
    <x v="16"/>
    <s v="Yok"/>
    <s v="Hayır"/>
    <s v="İstanbul"/>
    <s v="Calldesk, Enroute"/>
    <s v="Sonlandı"/>
  </r>
  <r>
    <s v="Begüm Hayta"/>
    <x v="0"/>
    <s v="DOGUS CAY"/>
    <n v="6828520"/>
    <n v="10589902.379999999"/>
    <n v="10652491.200000001"/>
    <n v="16520247.7128"/>
    <s v="Aktif"/>
    <n v="2"/>
    <s v="Key Account"/>
    <x v="27"/>
    <x v="0"/>
    <x v="15"/>
    <s v="Var"/>
    <s v="Hayır"/>
    <s v="İstanbul"/>
    <s v="Enroute, Quest, Stokbar"/>
    <s v="Hayır"/>
  </r>
  <r>
    <s v="Begüm Hayta"/>
    <x v="5"/>
    <s v="DÖHLER GIDA - KONFRUT"/>
    <m/>
    <n v="404352"/>
    <n v="0"/>
    <n v="630789.12"/>
    <s v="Sonlandı"/>
    <n v="4"/>
    <n v="4"/>
    <x v="28"/>
    <x v="5"/>
    <x v="17"/>
    <s v="Var"/>
    <s v="Hayır"/>
    <s v="İstanbul"/>
    <s v="Lojitek"/>
    <s v="Evet"/>
  </r>
  <r>
    <s v="Nigar Uygun"/>
    <x v="5"/>
    <s v="DÜZEY TÜKETIM"/>
    <n v="4423417.5"/>
    <n v="5195484.79"/>
    <n v="6900531.2999999998"/>
    <n v="8104956.2724000001"/>
    <s v="Aktif"/>
    <n v="2"/>
    <s v="Key Account"/>
    <x v="29"/>
    <x v="0"/>
    <x v="18"/>
    <s v="Var"/>
    <s v="Evet"/>
    <s v="İstanbul"/>
    <s v="Enroute"/>
    <s v="Hayır"/>
  </r>
  <r>
    <s v="Semih Balaban"/>
    <x v="3"/>
    <s v="ECZACIBASI GIRISIM"/>
    <n v="2393700"/>
    <n v="1694789.4199999997"/>
    <n v="3734172"/>
    <n v="2643871.4951999998"/>
    <s v="Aktif"/>
    <n v="2"/>
    <s v="Key Account"/>
    <x v="30"/>
    <x v="0"/>
    <x v="0"/>
    <s v="Var"/>
    <s v="Hayır"/>
    <s v="İstanbul"/>
    <s v="Enroute"/>
    <s v="Hayır"/>
  </r>
  <r>
    <s v="Mülkiye Akdoğaner"/>
    <x v="3"/>
    <s v="ECZACIBASI INTEMA"/>
    <n v="155925"/>
    <n v="3000000"/>
    <n v="243243"/>
    <n v="4680000"/>
    <s v="Aktif"/>
    <n v="3"/>
    <s v="Key Account"/>
    <x v="30"/>
    <x v="6"/>
    <x v="19"/>
    <s v="Var"/>
    <s v="Hayır"/>
    <s v="İstanbul"/>
    <s v="Enroute"/>
    <s v="Evet"/>
  </r>
  <r>
    <s v="Semih Balaban"/>
    <x v="3"/>
    <s v="ECZACIBASI PROFESYONEL"/>
    <n v="406076.67"/>
    <n v="990433.58"/>
    <n v="633479.60519999999"/>
    <n v="1545076.3847999999"/>
    <s v="Aktif"/>
    <n v="2"/>
    <s v="Key Account"/>
    <x v="30"/>
    <x v="0"/>
    <x v="0"/>
    <s v="Var"/>
    <s v="Hayır"/>
    <s v="İstanbul"/>
    <s v="Enroute"/>
    <s v="Hayır"/>
  </r>
  <r>
    <s v="Onur Günay"/>
    <x v="2"/>
    <s v="EFES AZERBAYCAN"/>
    <n v="0"/>
    <n v="0"/>
    <n v="0"/>
    <n v="0"/>
    <s v="Sonlandı"/>
    <n v="1"/>
    <n v="1"/>
    <x v="31"/>
    <x v="0"/>
    <x v="13"/>
    <s v="Yok"/>
    <s v="Hayır"/>
    <s v="Yurtdışı"/>
    <s v="Enroute"/>
    <s v="Sonlandı"/>
  </r>
  <r>
    <s v="Semih Balaban"/>
    <x v="2"/>
    <s v="EFES BELARUS"/>
    <n v="0"/>
    <n v="355656.33171200001"/>
    <n v="0"/>
    <n v="554823.87747072009"/>
    <s v="Sonlandı"/>
    <n v="1"/>
    <n v="1"/>
    <x v="32"/>
    <x v="0"/>
    <x v="13"/>
    <s v="Yok"/>
    <s v="Hayır"/>
    <s v="Yurtdışı"/>
    <s v="Enroute"/>
    <s v="Sonlandı"/>
  </r>
  <r>
    <s v="Semih Balaban"/>
    <x v="4"/>
    <s v="EFES GÜRCISTAN"/>
    <n v="648965.80359999998"/>
    <n v="1068690.686"/>
    <n v="1012386.653616"/>
    <n v="1667157.47016"/>
    <s v="Aktif"/>
    <n v="1"/>
    <n v="1"/>
    <x v="33"/>
    <x v="0"/>
    <x v="13"/>
    <s v="Yok"/>
    <s v="Hayır"/>
    <s v="Yurtdışı"/>
    <s v="Enroute"/>
    <s v="Hayır"/>
  </r>
  <r>
    <s v="Semih Balaban"/>
    <x v="4"/>
    <s v="EFES KAZAKISTAN"/>
    <n v="1482692.25"/>
    <n v="3925887.3"/>
    <n v="2312999.91"/>
    <n v="6124384.1880000001"/>
    <s v="Aktif"/>
    <n v="1"/>
    <n v="1"/>
    <x v="34"/>
    <x v="0"/>
    <x v="13"/>
    <s v="Yok"/>
    <s v="Hayır"/>
    <s v="Yurtdışı"/>
    <s v="Enroute"/>
    <s v="Hayır"/>
  </r>
  <r>
    <s v="Onur Günay"/>
    <x v="2"/>
    <s v="EFES KIBRIS"/>
    <n v="0"/>
    <n v="0"/>
    <n v="0"/>
    <n v="0"/>
    <s v="Sonlandı"/>
    <n v="4"/>
    <n v="4"/>
    <x v="35"/>
    <x v="0"/>
    <x v="13"/>
    <s v="Yok"/>
    <s v="Hayır"/>
    <s v="Yurtdışı"/>
    <s v="Enroute"/>
    <s v="Sonlandı"/>
  </r>
  <r>
    <s v="Semih Balaban"/>
    <x v="4"/>
    <s v="EFES MOLDOVA"/>
    <n v="56064.259999999995"/>
    <n v="1178270.4518759998"/>
    <n v="87460.245599999995"/>
    <n v="1838101.9049265597"/>
    <s v="Aktif"/>
    <n v="1"/>
    <n v="1"/>
    <x v="36"/>
    <x v="0"/>
    <x v="13"/>
    <s v="Yok"/>
    <s v="Hayır"/>
    <s v="Yurtdışı"/>
    <s v="Enroute"/>
    <s v="Hayır"/>
  </r>
  <r>
    <s v="Onur Günay"/>
    <x v="2"/>
    <s v="EFES TÜRKIYE"/>
    <n v="67600"/>
    <n v="0"/>
    <n v="105456"/>
    <n v="0"/>
    <s v="Sonlandı"/>
    <n v="1"/>
    <n v="1"/>
    <x v="37"/>
    <x v="0"/>
    <x v="13"/>
    <s v="Yok"/>
    <s v="Hayır"/>
    <s v="İstanbul"/>
    <s v="Enroute"/>
    <s v="Sonlandı"/>
  </r>
  <r>
    <s v="Mülkiye Akdoğaner"/>
    <x v="2"/>
    <s v="EGETAV"/>
    <n v="0"/>
    <n v="0"/>
    <n v="0"/>
    <n v="0"/>
    <s v="Sonlandı"/>
    <n v="4"/>
    <n v="4"/>
    <x v="38"/>
    <x v="7"/>
    <x v="20"/>
    <s v="Yok"/>
    <s v="Hayır"/>
    <s v="İstanbul"/>
    <s v="Stokbar"/>
    <s v="Sonlandı"/>
  </r>
  <r>
    <s v="Semih Balaban"/>
    <x v="3"/>
    <s v="EMINOGLU MERMERCILIK"/>
    <n v="73000"/>
    <n v="387000"/>
    <n v="113880"/>
    <n v="603720"/>
    <s v="Aktif"/>
    <n v="4"/>
    <n v="4"/>
    <x v="39"/>
    <x v="8"/>
    <x v="21"/>
    <s v="Var"/>
    <s v="Hayır"/>
    <s v="İzmir"/>
    <s v="Stokbar"/>
    <s v="Hayır"/>
  </r>
  <r>
    <s v="Begüm Hayta"/>
    <x v="2"/>
    <s v="ENERJISA"/>
    <n v="0"/>
    <n v="262535.18"/>
    <n v="0"/>
    <n v="409554.88079999998"/>
    <s v="Sonlandı"/>
    <n v="3"/>
    <n v="3"/>
    <x v="40"/>
    <x v="4"/>
    <x v="7"/>
    <s v="Yok"/>
    <s v="Hayır"/>
    <s v="İstanbul"/>
    <s v="Quest"/>
    <s v="Sonlandı"/>
  </r>
  <r>
    <s v="Mülkiye Akdoğaner"/>
    <x v="3"/>
    <s v="ERUSLU"/>
    <n v="79365"/>
    <n v="1567630.06"/>
    <n v="123809.40000000001"/>
    <n v="2445502.8936000001"/>
    <s v="Aktif"/>
    <n v="1"/>
    <n v="1"/>
    <x v="41"/>
    <x v="0"/>
    <x v="0"/>
    <s v="Var"/>
    <s v="Hayır"/>
    <s v="Gaziantep"/>
    <s v="Enroute, Quest"/>
    <s v="Hayır"/>
  </r>
  <r>
    <s v="Nigar Uygun"/>
    <x v="5"/>
    <s v="EVYAP"/>
    <n v="170700"/>
    <n v="1901920"/>
    <n v="266292"/>
    <n v="2966995.2"/>
    <s v="Aktif"/>
    <n v="2"/>
    <n v="2"/>
    <x v="42"/>
    <x v="0"/>
    <x v="14"/>
    <s v="Var"/>
    <s v="Hayır"/>
    <s v="İstanbul"/>
    <s v="Enroute"/>
    <s v="Evet"/>
  </r>
  <r>
    <s v="Semih Balaban"/>
    <x v="3"/>
    <s v="EZEL KOZMETİK - DERMOKİL"/>
    <n v="850400"/>
    <n v="0"/>
    <n v="1326624"/>
    <n v="0"/>
    <s v="Yeni"/>
    <m/>
    <m/>
    <x v="43"/>
    <x v="0"/>
    <x v="14"/>
    <m/>
    <m/>
    <s v="İstanbul"/>
    <s v="Enroute"/>
    <m/>
  </r>
  <r>
    <s v="Mülkiye Akdoğaner"/>
    <x v="5"/>
    <s v="FELDA IFFCO"/>
    <m/>
    <n v="247579.2"/>
    <n v="0"/>
    <n v="386223.55200000003"/>
    <s v="Aktif"/>
    <n v="4"/>
    <n v="4"/>
    <x v="44"/>
    <x v="5"/>
    <x v="22"/>
    <s v="Yok"/>
    <s v="Hayır"/>
    <s v="İzmir"/>
    <s v="Stokbar"/>
    <s v="Hayır"/>
  </r>
  <r>
    <s v="Nigar Uygun"/>
    <x v="5"/>
    <s v="GLAXOSMITKLINE ILAÇ"/>
    <m/>
    <n v="1060002.0900000001"/>
    <n v="0"/>
    <n v="1653603.2604000003"/>
    <s v="Aktif"/>
    <n v="4"/>
    <n v="4"/>
    <x v="45"/>
    <x v="0"/>
    <x v="14"/>
    <s v="Var"/>
    <s v="Hayır"/>
    <s v="İstanbul"/>
    <s v="Enroute"/>
    <s v="Hayır"/>
  </r>
  <r>
    <s v="Begüm Hayta"/>
    <x v="3"/>
    <s v="HABAŞ"/>
    <n v="680114.63"/>
    <n v="836064"/>
    <n v="1060978.8228"/>
    <n v="1304259.8400000001"/>
    <s v="Yeni"/>
    <n v="3"/>
    <n v="3"/>
    <x v="46"/>
    <x v="2"/>
    <x v="23"/>
    <s v="Var"/>
    <s v="Hayır"/>
    <s v="İstanbul"/>
    <s v="Calldesk"/>
    <s v="Hayır"/>
  </r>
  <r>
    <s v="Mülkiye Akdoğaner"/>
    <x v="0"/>
    <s v="HARIBO"/>
    <n v="1372187.75"/>
    <n v="4496625.0808380004"/>
    <n v="2140612.89"/>
    <n v="7014735.1261072811"/>
    <s v="Aktif"/>
    <n v="3"/>
    <s v="Key Account"/>
    <x v="47"/>
    <x v="0"/>
    <x v="24"/>
    <s v="Var"/>
    <s v="Hayır"/>
    <s v="İstanbul"/>
    <s v="Enroute"/>
    <s v="Hayır"/>
  </r>
  <r>
    <s v="Semih Balaban"/>
    <x v="3"/>
    <s v="HAYAT KIMYA"/>
    <n v="82687.5"/>
    <n v="3145105.2620000001"/>
    <n v="128992.5"/>
    <n v="4906364.2087200005"/>
    <s v="Aktif"/>
    <s v="Key Account"/>
    <s v="Key Account"/>
    <x v="48"/>
    <x v="0"/>
    <x v="0"/>
    <s v="Var"/>
    <s v="Hayır"/>
    <s v="İstanbul"/>
    <s v="Enroute"/>
    <s v="Evet"/>
  </r>
  <r>
    <s v="Onur Günay"/>
    <x v="2"/>
    <s v="HENKEL"/>
    <n v="28000"/>
    <n v="2179129.6974930004"/>
    <n v="43680"/>
    <n v="3399442.3280890808"/>
    <s v="Sonlandı"/>
    <n v="2"/>
    <n v="2"/>
    <x v="49"/>
    <x v="0"/>
    <x v="0"/>
    <s v="Yok"/>
    <s v="Hayır"/>
    <s v="İstanbul"/>
    <s v="Enroute"/>
    <s v="Sonlandı"/>
  </r>
  <r>
    <s v="Semih Balaban"/>
    <x v="5"/>
    <s v="HOBBY-RA PAZARLAMA"/>
    <n v="45566.59"/>
    <n v="273332.71999999997"/>
    <n v="71083.880399999995"/>
    <n v="426399.04319999996"/>
    <s v="Aktif"/>
    <n v="4"/>
    <n v="4"/>
    <x v="50"/>
    <x v="0"/>
    <x v="14"/>
    <s v="Var"/>
    <s v="Hayır"/>
    <s v="İstanbul"/>
    <s v="Enroute"/>
    <s v="Evet"/>
  </r>
  <r>
    <s v="Begüm Hayta"/>
    <x v="2"/>
    <s v="IGA"/>
    <n v="0"/>
    <n v="0"/>
    <n v="0"/>
    <n v="0"/>
    <s v="Sonlandı"/>
    <n v="4"/>
    <n v="4"/>
    <x v="51"/>
    <x v="7"/>
    <x v="20"/>
    <s v="Yok"/>
    <s v="Hayır"/>
    <s v="İstanbul"/>
    <s v="Stokbar"/>
    <s v="Sonlandı"/>
  </r>
  <r>
    <s v="Nigar Uygun"/>
    <x v="4"/>
    <s v="IMPERIAL TOBACCO"/>
    <n v="111282.68"/>
    <n v="4297200.16"/>
    <n v="173600.98079999999"/>
    <n v="6703632.2496000007"/>
    <s v="Aktif"/>
    <n v="2"/>
    <n v="2"/>
    <x v="52"/>
    <x v="0"/>
    <x v="25"/>
    <s v="Var"/>
    <s v="Hayır"/>
    <s v="Manisa"/>
    <s v="Enroute, Quest"/>
    <s v="Hayır"/>
  </r>
  <r>
    <s v="Mülkiye Akdoğaner"/>
    <x v="4"/>
    <s v="JTI"/>
    <n v="4237489.2505099997"/>
    <n v="14139775.70482401"/>
    <n v="6610483.2307955995"/>
    <n v="22058050.099525455"/>
    <s v="Aktif"/>
    <s v="Key Account"/>
    <s v="Key Account"/>
    <x v="53"/>
    <x v="0"/>
    <x v="25"/>
    <s v="Var"/>
    <s v="Evet"/>
    <s v="İstanbul"/>
    <s v="Enroute, Quest"/>
    <s v="Hayır"/>
  </r>
  <r>
    <s v="Mülkiye Akdoğaner"/>
    <x v="4"/>
    <s v="JTI IRAN"/>
    <n v="737264.08"/>
    <n v="15784756.085767999"/>
    <n v="1150131.9648"/>
    <n v="24624219.493798081"/>
    <s v="Aktif"/>
    <s v="Key Account"/>
    <s v="Key Account"/>
    <x v="54"/>
    <x v="0"/>
    <x v="25"/>
    <s v="Yok"/>
    <s v="Hayır"/>
    <s v="Yurtdışı"/>
    <s v="Enroute, Quest"/>
    <s v="Hayır"/>
  </r>
  <r>
    <s v="Mülkiye Akdoğaner"/>
    <x v="2"/>
    <s v="JTI SUDAN"/>
    <n v="0"/>
    <n v="0"/>
    <n v="0"/>
    <n v="0"/>
    <s v="Hold"/>
    <n v="1"/>
    <n v="1"/>
    <x v="55"/>
    <x v="0"/>
    <x v="25"/>
    <s v="Yok"/>
    <s v="Hayır"/>
    <s v="Yurtdışı"/>
    <s v="Enroute"/>
    <s v="Sonlandı"/>
  </r>
  <r>
    <s v="Semih Balaban"/>
    <x v="3"/>
    <s v="K-RIDES"/>
    <n v="1582500"/>
    <n v="46200"/>
    <n v="2468700"/>
    <n v="72072"/>
    <s v="Aktif"/>
    <n v="3"/>
    <n v="3"/>
    <x v="56"/>
    <x v="2"/>
    <x v="26"/>
    <s v="Var"/>
    <s v="Hayır"/>
    <s v="İstanbul"/>
    <s v="Calldesk"/>
    <s v="Hayır"/>
  </r>
  <r>
    <s v="Semih Balaban"/>
    <x v="4"/>
    <s v="KEBIR SÜT"/>
    <n v="91750"/>
    <n v="1499675.8"/>
    <n v="143130"/>
    <n v="2339494.2480000001"/>
    <s v="Aktif"/>
    <n v="3"/>
    <n v="3"/>
    <x v="57"/>
    <x v="0"/>
    <x v="6"/>
    <s v="Var"/>
    <s v="Hayır"/>
    <s v="İstanbul"/>
    <s v="Enroute"/>
    <s v="Hayır"/>
  </r>
  <r>
    <s v="Begüm Hayta"/>
    <x v="0"/>
    <s v="KENT GIDA"/>
    <n v="8939309.1999999993"/>
    <n v="3586227.1999999997"/>
    <n v="13945322.352"/>
    <n v="5594514.432"/>
    <s v="Aktif"/>
    <s v="Key Account"/>
    <s v="Key Account"/>
    <x v="58"/>
    <x v="0"/>
    <x v="24"/>
    <s v="Var"/>
    <s v="Evet"/>
    <s v="İstanbul"/>
    <s v="Eroute, Stokbar"/>
    <s v="Hayır"/>
  </r>
  <r>
    <s v="Semih Balaban"/>
    <x v="3"/>
    <s v="KOROPLAST"/>
    <n v="64085"/>
    <n v="1220727.5699999998"/>
    <n v="99972.6"/>
    <n v="1904335.0091999997"/>
    <s v="Aktif"/>
    <n v="4"/>
    <n v="4"/>
    <x v="59"/>
    <x v="0"/>
    <x v="0"/>
    <s v="Var"/>
    <s v="Hayır"/>
    <s v="İstanbul"/>
    <s v="Enroute"/>
    <s v="Hayır"/>
  </r>
  <r>
    <s v="Semih Balaban"/>
    <x v="5"/>
    <s v="KÜRESEL TEDARIK"/>
    <n v="55881"/>
    <n v="457776.12"/>
    <n v="87174.36"/>
    <n v="714130.74719999998"/>
    <s v="Aktif"/>
    <n v="3"/>
    <n v="3"/>
    <x v="60"/>
    <x v="0"/>
    <x v="18"/>
    <s v="Var"/>
    <s v="Hayır"/>
    <s v="İstanbul"/>
    <s v="Enroute"/>
    <s v="Hayır"/>
  </r>
  <r>
    <s v="Mülkiye Akdoğaner"/>
    <x v="0"/>
    <s v="LA LORRAINE"/>
    <n v="411951.43"/>
    <n v="2829212.7255360014"/>
    <n v="642644.23080000002"/>
    <n v="4413571.8518361626"/>
    <s v="Aktif"/>
    <n v="3"/>
    <n v="3"/>
    <x v="61"/>
    <x v="0"/>
    <x v="1"/>
    <s v="Var"/>
    <s v="Hayır"/>
    <s v="İstanbul"/>
    <s v="Enroute"/>
    <s v="Hayır"/>
  </r>
  <r>
    <s v="Semih Balaban"/>
    <x v="3"/>
    <s v="LEVENT KIMYA"/>
    <n v="35910"/>
    <n v="1149500"/>
    <n v="56019.6"/>
    <n v="1793220"/>
    <s v="Aktif"/>
    <n v="3"/>
    <n v="3"/>
    <x v="62"/>
    <x v="0"/>
    <x v="0"/>
    <s v="Var"/>
    <s v="Hayır"/>
    <s v="İstanbul"/>
    <s v="Enroute"/>
    <s v="Hayır"/>
  </r>
  <r>
    <s v="Semih Balaban"/>
    <x v="2"/>
    <s v="LILA KAGIT"/>
    <n v="0"/>
    <n v="212800.26"/>
    <n v="0"/>
    <n v="331968.4056"/>
    <s v="Sonlandı"/>
    <n v="4"/>
    <n v="4"/>
    <x v="63"/>
    <x v="0"/>
    <x v="0"/>
    <s v="Yok"/>
    <s v="Hayır"/>
    <s v="İstanbul"/>
    <s v="Quest"/>
    <s v="Sonlandı"/>
  </r>
  <r>
    <s v="Mülkiye Akdoğaner"/>
    <x v="5"/>
    <s v="LOREAL ECZANE"/>
    <n v="187425"/>
    <n v="4715360.8"/>
    <n v="292383"/>
    <n v="7355962.8480000002"/>
    <s v="Aktif"/>
    <n v="2"/>
    <n v="2"/>
    <x v="64"/>
    <x v="0"/>
    <x v="14"/>
    <s v="Var"/>
    <s v="Hayır"/>
    <s v="İstanbul"/>
    <s v="Enroute, Quest"/>
    <s v="Hayır"/>
  </r>
  <r>
    <s v="Mülkiye Akdoğaner"/>
    <x v="5"/>
    <s v="LOREAL KUAFÖR"/>
    <n v="0"/>
    <m/>
    <n v="0"/>
    <n v="0"/>
    <s v="Aktif"/>
    <n v="2"/>
    <n v="2"/>
    <x v="64"/>
    <x v="0"/>
    <x v="14"/>
    <s v="Var"/>
    <s v="Hayır"/>
    <s v="İstanbul"/>
    <s v="Enroute, Quest"/>
    <s v="Hayır"/>
  </r>
  <r>
    <s v="Mülkiye Akdoğaner"/>
    <x v="5"/>
    <s v="LOREAL LUX"/>
    <n v="735075"/>
    <n v="1098622"/>
    <n v="1146717"/>
    <n v="1713850.32"/>
    <s v="Aktif"/>
    <n v="2"/>
    <n v="2"/>
    <x v="64"/>
    <x v="0"/>
    <x v="14"/>
    <s v="Var"/>
    <s v="Hayır"/>
    <s v="İstanbul"/>
    <s v="Quest"/>
    <s v="Hayır"/>
  </r>
  <r>
    <s v="Mülkiye Akdoğaner"/>
    <x v="5"/>
    <s v="LOREAL TÜKETICI"/>
    <n v="52062.5"/>
    <m/>
    <n v="81217.5"/>
    <n v="0"/>
    <s v="Aktif"/>
    <n v="2"/>
    <n v="2"/>
    <x v="64"/>
    <x v="0"/>
    <x v="14"/>
    <s v="Var"/>
    <s v="Hayır"/>
    <s v="İstanbul"/>
    <s v="Enroute, Quest"/>
    <s v="Hayır"/>
  </r>
  <r>
    <s v="Semih Balaban"/>
    <x v="2"/>
    <s v="MARNAK LOJISTIK"/>
    <n v="0"/>
    <n v="0"/>
    <n v="0"/>
    <n v="0"/>
    <s v="Sonlandı"/>
    <n v="4"/>
    <n v="4"/>
    <x v="65"/>
    <x v="0"/>
    <x v="18"/>
    <s v="Yok"/>
    <s v="Hayır"/>
    <s v="İstanbul"/>
    <s v="Enroute"/>
    <s v="Sonlandı"/>
  </r>
  <r>
    <s v="Begüm Hayta"/>
    <x v="0"/>
    <s v="MARS GIDA"/>
    <m/>
    <n v="3326577.0862880005"/>
    <n v="0"/>
    <n v="5189460.2546092812"/>
    <s v="Aktif"/>
    <n v="2"/>
    <n v="2"/>
    <x v="66"/>
    <x v="0"/>
    <x v="24"/>
    <s v="Var"/>
    <s v="Hayır"/>
    <s v="İstanbul"/>
    <s v="Enroute"/>
    <s v="Hayır"/>
  </r>
  <r>
    <s v="Nigar Uygun"/>
    <x v="1"/>
    <s v="MARSHALL"/>
    <m/>
    <n v="1464187.4"/>
    <n v="0"/>
    <n v="2284132.344"/>
    <s v="Aktif"/>
    <n v="3"/>
    <n v="3"/>
    <x v="67"/>
    <x v="9"/>
    <x v="27"/>
    <s v="Var"/>
    <s v="Hayır"/>
    <s v="İstanbul"/>
    <s v="Enroute"/>
    <s v="Hayır"/>
  </r>
  <r>
    <s v="Begüm Hayta"/>
    <x v="3"/>
    <s v="MENDERES HOME"/>
    <n v="750000"/>
    <m/>
    <n v="1170000"/>
    <n v="0"/>
    <s v="Aktif"/>
    <n v="4"/>
    <n v="4"/>
    <x v="68"/>
    <x v="10"/>
    <x v="28"/>
    <s v="Yok"/>
    <s v="Hayır"/>
    <s v="Denizli"/>
    <s v="Stokbar"/>
    <s v="Hayır"/>
  </r>
  <r>
    <s v="Nigar Uygun"/>
    <x v="4"/>
    <s v="MEY IÇKI"/>
    <n v="8579934.5"/>
    <n v="7133331.929800001"/>
    <n v="13384697.82"/>
    <n v="11127997.810488002"/>
    <s v="Aktif"/>
    <s v="Key Account"/>
    <s v="Key Account"/>
    <x v="69"/>
    <x v="0"/>
    <x v="13"/>
    <s v="Var"/>
    <s v="Evet"/>
    <s v="İstanbul"/>
    <s v="Enroute, Quest"/>
    <s v="Hayır"/>
  </r>
  <r>
    <s v="Semih Balaban"/>
    <x v="1"/>
    <s v="MURR ELEKTRONIK"/>
    <m/>
    <n v="485528.74"/>
    <n v="0"/>
    <n v="757424.83440000005"/>
    <s v="Aktif"/>
    <n v="3"/>
    <n v="3"/>
    <x v="70"/>
    <x v="11"/>
    <x v="29"/>
    <s v="Var"/>
    <s v="Hayır"/>
    <s v="Bursa"/>
    <s v="Stokbar"/>
    <s v="Hayır"/>
  </r>
  <r>
    <s v="Begüm Hayta"/>
    <x v="0"/>
    <s v="NESTLE PROFESIONAL"/>
    <n v="631665.75"/>
    <n v="2627689.6060000001"/>
    <n v="985398.57000000007"/>
    <n v="4099195.7853600006"/>
    <s v="Aktif"/>
    <n v="1"/>
    <s v="Key Account"/>
    <x v="71"/>
    <x v="0"/>
    <x v="24"/>
    <s v="Var"/>
    <s v="Evet"/>
    <s v="İstanbul"/>
    <s v="Enroute, Quest"/>
    <s v="Hayır"/>
  </r>
  <r>
    <s v="Begüm Hayta"/>
    <x v="0"/>
    <s v="NESTLE RETAIL"/>
    <n v="1424156.1577000003"/>
    <n v="6731205"/>
    <n v="2221683.6060120007"/>
    <n v="10500679.800000001"/>
    <s v="Aktif"/>
    <s v="Key Account"/>
    <s v="Key Account"/>
    <x v="71"/>
    <x v="0"/>
    <x v="24"/>
    <s v="Var"/>
    <s v="Evet"/>
    <s v="İstanbul"/>
    <s v="Enroute, Quest"/>
    <s v="Evet"/>
  </r>
  <r>
    <s v="Begüm Hayta"/>
    <x v="0"/>
    <s v="NESTLE ROM"/>
    <n v="232172.85"/>
    <n v="518720.73000000004"/>
    <n v="362189.64600000001"/>
    <n v="809204.33880000014"/>
    <s v="Aktif"/>
    <s v="Key Account"/>
    <s v="Key Account"/>
    <x v="71"/>
    <x v="0"/>
    <x v="24"/>
    <s v="Var"/>
    <s v="Evet"/>
    <s v="İstanbul"/>
    <s v="Enroute, Quest"/>
    <s v="Hayır"/>
  </r>
  <r>
    <s v="Begüm Hayta"/>
    <x v="0"/>
    <s v="NESTLE WATERS"/>
    <n v="171500"/>
    <n v="518720.73000000004"/>
    <n v="267540"/>
    <n v="809204.33880000014"/>
    <s v="Aktif"/>
    <n v="1"/>
    <s v="Key Account"/>
    <x v="71"/>
    <x v="0"/>
    <x v="24"/>
    <s v="Var"/>
    <s v="Evet"/>
    <s v="İstanbul"/>
    <s v="Enroute, Quest"/>
    <s v="Hayır"/>
  </r>
  <r>
    <s v="Begüm Hayta"/>
    <x v="0"/>
    <s v="NESTLE STARBUCKS"/>
    <n v="293200.89"/>
    <n v="3284980.932"/>
    <n v="457393.38840000005"/>
    <n v="5124570.25392"/>
    <s v="Aktif"/>
    <n v="1"/>
    <s v="Key Account"/>
    <x v="71"/>
    <x v="0"/>
    <x v="24"/>
    <s v="Var"/>
    <s v="Evet"/>
    <s v="İstanbul"/>
    <s v="Stokbar"/>
    <s v="Hayır"/>
  </r>
  <r>
    <s v="Semih Balaban"/>
    <x v="5"/>
    <s v="NETLOG KÜRESEL PAZ."/>
    <m/>
    <m/>
    <n v="0"/>
    <n v="0"/>
    <s v="Aktif"/>
    <n v="4"/>
    <n v="4"/>
    <x v="72"/>
    <x v="0"/>
    <x v="18"/>
    <s v="Var"/>
    <s v="Hayır"/>
    <s v="İstanbul"/>
    <s v="Enroute"/>
    <s v="Hayır"/>
  </r>
  <r>
    <s v="Nigar Uygun"/>
    <x v="4"/>
    <s v="NEWAL"/>
    <n v="1694129.9391000001"/>
    <n v="44664.440040000001"/>
    <n v="2642842.704996"/>
    <n v="69676.526462399997"/>
    <s v="Aktif"/>
    <n v="2"/>
    <n v="2"/>
    <x v="73"/>
    <x v="3"/>
    <x v="30"/>
    <s v="Yok"/>
    <s v="Hayır"/>
    <s v="İstanbul"/>
    <s v="Enroute"/>
    <s v="Hayır"/>
  </r>
  <r>
    <s v="Nigar Uygun"/>
    <x v="5"/>
    <s v="NIVEA BEIERSDORF"/>
    <m/>
    <n v="1729291.7749999999"/>
    <n v="0"/>
    <n v="2697695.1689999998"/>
    <s v="Aktif"/>
    <n v="3"/>
    <n v="3"/>
    <x v="74"/>
    <x v="0"/>
    <x v="14"/>
    <s v="Var"/>
    <s v="Hayır"/>
    <s v="İstanbul"/>
    <s v="Enroute"/>
    <s v="Hayır"/>
  </r>
  <r>
    <s v="Mülkiye Akdoğaner"/>
    <x v="3"/>
    <s v="NUROL MAKINA"/>
    <n v="126526"/>
    <n v="450246.62"/>
    <n v="197380.56"/>
    <n v="702384.72719999996"/>
    <s v="Aktif"/>
    <n v="3"/>
    <n v="3"/>
    <x v="75"/>
    <x v="2"/>
    <x v="11"/>
    <s v="Var"/>
    <s v="Hayır"/>
    <s v="Ankara"/>
    <s v="Calldesk"/>
    <s v="Hayır"/>
  </r>
  <r>
    <s v="Semih Balaban"/>
    <x v="0"/>
    <s v="OFÇAY - EFOR ÇAY"/>
    <m/>
    <n v="1041939.66"/>
    <n v="0"/>
    <n v="1625425.8696000001"/>
    <s v="Aktif"/>
    <n v="3"/>
    <n v="3"/>
    <x v="76"/>
    <x v="0"/>
    <x v="15"/>
    <s v="Var"/>
    <s v="Hayır"/>
    <s v="İstanbul"/>
    <s v="Enroute"/>
    <s v="Hayır"/>
  </r>
  <r>
    <s v="Nigar Uygun"/>
    <x v="5"/>
    <s v="OMAK"/>
    <m/>
    <n v="392500.72"/>
    <n v="0"/>
    <n v="612301.12320000003"/>
    <s v="Aktif"/>
    <n v="4"/>
    <n v="4"/>
    <x v="77"/>
    <x v="12"/>
    <x v="31"/>
    <s v="Yok"/>
    <s v="Hayır"/>
    <s v="İstanbul"/>
    <s v="Varuna"/>
    <s v="Hayır"/>
  </r>
  <r>
    <s v="Semih Balaban"/>
    <x v="5"/>
    <s v="OMEGA PHARMA (PERRIGO)"/>
    <n v="349707.5"/>
    <n v="1558483.8655999999"/>
    <n v="545543.70000000007"/>
    <n v="2431234.8303359998"/>
    <s v="Aktif"/>
    <n v="3"/>
    <n v="3"/>
    <x v="78"/>
    <x v="0"/>
    <x v="14"/>
    <s v="Var"/>
    <s v="Hayır"/>
    <s v="İstanbul"/>
    <s v="Enroute"/>
    <s v="Hayır"/>
  </r>
  <r>
    <s v="Begüm Hayta"/>
    <x v="1"/>
    <s v="OPET"/>
    <m/>
    <n v="234794.29"/>
    <n v="0"/>
    <n v="366279.09240000002"/>
    <s v="Aktif"/>
    <n v="3"/>
    <n v="3"/>
    <x v="79"/>
    <x v="13"/>
    <x v="32"/>
    <s v="Var"/>
    <s v="Hayır"/>
    <s v="İstanbul"/>
    <s v="Stokbar"/>
    <s v="Hayır"/>
  </r>
  <r>
    <s v="Semih Balaban"/>
    <x v="2"/>
    <s v="OYAK GRUP - SATEM"/>
    <n v="57050"/>
    <n v="5909229.3440000005"/>
    <n v="88998"/>
    <n v="9218397.7766400017"/>
    <s v="Sonlandı"/>
    <s v="Key Account"/>
    <s v="Key Account"/>
    <x v="80"/>
    <x v="0"/>
    <x v="18"/>
    <s v="Yok"/>
    <s v="Hayır"/>
    <s v="İstanbul"/>
    <s v="Enroute, Quest, Stokbar"/>
    <s v="Sonlandı"/>
  </r>
  <r>
    <s v="Semih Balaban"/>
    <x v="0"/>
    <s v="ÖZGÖRKEY"/>
    <n v="254340.05"/>
    <n v="1059355.1900000002"/>
    <n v="396770.478"/>
    <n v="1652594.0964000004"/>
    <s v="Aktif"/>
    <n v="3"/>
    <n v="3"/>
    <x v="81"/>
    <x v="0"/>
    <x v="1"/>
    <s v="Var"/>
    <s v="Hayır"/>
    <s v="İzmir"/>
    <s v="Eroute, Stokbar"/>
    <s v="Hayır"/>
  </r>
  <r>
    <s v="Begüm Hayta"/>
    <x v="1"/>
    <s v="PANASONIC"/>
    <n v="2111980"/>
    <n v="2520493.69"/>
    <n v="3294688.8000000003"/>
    <n v="3931970.1564000002"/>
    <s v="Aktif"/>
    <n v="2"/>
    <n v="2"/>
    <x v="82"/>
    <x v="11"/>
    <x v="33"/>
    <s v="Var"/>
    <s v="Hayır"/>
    <s v="İstanbul"/>
    <s v="Stokbar"/>
    <s v="Hayır"/>
  </r>
  <r>
    <s v="Nigar Uygun"/>
    <x v="3"/>
    <s v="PASABAHÇE"/>
    <m/>
    <n v="867897"/>
    <n v="0"/>
    <n v="1353919.32"/>
    <s v="Aktif"/>
    <n v="2"/>
    <n v="2"/>
    <x v="83"/>
    <x v="14"/>
    <x v="29"/>
    <s v="Yok"/>
    <s v="Hayır"/>
    <s v="İstanbul"/>
    <s v="Enroute"/>
    <s v="Hayır"/>
  </r>
  <r>
    <s v="Mülkiye Akdoğaner"/>
    <x v="4"/>
    <s v="PERNOD RICARD"/>
    <n v="3948574.4895000001"/>
    <n v="8595427.5299999993"/>
    <n v="6159776.2036200007"/>
    <n v="13408866.946799999"/>
    <s v="Aktif"/>
    <s v="Key Account"/>
    <s v="Key Account"/>
    <x v="84"/>
    <x v="0"/>
    <x v="13"/>
    <s v="Var"/>
    <s v="Hayır"/>
    <s v="İstanbul"/>
    <s v="Enroute"/>
    <s v="Hayır"/>
  </r>
  <r>
    <s v="Mülkiye Akdoğaner"/>
    <x v="2"/>
    <s v="PETLAS"/>
    <n v="0"/>
    <n v="0"/>
    <n v="0"/>
    <n v="0"/>
    <s v="Sonlandı"/>
    <n v="4"/>
    <n v="4"/>
    <x v="85"/>
    <x v="2"/>
    <x v="12"/>
    <s v="Yok"/>
    <s v="Hayır"/>
    <s v="İstanbul"/>
    <s v="Stokbar"/>
    <s v="Sonlandı"/>
  </r>
  <r>
    <s v="Mülkiye Akdoğaner"/>
    <x v="2"/>
    <s v="PİLOTCAR"/>
    <n v="0"/>
    <n v="0"/>
    <n v="0"/>
    <n v="0"/>
    <s v="Sonlandı"/>
    <n v="4"/>
    <n v="4"/>
    <x v="86"/>
    <x v="2"/>
    <x v="34"/>
    <s v="Yok"/>
    <s v="Hayır"/>
    <s v="Bursa"/>
    <s v="Calldesk"/>
    <s v="Sonlandı"/>
  </r>
  <r>
    <s v="Semih Balaban"/>
    <x v="3"/>
    <s v="RECKITT BENCKISER"/>
    <n v="3124650"/>
    <n v="2512152.27"/>
    <n v="4874454"/>
    <n v="3918957.5412000003"/>
    <s v="Aktif"/>
    <n v="2"/>
    <n v="2"/>
    <x v="87"/>
    <x v="0"/>
    <x v="0"/>
    <s v="Var"/>
    <s v="Hayır"/>
    <s v="İstanbul"/>
    <s v="Eroute, Stokbar"/>
    <s v="Hayır"/>
  </r>
  <r>
    <s v="Begüm Hayta"/>
    <x v="4"/>
    <s v="REDBULL"/>
    <n v="1192818.8900000001"/>
    <n v="3887907.08"/>
    <n v="1860797.4684000004"/>
    <n v="6065135.0448000003"/>
    <s v="Aktif"/>
    <n v="2"/>
    <n v="2"/>
    <x v="88"/>
    <x v="0"/>
    <x v="6"/>
    <s v="Var"/>
    <s v="Hayır"/>
    <s v="İstanbul"/>
    <s v="Enroute"/>
    <s v="Hayır"/>
  </r>
  <r>
    <s v="Begüm Hayta"/>
    <x v="5"/>
    <s v="ROYAL CANIN"/>
    <n v="734125.05"/>
    <n v="3244599.47"/>
    <n v="1145235.0780000002"/>
    <n v="5061575.1732000001"/>
    <s v="Aktif"/>
    <n v="3"/>
    <n v="3"/>
    <x v="89"/>
    <x v="0"/>
    <x v="5"/>
    <s v="Var"/>
    <s v="Hayır"/>
    <s v="İstanbul"/>
    <s v="Enroute"/>
    <s v="Hayır"/>
  </r>
  <r>
    <s v="Mülkiye Akdoğaner"/>
    <x v="4"/>
    <s v="SARPER IÇECEK - BEYLERBEYİ"/>
    <n v="2857256.83"/>
    <n v="3244345.6"/>
    <n v="4457320.6548000006"/>
    <n v="5061179.1359999999"/>
    <s v="Aktif"/>
    <n v="2"/>
    <n v="2"/>
    <x v="90"/>
    <x v="0"/>
    <x v="13"/>
    <s v="Var"/>
    <s v="Hayır"/>
    <s v="İzmir"/>
    <s v="Enroute, Quest"/>
    <s v="Hayır"/>
  </r>
  <r>
    <s v="Nigar Uygun"/>
    <x v="5"/>
    <s v="SBR TARIM ÜRÜNLERI"/>
    <m/>
    <n v="668940"/>
    <n v="0"/>
    <n v="1043546.4"/>
    <s v="Aktif"/>
    <n v="4"/>
    <n v="4"/>
    <x v="91"/>
    <x v="5"/>
    <x v="35"/>
    <s v="Var"/>
    <s v="Hayır"/>
    <s v="Hatay"/>
    <s v="Stokbar"/>
    <s v="Hayır"/>
  </r>
  <r>
    <s v="Onur Günay"/>
    <x v="2"/>
    <s v="SCHWARZKOPF HENKEL"/>
    <n v="0"/>
    <n v="0"/>
    <n v="0"/>
    <n v="0"/>
    <s v="Sonlandı"/>
    <n v="3"/>
    <n v="3"/>
    <x v="92"/>
    <x v="0"/>
    <x v="14"/>
    <s v="Yok"/>
    <s v="Hayır"/>
    <s v="İstanbul"/>
    <s v="Enroute"/>
    <s v="Sonlandı"/>
  </r>
  <r>
    <s v="Onur Günay"/>
    <x v="2"/>
    <s v="SEBA ASC"/>
    <n v="0"/>
    <n v="0"/>
    <n v="0"/>
    <n v="0"/>
    <s v="Sonlandı"/>
    <n v="1"/>
    <n v="1"/>
    <x v="93"/>
    <x v="0"/>
    <x v="1"/>
    <s v="Yok"/>
    <s v="Hayır"/>
    <s v="İstanbul"/>
    <s v="Stokbar"/>
    <s v="Sonlandı"/>
  </r>
  <r>
    <s v="Semih Balaban"/>
    <x v="0"/>
    <s v="SEN PILIC"/>
    <n v="1325245"/>
    <n v="3600551.54"/>
    <n v="2067382.2000000002"/>
    <n v="5616860.4024"/>
    <s v="Aktif"/>
    <n v="2"/>
    <s v="Key Account"/>
    <x v="94"/>
    <x v="0"/>
    <x v="1"/>
    <s v="Var"/>
    <s v="Hayır"/>
    <s v="İstanbul"/>
    <s v="Enroute"/>
    <s v="Hayır"/>
  </r>
  <r>
    <s v="Mülkiye Akdoğaner"/>
    <x v="1"/>
    <s v="SHELL"/>
    <m/>
    <n v="3391875"/>
    <n v="0"/>
    <n v="5291325"/>
    <s v="Aktif"/>
    <n v="2"/>
    <n v="2"/>
    <x v="95"/>
    <x v="13"/>
    <x v="32"/>
    <s v="Var"/>
    <s v="Hayır"/>
    <s v="İstanbul"/>
    <s v="Stokbar"/>
    <s v="Hayır"/>
  </r>
  <r>
    <s v="Nigar Uygun"/>
    <x v="2"/>
    <s v="SOLGAR"/>
    <n v="0"/>
    <n v="0"/>
    <n v="0"/>
    <n v="0"/>
    <s v="Sonlandı"/>
    <n v="4"/>
    <n v="4"/>
    <x v="96"/>
    <x v="1"/>
    <x v="36"/>
    <s v="Yok"/>
    <s v="Hayır"/>
    <s v="İstanbul"/>
    <s v="Stokbar"/>
    <s v="Sonlandı"/>
  </r>
  <r>
    <s v="Semih Balaban"/>
    <x v="0"/>
    <s v="SÖLEN"/>
    <n v="2017419.59"/>
    <n v="2000000"/>
    <n v="3147174.5604000003"/>
    <n v="3120000"/>
    <s v="Aktif"/>
    <s v="Key Account"/>
    <s v="Key Account"/>
    <x v="97"/>
    <x v="0"/>
    <x v="24"/>
    <s v="Var"/>
    <s v="Hayır"/>
    <s v="İstanbul"/>
    <s v="Enroute"/>
    <s v="Hayır"/>
  </r>
  <r>
    <s v="Onur Günay"/>
    <x v="0"/>
    <s v="SÖLEN IRAK"/>
    <n v="0"/>
    <n v="0"/>
    <n v="0"/>
    <n v="0"/>
    <s v="Aktif"/>
    <s v="Key Account"/>
    <s v="Key Account"/>
    <x v="98"/>
    <x v="0"/>
    <x v="24"/>
    <s v="Var"/>
    <s v="Hayır"/>
    <s v="İstanbul"/>
    <s v="Enroute"/>
    <s v="Hayır"/>
  </r>
  <r>
    <s v="Mülkiye Akdoğaner"/>
    <x v="2"/>
    <s v="SUZUKI"/>
    <n v="0"/>
    <n v="0"/>
    <n v="0"/>
    <n v="0"/>
    <s v="Sonlandı"/>
    <s v="Key Account"/>
    <s v="Key Account"/>
    <x v="99"/>
    <x v="2"/>
    <x v="16"/>
    <s v="Yok"/>
    <s v="Hayır"/>
    <s v="İstanbul"/>
    <s v="Calldesk, Enroute"/>
    <s v="Sonlandı"/>
  </r>
  <r>
    <s v="Mülkiye Akdoğaner"/>
    <x v="4"/>
    <s v="SÜTAS"/>
    <m/>
    <n v="979799.75"/>
    <n v="0"/>
    <n v="1528487.61"/>
    <s v="Aktif"/>
    <n v="2"/>
    <n v="2"/>
    <x v="100"/>
    <x v="0"/>
    <x v="6"/>
    <s v="Var"/>
    <s v="Hayır"/>
    <s v="İstanbul"/>
    <s v="Enroute"/>
    <s v="Hayır"/>
  </r>
  <r>
    <s v="Semih Balaban"/>
    <x v="2"/>
    <s v="TADIM"/>
    <n v="923211.62"/>
    <n v="4483887.8899999987"/>
    <n v="1440210.1272"/>
    <n v="6994865.1083999984"/>
    <s v="Sonlandı"/>
    <n v="2"/>
    <n v="2"/>
    <x v="101"/>
    <x v="0"/>
    <x v="24"/>
    <s v="Yok"/>
    <s v="Hayır"/>
    <s v="İstanbul"/>
    <s v="Enroute"/>
    <s v="Sonlandı"/>
  </r>
  <r>
    <s v="Onur Günay"/>
    <x v="2"/>
    <s v="TADIM EXPORT"/>
    <n v="0"/>
    <n v="0"/>
    <n v="0"/>
    <n v="0"/>
    <s v="Sonlandı"/>
    <n v="2"/>
    <n v="2"/>
    <x v="102"/>
    <x v="0"/>
    <x v="24"/>
    <s v="Yok"/>
    <s v="Hayır"/>
    <s v="İstanbul"/>
    <s v="Enroute"/>
    <s v="Sonlandı"/>
  </r>
  <r>
    <s v="Begüm Hayta"/>
    <x v="2"/>
    <s v="TAVUK DÜNYASI"/>
    <n v="0"/>
    <n v="0"/>
    <n v="0"/>
    <n v="0"/>
    <s v="Sonlandı"/>
    <n v="4"/>
    <n v="4"/>
    <x v="103"/>
    <x v="0"/>
    <x v="1"/>
    <s v="Yok"/>
    <s v="Hayır"/>
    <s v="İstanbul"/>
    <s v="Stokbar"/>
    <s v="Sonlandı"/>
  </r>
  <r>
    <s v="Begüm Hayta"/>
    <x v="4"/>
    <s v="TCHIBO"/>
    <n v="2773248.0931879999"/>
    <n v="76631.89"/>
    <n v="4326267.02537328"/>
    <n v="119545.7484"/>
    <s v="Aktif"/>
    <n v="3"/>
    <n v="3"/>
    <x v="104"/>
    <x v="0"/>
    <x v="37"/>
    <s v="Var"/>
    <s v="Hayır"/>
    <s v="İstanbul"/>
    <s v="Enroute"/>
    <s v="Hayır"/>
  </r>
  <r>
    <s v="Begüm Hayta"/>
    <x v="3"/>
    <s v="TOGG"/>
    <n v="1706531.25"/>
    <n v="669756.82000000007"/>
    <n v="2662188.75"/>
    <n v="1044820.6392000001"/>
    <s v="Aktif"/>
    <s v="Key Account"/>
    <s v="Key Account"/>
    <x v="105"/>
    <x v="2"/>
    <x v="38"/>
    <s v="Var"/>
    <s v="Hayır"/>
    <s v="İstanbul"/>
    <s v="Calldesk"/>
    <s v="Hayır"/>
  </r>
  <r>
    <s v="Nigar Uygun"/>
    <x v="2"/>
    <s v="TOLON"/>
    <n v="0"/>
    <n v="64728.32"/>
    <n v="0"/>
    <n v="100976.1792"/>
    <s v="Sonlandı"/>
    <n v="3"/>
    <n v="3"/>
    <x v="106"/>
    <x v="15"/>
    <x v="39"/>
    <s v="Yok"/>
    <s v="Hayır"/>
    <s v="İzmir"/>
    <s v="Varuna"/>
    <s v="Sonlandı"/>
  </r>
  <r>
    <s v="Mülkiye Akdoğaner"/>
    <x v="5"/>
    <s v="TORKU KONYA SEKER"/>
    <n v="0"/>
    <n v="589201.91999999993"/>
    <n v="0"/>
    <n v="919154.99519999989"/>
    <s v="Sonlandı"/>
    <n v="2"/>
    <n v="2"/>
    <x v="107"/>
    <x v="5"/>
    <x v="40"/>
    <s v="Yok"/>
    <s v="Hayır"/>
    <s v="Konya"/>
    <s v="Stokbar"/>
    <s v="Sonlandı"/>
  </r>
  <r>
    <s v="Onur Günay"/>
    <x v="2"/>
    <s v="TPI COMPOSITE"/>
    <n v="0"/>
    <n v="765000"/>
    <n v="0"/>
    <n v="1193400"/>
    <s v="Sonlandı"/>
    <n v="2"/>
    <n v="2"/>
    <x v="108"/>
    <x v="4"/>
    <x v="41"/>
    <s v="Yok"/>
    <s v="Hayır"/>
    <s v="İzmir"/>
    <s v="Stokbar"/>
    <s v="Sonlandı"/>
  </r>
  <r>
    <s v="Nigar Uygun"/>
    <x v="3"/>
    <s v="TRAKYA CAM &amp; PAŞABAHÇE"/>
    <m/>
    <n v="1987155.52"/>
    <n v="0"/>
    <n v="3099962.6112000002"/>
    <s v="Aktif"/>
    <n v="2"/>
    <n v="2"/>
    <x v="83"/>
    <x v="14"/>
    <x v="29"/>
    <s v="Yok"/>
    <s v="Hayır"/>
    <s v="İstanbul"/>
    <s v="Enroute"/>
    <s v="Hayır"/>
  </r>
  <r>
    <s v="Nigar Uygun"/>
    <x v="5"/>
    <s v="TURKISH DO &amp; CO"/>
    <n v="24500"/>
    <n v="658751"/>
    <n v="38220"/>
    <n v="1027651.56"/>
    <s v="Aktif"/>
    <n v="4"/>
    <n v="4"/>
    <x v="109"/>
    <x v="5"/>
    <x v="42"/>
    <s v="Var"/>
    <s v="Hayır"/>
    <s v="İstanbul"/>
    <s v="Stokbar"/>
    <s v="Hayır"/>
  </r>
  <r>
    <s v="Nigar Uygun"/>
    <x v="4"/>
    <s v="TURKTAB"/>
    <m/>
    <n v="2300000.2000000002"/>
    <n v="0"/>
    <n v="3588000.3120000004"/>
    <s v="Aktif"/>
    <n v="3"/>
    <n v="3"/>
    <x v="110"/>
    <x v="0"/>
    <x v="25"/>
    <s v="Yok"/>
    <s v="Hayır"/>
    <s v="İstanbul"/>
    <s v="Enroute"/>
    <s v="Hayır"/>
  </r>
  <r>
    <s v="Semih Balaban"/>
    <x v="5"/>
    <s v="TURKUAZ - KIRGIZİSTAN"/>
    <n v="611907.38959999999"/>
    <n v="950145"/>
    <n v="954575.52777599997"/>
    <n v="1482226.2"/>
    <s v="Aktif"/>
    <n v="1"/>
    <n v="1"/>
    <x v="111"/>
    <x v="0"/>
    <x v="18"/>
    <s v="Var"/>
    <s v="Hayır"/>
    <s v="Yurtdışı"/>
    <s v="Enroute"/>
    <s v="Hayır"/>
  </r>
  <r>
    <s v="Semih Balaban"/>
    <x v="4"/>
    <s v="ULUDAG IÇECEK"/>
    <n v="4560475.9790000003"/>
    <n v="5555128.540000001"/>
    <n v="7114342.5272400007"/>
    <n v="8666000.5224000011"/>
    <s v="Aktif"/>
    <s v="Key Account"/>
    <s v="Key Account"/>
    <x v="112"/>
    <x v="0"/>
    <x v="6"/>
    <s v="Var"/>
    <s v="Evet"/>
    <s v="Bursa"/>
    <s v="Enroute, Quest"/>
    <s v="Hayır"/>
  </r>
  <r>
    <s v="Mülkiye Akdoğaner"/>
    <x v="3"/>
    <s v="UNILEVER"/>
    <n v="6685506.5"/>
    <n v="2467529.3331999998"/>
    <n v="10429390.140000001"/>
    <n v="3849345.7597919996"/>
    <s v="Aktif"/>
    <n v="1"/>
    <s v="Key Account"/>
    <x v="113"/>
    <x v="0"/>
    <x v="0"/>
    <s v="Var"/>
    <s v="Hayır"/>
    <s v="İstanbul"/>
    <s v="Stokbar"/>
    <s v="Hayır"/>
  </r>
  <r>
    <s v="Begüm Hayta"/>
    <x v="2"/>
    <s v="ÜLKER"/>
    <n v="0"/>
    <n v="0"/>
    <n v="0"/>
    <n v="0"/>
    <s v="Sonlandı"/>
    <n v="1"/>
    <n v="1"/>
    <x v="114"/>
    <x v="0"/>
    <x v="24"/>
    <s v="Yok"/>
    <s v="Hayır"/>
    <s v="İstanbul"/>
    <s v="Quest"/>
    <s v="Sonlandı"/>
  </r>
  <r>
    <s v="Nigar Uygun"/>
    <x v="3"/>
    <s v="VILEDA"/>
    <m/>
    <n v="283334.33"/>
    <n v="0"/>
    <n v="442001.55480000004"/>
    <s v="Aktif"/>
    <n v="4"/>
    <n v="4"/>
    <x v="115"/>
    <x v="0"/>
    <x v="0"/>
    <s v="Var"/>
    <s v="Hayır"/>
    <s v="İstanbul"/>
    <s v="Quest"/>
    <s v="Hayır"/>
  </r>
  <r>
    <s v="Semih Balaban"/>
    <x v="5"/>
    <s v="VODAFONE"/>
    <n v="156000"/>
    <n v="460913.37"/>
    <n v="243360"/>
    <n v="719024.85719999997"/>
    <s v="Aktif"/>
    <n v="3"/>
    <n v="3"/>
    <x v="116"/>
    <x v="16"/>
    <x v="43"/>
    <s v="Var"/>
    <s v="Hayır"/>
    <s v="İstanbul"/>
    <s v="Enroute"/>
    <s v="Hayır"/>
  </r>
  <r>
    <s v="Begüm Hayta"/>
    <x v="3"/>
    <s v="WAGNER KABLO"/>
    <m/>
    <n v="293581.46000000002"/>
    <n v="0"/>
    <n v="457987.07760000008"/>
    <s v="Aktif"/>
    <n v="3"/>
    <n v="3"/>
    <x v="117"/>
    <x v="2"/>
    <x v="3"/>
    <s v="Var"/>
    <s v="Hayır"/>
    <s v="Antalya"/>
    <s v="Stokbar"/>
    <s v="Hayır"/>
  </r>
  <r>
    <s v="Begüm Hayta"/>
    <x v="4"/>
    <s v="WEIUTNAER"/>
    <n v="1255074.7054999999"/>
    <n v="393748.66"/>
    <n v="1957916.54058"/>
    <n v="614247.90960000001"/>
    <s v="Aktif"/>
    <n v="2"/>
    <n v="2"/>
    <x v="118"/>
    <x v="0"/>
    <x v="13"/>
    <s v="Var"/>
    <s v="Hayır"/>
    <s v="İstanbul"/>
    <s v="Enroute"/>
    <s v="Hayır"/>
  </r>
  <r>
    <s v="Mülkiye Akdoğaner"/>
    <x v="0"/>
    <s v="MAGNUM AŞ"/>
    <m/>
    <m/>
    <n v="0"/>
    <n v="0"/>
    <s v="Aktif"/>
    <s v="Key Account"/>
    <s v="Key Account"/>
    <x v="119"/>
    <x v="0"/>
    <x v="24"/>
    <s v="Var"/>
    <s v="Hayır"/>
    <s v="İstanbul"/>
    <s v="Stokbar"/>
    <s v="Hayır"/>
  </r>
  <r>
    <s v="E-Dönüşüm"/>
    <x v="6"/>
    <s v="E-Dönüşüm"/>
    <n v="25326464"/>
    <m/>
    <n v="75979392"/>
    <m/>
    <s v="Aktif"/>
    <m/>
    <m/>
    <x v="120"/>
    <x v="17"/>
    <x v="44"/>
    <s v="Var"/>
    <m/>
    <m/>
    <s v="E-Dönüşüm"/>
    <m/>
  </r>
  <r>
    <s v="Iş Ortaklıkları"/>
    <x v="7"/>
    <s v="Iş Ortaklıkları"/>
    <n v="13151435.928599998"/>
    <m/>
    <m/>
    <m/>
    <s v="Aktif"/>
    <m/>
    <m/>
    <x v="121"/>
    <x v="18"/>
    <x v="45"/>
    <s v="Var"/>
    <m/>
    <m/>
    <s v="Iş Ortaklıkları"/>
    <m/>
  </r>
  <r>
    <s v="BFG"/>
    <x v="8"/>
    <s v="BFG"/>
    <n v="4980743"/>
    <m/>
    <n v="16436451.899999999"/>
    <m/>
    <s v="Aktif"/>
    <m/>
    <m/>
    <x v="122"/>
    <x v="19"/>
    <x v="46"/>
    <s v="Var"/>
    <m/>
    <m/>
    <s v="BFG"/>
    <m/>
  </r>
  <r>
    <s v="Param Grup"/>
    <x v="9"/>
    <s v="Grup Şirketleri"/>
    <n v="5820315"/>
    <m/>
    <m/>
    <n v="7566409.5"/>
    <s v="Aktif"/>
    <m/>
    <m/>
    <x v="123"/>
    <x v="20"/>
    <x v="4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65F3C-828E-C246-B330-D70442F1D10F}" name="PivotTable8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8">
    <pivotField showAll="0"/>
    <pivotField axis="axisCol" showAll="0">
      <items count="15">
        <item x="0"/>
        <item h="1" x="8"/>
        <item h="1" x="6"/>
        <item h="1" m="1" x="11"/>
        <item h="1" x="2"/>
        <item h="1" x="7"/>
        <item x="4"/>
        <item x="3"/>
        <item m="1" x="10"/>
        <item m="1" x="12"/>
        <item m="1" x="13"/>
        <item x="1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3">
        <item sd="0" x="3"/>
        <item sd="0" x="19"/>
        <item sd="0" x="9"/>
        <item sd="0" x="14"/>
        <item sd="0" x="17"/>
        <item sd="0" x="11"/>
        <item sd="0" x="15"/>
        <item sd="0" x="4"/>
        <item sd="0" x="0"/>
        <item sd="0" m="1" x="21"/>
        <item sd="0" x="7"/>
        <item sd="0" x="12"/>
        <item sd="0" x="6"/>
        <item sd="0" x="18"/>
        <item sd="0" x="8"/>
        <item sd="0" x="2"/>
        <item sd="0" x="13"/>
        <item sd="0" x="1"/>
        <item sd="0" x="10"/>
        <item sd="0" x="16"/>
        <item sd="0" x="5"/>
        <item sd="0" x="20"/>
        <item t="default" sd="0"/>
      </items>
    </pivotField>
    <pivotField axis="axisRow" showAll="0">
      <items count="50">
        <item x="23"/>
        <item x="13"/>
        <item x="24"/>
        <item x="31"/>
        <item x="4"/>
        <item x="46"/>
        <item x="27"/>
        <item x="39"/>
        <item x="15"/>
        <item x="18"/>
        <item x="16"/>
        <item x="44"/>
        <item x="34"/>
        <item x="33"/>
        <item x="38"/>
        <item x="7"/>
        <item x="28"/>
        <item x="1"/>
        <item x="40"/>
        <item m="1" x="48"/>
        <item x="42"/>
        <item x="6"/>
        <item x="36"/>
        <item x="45"/>
        <item x="37"/>
        <item x="14"/>
        <item x="30"/>
        <item x="12"/>
        <item x="21"/>
        <item x="35"/>
        <item x="17"/>
        <item x="26"/>
        <item x="43"/>
        <item x="11"/>
        <item x="3"/>
        <item x="22"/>
        <item x="5"/>
        <item x="32"/>
        <item x="41"/>
        <item x="2"/>
        <item x="19"/>
        <item x="0"/>
        <item x="8"/>
        <item x="9"/>
        <item x="25"/>
        <item x="29"/>
        <item x="10"/>
        <item x="20"/>
        <item x="47"/>
        <item t="default"/>
      </items>
    </pivotField>
    <pivotField showAll="0"/>
    <pivotField showAll="0"/>
    <pivotField dataField="1" showAll="0"/>
    <pivotField showAll="0"/>
    <pivotField showAll="0"/>
  </pivotFields>
  <rowFields count="2">
    <field x="11"/>
    <field x="12"/>
  </rowFields>
  <rowItems count="17">
    <i>
      <x/>
    </i>
    <i>
      <x v="2"/>
    </i>
    <i>
      <x v="3"/>
    </i>
    <i>
      <x v="5"/>
    </i>
    <i>
      <x v="7"/>
    </i>
    <i>
      <x v="8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1"/>
  </colFields>
  <colItems count="7">
    <i>
      <x/>
    </i>
    <i>
      <x v="6"/>
    </i>
    <i>
      <x v="7"/>
    </i>
    <i>
      <x v="11"/>
    </i>
    <i>
      <x v="12"/>
    </i>
    <i>
      <x v="13"/>
    </i>
    <i t="grand">
      <x/>
    </i>
  </colItems>
  <dataFields count="1">
    <dataField name="Count of Şehir" fld="15" subtotal="count" baseField="0" baseItem="0"/>
  </dataFields>
  <formats count="26">
    <format dxfId="25">
      <pivotArea field="11" type="button" dataOnly="0" labelOnly="1" outline="0" axis="axisRow" fieldPosition="0"/>
    </format>
    <format dxfId="24">
      <pivotArea outline="0" collapsedLevelsAreSubtotals="1" fieldPosition="0"/>
    </format>
    <format dxfId="23">
      <pivotArea field="1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Col="1" outline="0" fieldPosition="0"/>
    </format>
    <format dxfId="19">
      <pivotArea outline="0" collapsedLevelsAreSubtotals="1" fieldPosition="0"/>
    </format>
    <format dxfId="18">
      <pivotArea field="1" type="button" dataOnly="0" labelOnly="1" outline="0" axis="axisCol" fieldPosition="0"/>
    </format>
    <format dxfId="17">
      <pivotArea type="topRight" dataOnly="0" labelOnly="1" outline="0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Col="1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Col" fieldPosition="0"/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1" type="button" dataOnly="0" labelOnly="1" outline="0" axis="axisRow" fieldPosition="0"/>
    </format>
    <format dxfId="3">
      <pivotArea dataOnly="0" labelOnly="1" fieldPosition="0">
        <references count="1">
          <reference field="11" count="16">
            <x v="0"/>
            <x v="2"/>
            <x v="3"/>
            <x v="5"/>
            <x v="7"/>
            <x v="8"/>
            <x v="9"/>
            <x v="11"/>
            <x v="12"/>
            <x v="14"/>
            <x v="15"/>
            <x v="16"/>
            <x v="17"/>
            <x v="18"/>
            <x v="19"/>
            <x v="20"/>
          </reference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03A7C-147D-624F-B17E-660D438EB605}" name="PivotTable11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0:M54" firstHeaderRow="1" firstDataRow="2" firstDataCol="1" rowPageCount="1" colPageCount="1"/>
  <pivotFields count="38"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axis="axisRow" showAll="0">
      <items count="821">
        <item x="366"/>
        <item x="515"/>
        <item x="390"/>
        <item x="242"/>
        <item x="729"/>
        <item x="707"/>
        <item x="686"/>
        <item x="80"/>
        <item x="800"/>
        <item x="367"/>
        <item x="794"/>
        <item x="525"/>
        <item x="618"/>
        <item x="217"/>
        <item x="692"/>
        <item x="558"/>
        <item x="559"/>
        <item x="272"/>
        <item x="401"/>
        <item x="158"/>
        <item x="509"/>
        <item x="590"/>
        <item x="587"/>
        <item x="289"/>
        <item x="680"/>
        <item x="450"/>
        <item x="632"/>
        <item x="624"/>
        <item x="637"/>
        <item x="286"/>
        <item x="331"/>
        <item x="19"/>
        <item x="16"/>
        <item x="288"/>
        <item x="65"/>
        <item x="519"/>
        <item x="437"/>
        <item x="578"/>
        <item x="712"/>
        <item x="673"/>
        <item x="127"/>
        <item x="387"/>
        <item x="391"/>
        <item x="792"/>
        <item x="634"/>
        <item x="126"/>
        <item x="393"/>
        <item x="392"/>
        <item x="176"/>
        <item x="479"/>
        <item x="245"/>
        <item x="122"/>
        <item x="814"/>
        <item x="83"/>
        <item x="198"/>
        <item x="350"/>
        <item x="737"/>
        <item x="646"/>
        <item x="779"/>
        <item x="262"/>
        <item x="394"/>
        <item x="324"/>
        <item x="395"/>
        <item x="177"/>
        <item x="480"/>
        <item x="79"/>
        <item x="718"/>
        <item x="722"/>
        <item x="78"/>
        <item x="424"/>
        <item x="258"/>
        <item x="209"/>
        <item x="472"/>
        <item x="685"/>
        <item x="462"/>
        <item x="464"/>
        <item x="580"/>
        <item x="208"/>
        <item x="474"/>
        <item x="365"/>
        <item x="107"/>
        <item x="274"/>
        <item x="399"/>
        <item x="396"/>
        <item x="269"/>
        <item x="211"/>
        <item x="165"/>
        <item x="481"/>
        <item x="361"/>
        <item x="696"/>
        <item x="676"/>
        <item x="527"/>
        <item x="156"/>
        <item x="52"/>
        <item x="265"/>
        <item x="789"/>
        <item x="246"/>
        <item x="438"/>
        <item x="68"/>
        <item x="98"/>
        <item x="746"/>
        <item x="48"/>
        <item x="403"/>
        <item x="167"/>
        <item x="488"/>
        <item x="671"/>
        <item x="660"/>
        <item x="743"/>
        <item x="540"/>
        <item x="530"/>
        <item x="380"/>
        <item x="579"/>
        <item x="168"/>
        <item x="249"/>
        <item x="725"/>
        <item x="687"/>
        <item x="330"/>
        <item x="702"/>
        <item x="354"/>
        <item x="266"/>
        <item x="356"/>
        <item x="402"/>
        <item x="784"/>
        <item x="762"/>
        <item x="178"/>
        <item x="489"/>
        <item x="404"/>
        <item x="799"/>
        <item x="115"/>
        <item x="586"/>
        <item x="275"/>
        <item x="664"/>
        <item x="333"/>
        <item x="224"/>
        <item x="405"/>
        <item x="203"/>
        <item x="730"/>
        <item x="134"/>
        <item x="665"/>
        <item x="413"/>
        <item x="414"/>
        <item x="30"/>
        <item x="406"/>
        <item x="238"/>
        <item x="663"/>
        <item x="142"/>
        <item x="407"/>
        <item x="370"/>
        <item x="35"/>
        <item x="408"/>
        <item x="772"/>
        <item x="307"/>
        <item x="179"/>
        <item x="482"/>
        <item x="28"/>
        <item x="759"/>
        <item x="111"/>
        <item x="180"/>
        <item x="490"/>
        <item x="41"/>
        <item x="409"/>
        <item x="735"/>
        <item x="695"/>
        <item x="181"/>
        <item x="483"/>
        <item x="658"/>
        <item x="796"/>
        <item x="670"/>
        <item x="662"/>
        <item x="416"/>
        <item x="50"/>
        <item x="415"/>
        <item x="411"/>
        <item x="420"/>
        <item x="182"/>
        <item x="484"/>
        <item x="76"/>
        <item x="283"/>
        <item x="802"/>
        <item x="742"/>
        <item x="378"/>
        <item x="207"/>
        <item x="465"/>
        <item x="727"/>
        <item x="332"/>
        <item x="715"/>
        <item x="195"/>
        <item x="421"/>
        <item x="5"/>
        <item x="422"/>
        <item x="701"/>
        <item x="417"/>
        <item x="427"/>
        <item x="250"/>
        <item x="428"/>
        <item x="787"/>
        <item x="260"/>
        <item x="619"/>
        <item x="123"/>
        <item x="429"/>
        <item x="25"/>
        <item x="430"/>
        <item x="154"/>
        <item x="778"/>
        <item x="33"/>
        <item x="431"/>
        <item x="44"/>
        <item x="273"/>
        <item x="747"/>
        <item x="183"/>
        <item x="485"/>
        <item x="162"/>
        <item x="491"/>
        <item x="363"/>
        <item x="750"/>
        <item x="38"/>
        <item x="467"/>
        <item x="136"/>
        <item x="202"/>
        <item x="475"/>
        <item x="155"/>
        <item x="439"/>
        <item x="279"/>
        <item x="610"/>
        <item x="102"/>
        <item x="147"/>
        <item x="316"/>
        <item x="72"/>
        <item x="520"/>
        <item x="819"/>
        <item x="622"/>
        <item x="64"/>
        <item x="445"/>
        <item x="447"/>
        <item x="36"/>
        <item x="63"/>
        <item x="296"/>
        <item x="669"/>
        <item x="793"/>
        <item x="39"/>
        <item x="235"/>
        <item x="768"/>
        <item x="108"/>
        <item x="471"/>
        <item x="463"/>
        <item x="45"/>
        <item x="573"/>
        <item x="341"/>
        <item x="199"/>
        <item x="313"/>
        <item x="633"/>
        <item x="627"/>
        <item x="448"/>
        <item x="150"/>
        <item x="597"/>
        <item x="373"/>
        <item x="434"/>
        <item x="210"/>
        <item x="473"/>
        <item x="204"/>
        <item x="468"/>
        <item x="728"/>
        <item x="51"/>
        <item x="228"/>
        <item x="690"/>
        <item x="329"/>
        <item x="749"/>
        <item x="436"/>
        <item x="620"/>
        <item x="621"/>
        <item x="34"/>
        <item x="652"/>
        <item x="648"/>
        <item x="714"/>
        <item x="435"/>
        <item x="769"/>
        <item x="239"/>
        <item x="149"/>
        <item x="557"/>
        <item x="657"/>
        <item x="541"/>
        <item x="453"/>
        <item x="765"/>
        <item x="733"/>
        <item x="109"/>
        <item x="139"/>
        <item x="451"/>
        <item x="74"/>
        <item x="352"/>
        <item x="785"/>
        <item x="425"/>
        <item x="809"/>
        <item x="545"/>
        <item x="531"/>
        <item x="81"/>
        <item x="452"/>
        <item x="382"/>
        <item x="281"/>
        <item x="86"/>
        <item x="309"/>
        <item x="346"/>
        <item x="456"/>
        <item x="640"/>
        <item x="62"/>
        <item x="775"/>
        <item x="184"/>
        <item x="487"/>
        <item x="442"/>
        <item x="29"/>
        <item x="675"/>
        <item x="268"/>
        <item x="271"/>
        <item x="398"/>
        <item x="270"/>
        <item x="397"/>
        <item x="400"/>
        <item x="103"/>
        <item x="66"/>
        <item x="106"/>
        <item x="653"/>
        <item x="817"/>
        <item x="412"/>
        <item x="721"/>
        <item x="119"/>
        <item x="700"/>
        <item x="383"/>
        <item x="790"/>
        <item x="54"/>
        <item x="631"/>
        <item x="626"/>
        <item x="767"/>
        <item x="745"/>
        <item x="218"/>
        <item x="144"/>
        <item x="335"/>
        <item x="112"/>
        <item x="369"/>
        <item x="458"/>
        <item x="205"/>
        <item x="457"/>
        <item x="364"/>
        <item x="225"/>
        <item x="342"/>
        <item x="284"/>
        <item x="694"/>
        <item x="222"/>
        <item x="459"/>
        <item x="645"/>
        <item x="212"/>
        <item x="461"/>
        <item x="460"/>
        <item x="301"/>
        <item x="355"/>
        <item x="641"/>
        <item x="77"/>
        <item x="771"/>
        <item x="216"/>
        <item x="223"/>
        <item x="320"/>
        <item x="697"/>
        <item x="58"/>
        <item x="153"/>
        <item x="455"/>
        <item x="26"/>
        <item x="67"/>
        <item x="538"/>
        <item x="113"/>
        <item x="477"/>
        <item x="741"/>
        <item x="410"/>
        <item x="252"/>
        <item x="441"/>
        <item x="811"/>
        <item x="532"/>
        <item x="542"/>
        <item x="783"/>
        <item x="21"/>
        <item x="511"/>
        <item x="151"/>
        <item x="478"/>
        <item x="32"/>
        <item x="513"/>
        <item x="512"/>
        <item x="308"/>
        <item x="719"/>
        <item x="169"/>
        <item x="486"/>
        <item x="287"/>
        <item x="781"/>
        <item x="659"/>
        <item x="698"/>
        <item x="629"/>
        <item x="638"/>
        <item x="672"/>
        <item x="314"/>
        <item x="522"/>
        <item x="654"/>
        <item x="353"/>
        <item x="20"/>
        <item x="777"/>
        <item x="808"/>
        <item x="192"/>
        <item x="788"/>
        <item x="75"/>
        <item x="526"/>
        <item x="753"/>
        <item x="674"/>
        <item x="241"/>
        <item x="185"/>
        <item x="492"/>
        <item x="708"/>
        <item x="351"/>
        <item x="105"/>
        <item x="426"/>
        <item x="196"/>
        <item x="191"/>
        <item x="97"/>
        <item x="237"/>
        <item x="533"/>
        <item x="539"/>
        <item x="131"/>
        <item x="159"/>
        <item x="493"/>
        <item x="389"/>
        <item x="60"/>
        <item x="11"/>
        <item x="528"/>
        <item x="677"/>
        <item x="328"/>
        <item x="816"/>
        <item x="651"/>
        <item x="734"/>
        <item x="605"/>
        <item x="656"/>
        <item x="744"/>
        <item x="339"/>
        <item x="47"/>
        <item x="529"/>
        <item x="43"/>
        <item x="236"/>
        <item x="343"/>
        <item x="3"/>
        <item x="537"/>
        <item x="261"/>
        <item x="23"/>
        <item x="523"/>
        <item x="88"/>
        <item x="546"/>
        <item x="114"/>
        <item x="666"/>
        <item x="596"/>
        <item x="554"/>
        <item x="140"/>
        <item x="510"/>
        <item x="57"/>
        <item x="444"/>
        <item x="443"/>
        <item x="547"/>
        <item x="100"/>
        <item x="726"/>
        <item x="240"/>
        <item x="806"/>
        <item x="776"/>
        <item x="22"/>
        <item x="548"/>
        <item x="362"/>
        <item x="374"/>
        <item x="549"/>
        <item x="13"/>
        <item x="755"/>
        <item x="518"/>
        <item x="121"/>
        <item x="550"/>
        <item x="724"/>
        <item x="305"/>
        <item x="583"/>
        <item x="760"/>
        <item x="758"/>
        <item x="551"/>
        <item x="423"/>
        <item x="738"/>
        <item x="418"/>
        <item x="576"/>
        <item x="574"/>
        <item x="101"/>
        <item x="27"/>
        <item x="384"/>
        <item x="9"/>
        <item x="552"/>
        <item x="647"/>
        <item x="303"/>
        <item x="379"/>
        <item x="12"/>
        <item x="517"/>
        <item x="40"/>
        <item x="639"/>
        <item x="813"/>
        <item x="15"/>
        <item x="117"/>
        <item x="219"/>
        <item x="553"/>
        <item x="24"/>
        <item x="295"/>
        <item x="345"/>
        <item x="116"/>
        <item x="358"/>
        <item x="348"/>
        <item x="703"/>
        <item x="385"/>
        <item x="798"/>
        <item x="349"/>
        <item x="371"/>
        <item x="432"/>
        <item x="130"/>
        <item x="555"/>
        <item x="556"/>
        <item x="10"/>
        <item x="375"/>
        <item x="312"/>
        <item x="717"/>
        <item x="388"/>
        <item x="561"/>
        <item x="148"/>
        <item x="138"/>
        <item x="577"/>
        <item x="318"/>
        <item x="257"/>
        <item x="716"/>
        <item x="94"/>
        <item x="562"/>
        <item x="818"/>
        <item x="563"/>
        <item x="7"/>
        <item x="761"/>
        <item x="337"/>
        <item x="206"/>
        <item x="466"/>
        <item x="564"/>
        <item x="565"/>
        <item x="344"/>
        <item x="764"/>
        <item x="323"/>
        <item x="175"/>
        <item x="494"/>
        <item x="227"/>
        <item x="311"/>
        <item x="567"/>
        <item x="280"/>
        <item x="215"/>
        <item x="247"/>
        <item x="763"/>
        <item x="679"/>
        <item x="688"/>
        <item x="536"/>
        <item x="543"/>
        <item x="220"/>
        <item x="326"/>
        <item x="693"/>
        <item x="163"/>
        <item x="495"/>
        <item x="14"/>
        <item x="166"/>
        <item x="496"/>
        <item x="141"/>
        <item x="713"/>
        <item x="756"/>
        <item x="164"/>
        <item x="497"/>
        <item x="357"/>
        <item x="251"/>
        <item x="569"/>
        <item x="661"/>
        <item x="723"/>
        <item x="795"/>
        <item x="292"/>
        <item x="70"/>
        <item x="732"/>
        <item x="433"/>
        <item x="782"/>
        <item x="267"/>
        <item x="243"/>
        <item x="709"/>
        <item x="689"/>
        <item x="49"/>
        <item x="773"/>
        <item x="322"/>
        <item x="601"/>
        <item x="815"/>
        <item x="570"/>
        <item x="46"/>
        <item x="602"/>
        <item x="613"/>
        <item x="609"/>
        <item x="604"/>
        <item x="368"/>
        <item x="797"/>
        <item x="42"/>
        <item x="572"/>
        <item x="6"/>
        <item x="566"/>
        <item x="300"/>
        <item x="170"/>
        <item x="37"/>
        <item x="810"/>
        <item x="516"/>
        <item x="315"/>
        <item x="503"/>
        <item x="476"/>
        <item x="129"/>
        <item x="386"/>
        <item x="306"/>
        <item x="230"/>
        <item x="200"/>
        <item x="469"/>
        <item x="740"/>
        <item x="625"/>
        <item x="635"/>
        <item x="55"/>
        <item x="56"/>
        <item x="575"/>
        <item x="0"/>
        <item x="582"/>
        <item x="186"/>
        <item x="498"/>
        <item x="61"/>
        <item x="584"/>
        <item x="319"/>
        <item x="720"/>
        <item x="786"/>
        <item x="187"/>
        <item x="499"/>
        <item x="446"/>
        <item x="812"/>
        <item x="699"/>
        <item x="229"/>
        <item x="171"/>
        <item x="500"/>
        <item x="372"/>
        <item x="774"/>
        <item x="440"/>
        <item x="294"/>
        <item x="89"/>
        <item x="120"/>
        <item x="568"/>
        <item x="277"/>
        <item x="588"/>
        <item x="589"/>
        <item x="59"/>
        <item x="736"/>
        <item x="99"/>
        <item x="160"/>
        <item x="504"/>
        <item x="232"/>
        <item x="263"/>
        <item x="145"/>
        <item x="221"/>
        <item x="592"/>
        <item x="87"/>
        <item x="766"/>
        <item x="780"/>
        <item x="293"/>
        <item x="84"/>
        <item x="188"/>
        <item x="501"/>
        <item x="172"/>
        <item x="505"/>
        <item x="110"/>
        <item x="213"/>
        <item x="591"/>
        <item x="325"/>
        <item x="359"/>
        <item x="791"/>
        <item x="152"/>
        <item x="231"/>
        <item x="691"/>
        <item x="534"/>
        <item x="1"/>
        <item x="593"/>
        <item x="53"/>
        <item x="256"/>
        <item x="595"/>
        <item x="173"/>
        <item x="502"/>
        <item x="684"/>
        <item x="96"/>
        <item x="276"/>
        <item x="327"/>
        <item x="157"/>
        <item x="801"/>
        <item x="334"/>
        <item x="214"/>
        <item x="807"/>
        <item x="731"/>
        <item x="2"/>
        <item x="4"/>
        <item x="594"/>
        <item x="340"/>
        <item x="710"/>
        <item x="449"/>
        <item x="31"/>
        <item x="244"/>
        <item x="598"/>
        <item x="599"/>
        <item x="302"/>
        <item x="581"/>
        <item x="259"/>
        <item x="681"/>
        <item x="770"/>
        <item x="17"/>
        <item x="91"/>
        <item x="615"/>
        <item x="264"/>
        <item x="135"/>
        <item x="133"/>
        <item x="124"/>
        <item x="125"/>
        <item x="655"/>
        <item x="310"/>
        <item x="95"/>
        <item x="128"/>
        <item x="706"/>
        <item x="711"/>
        <item x="748"/>
        <item x="757"/>
        <item x="454"/>
        <item x="137"/>
        <item x="226"/>
        <item x="278"/>
        <item x="360"/>
        <item x="90"/>
        <item x="603"/>
        <item x="608"/>
        <item x="614"/>
        <item x="611"/>
        <item x="705"/>
        <item x="612"/>
        <item x="85"/>
        <item x="524"/>
        <item x="71"/>
        <item x="607"/>
        <item x="234"/>
        <item x="571"/>
        <item x="132"/>
        <item x="600"/>
        <item x="682"/>
        <item x="321"/>
        <item x="616"/>
        <item x="18"/>
        <item x="704"/>
        <item x="285"/>
        <item x="667"/>
        <item x="739"/>
        <item x="560"/>
        <item x="617"/>
        <item x="248"/>
        <item x="104"/>
        <item x="290"/>
        <item x="630"/>
        <item x="8"/>
        <item x="143"/>
        <item x="606"/>
        <item x="683"/>
        <item x="381"/>
        <item x="194"/>
        <item x="585"/>
        <item x="201"/>
        <item x="470"/>
        <item x="253"/>
        <item x="376"/>
        <item x="193"/>
        <item x="642"/>
        <item x="254"/>
        <item x="751"/>
        <item x="643"/>
        <item x="644"/>
        <item x="336"/>
        <item x="650"/>
        <item x="649"/>
        <item x="377"/>
        <item x="92"/>
        <item x="146"/>
        <item x="282"/>
        <item x="82"/>
        <item x="678"/>
        <item x="291"/>
        <item x="419"/>
        <item x="338"/>
        <item x="317"/>
        <item x="174"/>
        <item x="506"/>
        <item x="73"/>
        <item x="69"/>
        <item x="93"/>
        <item x="190"/>
        <item x="255"/>
        <item x="347"/>
        <item x="514"/>
        <item x="521"/>
        <item x="161"/>
        <item x="507"/>
        <item x="304"/>
        <item x="118"/>
        <item x="668"/>
        <item x="233"/>
        <item x="544"/>
        <item x="535"/>
        <item x="628"/>
        <item x="804"/>
        <item x="299"/>
        <item x="297"/>
        <item x="803"/>
        <item x="298"/>
        <item x="805"/>
        <item x="623"/>
        <item x="636"/>
        <item x="752"/>
        <item x="189"/>
        <item x="508"/>
        <item x="197"/>
        <item x="754"/>
        <item t="default"/>
      </items>
    </pivotField>
    <pivotField showAll="0"/>
    <pivotField showAll="0"/>
    <pivotField showAll="0"/>
    <pivotField showAll="0"/>
    <pivotField axis="axisCol" showAll="0">
      <items count="11">
        <item x="8"/>
        <item x="0"/>
        <item x="5"/>
        <item x="4"/>
        <item x="6"/>
        <item x="7"/>
        <item x="2"/>
        <item x="1"/>
        <item x="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sd="0" x="1"/>
        <item sd="0" x="11"/>
        <item sd="0" x="5"/>
        <item sd="0" x="10"/>
        <item sd="0" x="9"/>
        <item sd="0" x="7"/>
        <item sd="0" x="8"/>
        <item sd="0" x="3"/>
        <item sd="0" x="6"/>
        <item sd="0" x="4"/>
        <item sd="0" x="2"/>
        <item sd="0" x="0"/>
        <item t="default" sd="0"/>
      </items>
    </pivotField>
  </pivotFields>
  <rowFields count="2">
    <field x="37"/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4" hier="-1"/>
  </pageFields>
  <dataFields count="1">
    <dataField name="Sum of Net Satış" fld="2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66E52-9125-DD44-9654-B2FF43E7DA3B}" name="PivotTable3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1:M55" firstHeaderRow="1" firstDataRow="2" firstDataCol="1" rowPageCount="1" colPageCount="1"/>
  <pivotFields count="38"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  <pivotField axis="axisRow" showAll="0">
      <items count="821">
        <item x="366"/>
        <item x="515"/>
        <item x="390"/>
        <item x="242"/>
        <item x="729"/>
        <item x="707"/>
        <item x="686"/>
        <item x="80"/>
        <item x="800"/>
        <item x="367"/>
        <item x="794"/>
        <item x="525"/>
        <item x="618"/>
        <item x="217"/>
        <item x="692"/>
        <item x="558"/>
        <item x="559"/>
        <item x="272"/>
        <item x="401"/>
        <item x="158"/>
        <item x="509"/>
        <item x="590"/>
        <item x="587"/>
        <item x="289"/>
        <item x="680"/>
        <item x="450"/>
        <item x="632"/>
        <item x="624"/>
        <item x="637"/>
        <item x="286"/>
        <item x="331"/>
        <item x="19"/>
        <item x="16"/>
        <item x="288"/>
        <item x="65"/>
        <item x="519"/>
        <item x="437"/>
        <item x="578"/>
        <item x="712"/>
        <item x="673"/>
        <item x="127"/>
        <item x="387"/>
        <item x="391"/>
        <item x="792"/>
        <item x="634"/>
        <item x="126"/>
        <item x="393"/>
        <item x="392"/>
        <item x="176"/>
        <item x="479"/>
        <item x="245"/>
        <item x="122"/>
        <item x="814"/>
        <item x="83"/>
        <item x="198"/>
        <item x="350"/>
        <item x="737"/>
        <item x="646"/>
        <item x="779"/>
        <item x="262"/>
        <item x="394"/>
        <item x="324"/>
        <item x="395"/>
        <item x="177"/>
        <item x="480"/>
        <item x="79"/>
        <item x="718"/>
        <item x="722"/>
        <item x="78"/>
        <item x="424"/>
        <item x="258"/>
        <item x="209"/>
        <item x="472"/>
        <item x="685"/>
        <item x="462"/>
        <item x="464"/>
        <item x="580"/>
        <item x="208"/>
        <item x="474"/>
        <item x="365"/>
        <item x="107"/>
        <item x="274"/>
        <item x="399"/>
        <item x="396"/>
        <item x="269"/>
        <item x="211"/>
        <item x="165"/>
        <item x="481"/>
        <item x="361"/>
        <item x="696"/>
        <item x="676"/>
        <item x="527"/>
        <item x="156"/>
        <item x="52"/>
        <item x="265"/>
        <item x="789"/>
        <item x="246"/>
        <item x="438"/>
        <item x="68"/>
        <item x="98"/>
        <item x="746"/>
        <item x="48"/>
        <item x="403"/>
        <item x="167"/>
        <item x="488"/>
        <item x="671"/>
        <item x="660"/>
        <item x="743"/>
        <item x="540"/>
        <item x="530"/>
        <item x="380"/>
        <item x="579"/>
        <item x="168"/>
        <item x="249"/>
        <item x="725"/>
        <item x="687"/>
        <item x="330"/>
        <item x="702"/>
        <item x="354"/>
        <item x="266"/>
        <item x="356"/>
        <item x="402"/>
        <item x="784"/>
        <item x="762"/>
        <item x="178"/>
        <item x="489"/>
        <item x="404"/>
        <item x="799"/>
        <item x="115"/>
        <item x="586"/>
        <item x="275"/>
        <item x="664"/>
        <item x="333"/>
        <item x="224"/>
        <item x="405"/>
        <item x="203"/>
        <item x="730"/>
        <item x="134"/>
        <item x="665"/>
        <item x="413"/>
        <item x="414"/>
        <item x="30"/>
        <item x="406"/>
        <item x="238"/>
        <item x="663"/>
        <item x="142"/>
        <item x="407"/>
        <item x="370"/>
        <item x="35"/>
        <item x="408"/>
        <item x="772"/>
        <item x="307"/>
        <item x="179"/>
        <item x="482"/>
        <item x="28"/>
        <item x="759"/>
        <item x="111"/>
        <item x="180"/>
        <item x="490"/>
        <item x="41"/>
        <item x="409"/>
        <item x="735"/>
        <item x="695"/>
        <item x="181"/>
        <item x="483"/>
        <item x="658"/>
        <item x="796"/>
        <item x="670"/>
        <item x="662"/>
        <item x="416"/>
        <item x="50"/>
        <item x="415"/>
        <item x="411"/>
        <item x="420"/>
        <item x="182"/>
        <item x="484"/>
        <item x="76"/>
        <item x="283"/>
        <item x="802"/>
        <item x="742"/>
        <item x="378"/>
        <item x="207"/>
        <item x="465"/>
        <item x="727"/>
        <item x="332"/>
        <item x="715"/>
        <item x="195"/>
        <item x="421"/>
        <item x="5"/>
        <item x="422"/>
        <item x="701"/>
        <item x="417"/>
        <item x="427"/>
        <item x="250"/>
        <item x="428"/>
        <item x="787"/>
        <item x="260"/>
        <item x="619"/>
        <item x="123"/>
        <item x="429"/>
        <item x="25"/>
        <item x="430"/>
        <item x="154"/>
        <item x="778"/>
        <item x="33"/>
        <item x="431"/>
        <item x="44"/>
        <item x="273"/>
        <item x="747"/>
        <item x="183"/>
        <item x="485"/>
        <item x="162"/>
        <item x="491"/>
        <item x="363"/>
        <item x="750"/>
        <item x="38"/>
        <item x="467"/>
        <item x="136"/>
        <item x="202"/>
        <item x="475"/>
        <item x="155"/>
        <item x="439"/>
        <item x="279"/>
        <item x="610"/>
        <item x="102"/>
        <item x="147"/>
        <item x="316"/>
        <item x="72"/>
        <item x="520"/>
        <item x="819"/>
        <item x="622"/>
        <item x="64"/>
        <item x="445"/>
        <item x="447"/>
        <item x="36"/>
        <item x="63"/>
        <item x="296"/>
        <item x="669"/>
        <item x="793"/>
        <item x="39"/>
        <item x="235"/>
        <item x="768"/>
        <item x="108"/>
        <item x="471"/>
        <item x="463"/>
        <item x="45"/>
        <item x="573"/>
        <item x="341"/>
        <item x="199"/>
        <item x="313"/>
        <item x="633"/>
        <item x="627"/>
        <item x="448"/>
        <item x="150"/>
        <item x="597"/>
        <item x="373"/>
        <item x="434"/>
        <item x="210"/>
        <item x="473"/>
        <item x="204"/>
        <item x="468"/>
        <item x="728"/>
        <item x="51"/>
        <item x="228"/>
        <item x="690"/>
        <item x="329"/>
        <item x="749"/>
        <item x="436"/>
        <item x="620"/>
        <item x="621"/>
        <item x="34"/>
        <item x="652"/>
        <item x="648"/>
        <item x="714"/>
        <item x="435"/>
        <item x="769"/>
        <item x="239"/>
        <item x="149"/>
        <item x="557"/>
        <item x="657"/>
        <item x="541"/>
        <item x="453"/>
        <item x="765"/>
        <item x="733"/>
        <item x="109"/>
        <item x="139"/>
        <item x="451"/>
        <item x="74"/>
        <item x="352"/>
        <item x="785"/>
        <item x="425"/>
        <item x="809"/>
        <item x="545"/>
        <item x="531"/>
        <item x="81"/>
        <item x="452"/>
        <item x="382"/>
        <item x="281"/>
        <item x="86"/>
        <item x="309"/>
        <item x="346"/>
        <item x="456"/>
        <item x="640"/>
        <item x="62"/>
        <item x="775"/>
        <item x="184"/>
        <item x="487"/>
        <item x="442"/>
        <item x="29"/>
        <item x="675"/>
        <item x="268"/>
        <item x="271"/>
        <item x="398"/>
        <item x="270"/>
        <item x="397"/>
        <item x="400"/>
        <item x="103"/>
        <item x="66"/>
        <item x="106"/>
        <item x="653"/>
        <item x="817"/>
        <item x="412"/>
        <item x="721"/>
        <item x="119"/>
        <item x="700"/>
        <item x="383"/>
        <item x="790"/>
        <item x="54"/>
        <item x="631"/>
        <item x="626"/>
        <item x="767"/>
        <item x="745"/>
        <item x="218"/>
        <item x="144"/>
        <item x="335"/>
        <item x="112"/>
        <item x="369"/>
        <item x="458"/>
        <item x="205"/>
        <item x="457"/>
        <item x="364"/>
        <item x="225"/>
        <item x="342"/>
        <item x="284"/>
        <item x="694"/>
        <item x="222"/>
        <item x="459"/>
        <item x="645"/>
        <item x="212"/>
        <item x="461"/>
        <item x="460"/>
        <item x="301"/>
        <item x="355"/>
        <item x="641"/>
        <item x="77"/>
        <item x="771"/>
        <item x="216"/>
        <item x="223"/>
        <item x="320"/>
        <item x="697"/>
        <item x="58"/>
        <item x="153"/>
        <item x="455"/>
        <item x="26"/>
        <item x="67"/>
        <item x="538"/>
        <item x="113"/>
        <item x="477"/>
        <item x="741"/>
        <item x="410"/>
        <item x="252"/>
        <item x="441"/>
        <item x="811"/>
        <item x="532"/>
        <item x="542"/>
        <item x="783"/>
        <item x="21"/>
        <item x="511"/>
        <item x="151"/>
        <item x="478"/>
        <item x="32"/>
        <item x="513"/>
        <item x="512"/>
        <item x="308"/>
        <item x="719"/>
        <item x="169"/>
        <item x="486"/>
        <item x="287"/>
        <item x="781"/>
        <item x="659"/>
        <item x="698"/>
        <item x="629"/>
        <item x="638"/>
        <item x="672"/>
        <item x="314"/>
        <item x="522"/>
        <item x="654"/>
        <item x="353"/>
        <item x="20"/>
        <item x="777"/>
        <item x="808"/>
        <item x="192"/>
        <item x="788"/>
        <item x="75"/>
        <item x="526"/>
        <item x="753"/>
        <item x="674"/>
        <item x="241"/>
        <item x="185"/>
        <item x="492"/>
        <item x="708"/>
        <item x="351"/>
        <item x="105"/>
        <item x="426"/>
        <item x="196"/>
        <item x="191"/>
        <item x="97"/>
        <item x="237"/>
        <item x="533"/>
        <item x="539"/>
        <item x="131"/>
        <item x="159"/>
        <item x="493"/>
        <item x="389"/>
        <item x="60"/>
        <item x="11"/>
        <item x="528"/>
        <item x="677"/>
        <item x="328"/>
        <item x="816"/>
        <item x="651"/>
        <item x="734"/>
        <item x="605"/>
        <item x="656"/>
        <item x="744"/>
        <item x="339"/>
        <item x="47"/>
        <item x="529"/>
        <item x="43"/>
        <item x="236"/>
        <item x="343"/>
        <item x="3"/>
        <item x="537"/>
        <item x="261"/>
        <item x="23"/>
        <item x="523"/>
        <item x="88"/>
        <item x="546"/>
        <item x="114"/>
        <item x="666"/>
        <item x="596"/>
        <item x="554"/>
        <item x="140"/>
        <item x="510"/>
        <item x="57"/>
        <item x="444"/>
        <item x="443"/>
        <item x="547"/>
        <item x="100"/>
        <item x="726"/>
        <item x="240"/>
        <item x="806"/>
        <item x="776"/>
        <item x="22"/>
        <item x="548"/>
        <item x="362"/>
        <item x="374"/>
        <item x="549"/>
        <item x="13"/>
        <item x="755"/>
        <item x="518"/>
        <item x="121"/>
        <item x="550"/>
        <item x="724"/>
        <item x="305"/>
        <item x="583"/>
        <item x="760"/>
        <item x="758"/>
        <item x="551"/>
        <item x="423"/>
        <item x="738"/>
        <item x="418"/>
        <item x="576"/>
        <item x="574"/>
        <item x="101"/>
        <item x="27"/>
        <item x="384"/>
        <item x="9"/>
        <item x="552"/>
        <item x="647"/>
        <item x="303"/>
        <item x="379"/>
        <item x="12"/>
        <item x="517"/>
        <item x="40"/>
        <item x="639"/>
        <item x="813"/>
        <item x="15"/>
        <item x="117"/>
        <item x="219"/>
        <item x="553"/>
        <item x="24"/>
        <item x="295"/>
        <item x="345"/>
        <item x="116"/>
        <item x="358"/>
        <item x="348"/>
        <item x="703"/>
        <item x="385"/>
        <item x="798"/>
        <item x="349"/>
        <item x="371"/>
        <item x="432"/>
        <item x="130"/>
        <item x="555"/>
        <item x="556"/>
        <item x="10"/>
        <item x="375"/>
        <item x="312"/>
        <item x="717"/>
        <item x="388"/>
        <item x="561"/>
        <item x="148"/>
        <item x="138"/>
        <item x="577"/>
        <item x="318"/>
        <item x="257"/>
        <item x="716"/>
        <item x="94"/>
        <item x="562"/>
        <item x="818"/>
        <item x="563"/>
        <item x="7"/>
        <item x="761"/>
        <item x="337"/>
        <item x="206"/>
        <item x="466"/>
        <item x="564"/>
        <item x="565"/>
        <item x="344"/>
        <item x="764"/>
        <item x="323"/>
        <item x="175"/>
        <item x="494"/>
        <item x="227"/>
        <item x="311"/>
        <item x="567"/>
        <item x="280"/>
        <item x="215"/>
        <item x="247"/>
        <item x="763"/>
        <item x="679"/>
        <item x="688"/>
        <item x="536"/>
        <item x="543"/>
        <item x="220"/>
        <item x="326"/>
        <item x="693"/>
        <item x="163"/>
        <item x="495"/>
        <item x="14"/>
        <item x="166"/>
        <item x="496"/>
        <item x="141"/>
        <item x="713"/>
        <item x="756"/>
        <item x="164"/>
        <item x="497"/>
        <item x="357"/>
        <item x="251"/>
        <item x="569"/>
        <item x="661"/>
        <item x="723"/>
        <item x="795"/>
        <item x="292"/>
        <item x="70"/>
        <item x="732"/>
        <item x="433"/>
        <item x="782"/>
        <item x="267"/>
        <item x="243"/>
        <item x="709"/>
        <item x="689"/>
        <item x="49"/>
        <item x="773"/>
        <item x="322"/>
        <item x="601"/>
        <item x="815"/>
        <item x="570"/>
        <item x="46"/>
        <item x="602"/>
        <item x="613"/>
        <item x="609"/>
        <item x="604"/>
        <item x="368"/>
        <item x="797"/>
        <item x="42"/>
        <item x="572"/>
        <item x="6"/>
        <item x="566"/>
        <item x="300"/>
        <item x="170"/>
        <item x="37"/>
        <item x="810"/>
        <item x="516"/>
        <item x="315"/>
        <item x="503"/>
        <item x="476"/>
        <item x="129"/>
        <item x="386"/>
        <item x="306"/>
        <item x="230"/>
        <item x="200"/>
        <item x="469"/>
        <item x="740"/>
        <item x="625"/>
        <item x="635"/>
        <item x="55"/>
        <item x="56"/>
        <item x="575"/>
        <item x="0"/>
        <item x="582"/>
        <item x="186"/>
        <item x="498"/>
        <item x="61"/>
        <item x="584"/>
        <item x="319"/>
        <item x="720"/>
        <item x="786"/>
        <item x="187"/>
        <item x="499"/>
        <item x="446"/>
        <item x="812"/>
        <item x="699"/>
        <item x="229"/>
        <item x="171"/>
        <item x="500"/>
        <item x="372"/>
        <item x="774"/>
        <item x="440"/>
        <item x="294"/>
        <item x="89"/>
        <item x="120"/>
        <item x="568"/>
        <item x="277"/>
        <item x="588"/>
        <item x="589"/>
        <item x="59"/>
        <item x="736"/>
        <item x="99"/>
        <item x="160"/>
        <item x="504"/>
        <item x="232"/>
        <item x="263"/>
        <item x="145"/>
        <item x="221"/>
        <item x="592"/>
        <item x="87"/>
        <item x="766"/>
        <item x="780"/>
        <item x="293"/>
        <item x="84"/>
        <item x="188"/>
        <item x="501"/>
        <item x="172"/>
        <item x="505"/>
        <item x="110"/>
        <item x="213"/>
        <item x="591"/>
        <item x="325"/>
        <item x="359"/>
        <item x="791"/>
        <item x="152"/>
        <item x="231"/>
        <item x="691"/>
        <item x="534"/>
        <item x="1"/>
        <item x="593"/>
        <item x="53"/>
        <item x="256"/>
        <item x="595"/>
        <item x="173"/>
        <item x="502"/>
        <item x="684"/>
        <item x="96"/>
        <item x="276"/>
        <item x="327"/>
        <item x="157"/>
        <item x="801"/>
        <item x="334"/>
        <item x="214"/>
        <item x="807"/>
        <item x="731"/>
        <item x="2"/>
        <item x="4"/>
        <item x="594"/>
        <item x="340"/>
        <item x="710"/>
        <item x="449"/>
        <item x="31"/>
        <item x="244"/>
        <item x="598"/>
        <item x="599"/>
        <item x="302"/>
        <item x="581"/>
        <item x="259"/>
        <item x="681"/>
        <item x="770"/>
        <item x="17"/>
        <item x="91"/>
        <item x="615"/>
        <item x="264"/>
        <item x="135"/>
        <item x="133"/>
        <item x="124"/>
        <item x="125"/>
        <item x="655"/>
        <item x="310"/>
        <item x="95"/>
        <item x="128"/>
        <item x="706"/>
        <item x="711"/>
        <item x="748"/>
        <item x="757"/>
        <item x="454"/>
        <item x="137"/>
        <item x="226"/>
        <item x="278"/>
        <item x="360"/>
        <item x="90"/>
        <item x="603"/>
        <item x="608"/>
        <item x="614"/>
        <item x="611"/>
        <item x="705"/>
        <item x="612"/>
        <item x="85"/>
        <item x="524"/>
        <item x="71"/>
        <item x="607"/>
        <item x="234"/>
        <item x="571"/>
        <item x="132"/>
        <item x="600"/>
        <item x="682"/>
        <item x="321"/>
        <item x="616"/>
        <item x="18"/>
        <item x="704"/>
        <item x="285"/>
        <item x="667"/>
        <item x="739"/>
        <item x="560"/>
        <item x="617"/>
        <item x="248"/>
        <item x="104"/>
        <item x="290"/>
        <item x="630"/>
        <item x="8"/>
        <item x="143"/>
        <item x="606"/>
        <item x="683"/>
        <item x="381"/>
        <item x="194"/>
        <item x="585"/>
        <item x="201"/>
        <item x="470"/>
        <item x="253"/>
        <item x="376"/>
        <item x="193"/>
        <item x="642"/>
        <item x="254"/>
        <item x="751"/>
        <item x="643"/>
        <item x="644"/>
        <item x="336"/>
        <item x="650"/>
        <item x="649"/>
        <item x="377"/>
        <item x="92"/>
        <item x="146"/>
        <item x="282"/>
        <item x="82"/>
        <item x="678"/>
        <item x="291"/>
        <item x="419"/>
        <item x="338"/>
        <item x="317"/>
        <item x="174"/>
        <item x="506"/>
        <item x="73"/>
        <item x="69"/>
        <item x="93"/>
        <item x="190"/>
        <item x="255"/>
        <item x="347"/>
        <item x="514"/>
        <item x="521"/>
        <item x="161"/>
        <item x="507"/>
        <item x="304"/>
        <item x="118"/>
        <item x="668"/>
        <item x="233"/>
        <item x="544"/>
        <item x="535"/>
        <item x="628"/>
        <item x="804"/>
        <item x="299"/>
        <item x="297"/>
        <item x="803"/>
        <item x="298"/>
        <item x="805"/>
        <item x="623"/>
        <item x="636"/>
        <item x="752"/>
        <item x="189"/>
        <item x="508"/>
        <item x="197"/>
        <item x="754"/>
        <item t="default"/>
      </items>
    </pivotField>
    <pivotField showAll="0"/>
    <pivotField showAll="0"/>
    <pivotField showAll="0"/>
    <pivotField showAll="0"/>
    <pivotField axis="axisCol" showAll="0">
      <items count="11">
        <item x="8"/>
        <item x="0"/>
        <item x="5"/>
        <item x="4"/>
        <item x="6"/>
        <item x="7"/>
        <item x="2"/>
        <item x="1"/>
        <item x="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sd="0" x="1"/>
        <item sd="0" x="11"/>
        <item sd="0" x="5"/>
        <item sd="0" x="10"/>
        <item sd="0" x="9"/>
        <item sd="0" x="7"/>
        <item sd="0" x="8"/>
        <item sd="0" x="3"/>
        <item sd="0" x="6"/>
        <item sd="0" x="4"/>
        <item sd="0" x="2"/>
        <item sd="0" x="0"/>
        <item t="default" sd="0"/>
      </items>
    </pivotField>
  </pivotFields>
  <rowFields count="2">
    <field x="37"/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4" hier="-1"/>
  </pageFields>
  <dataFields count="1">
    <dataField name="Sum of Net Satış" fld="2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0" dT="2026-02-03T13:19:23.13" personId="{C2DF79F3-D6FB-6241-B82B-1B7F9540DD2A}" id="{DAB4738C-B71B-E448-84A6-F9313737ABBC}">
    <text>Sonlanma ihtarı geldi.</text>
  </threadedComment>
  <threadedComment ref="G22" dT="2026-02-03T18:31:58.88" personId="{C2DF79F3-D6FB-6241-B82B-1B7F9540DD2A}" id="{83703472-2677-0C4E-A15E-ED8C524DA1B7}">
    <text>3.600.000 TL lik kısmı  faturalandı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60D41F-91FD-7249-9ECD-87FC7DC3F0B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3b3c83d-1deb-4949-b64f-b594d0bf7cc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EEC0-21F4-7E4C-864A-43B5A01CDDDD}">
  <dimension ref="A1:R145"/>
  <sheetViews>
    <sheetView workbookViewId="0">
      <selection activeCell="C44" sqref="C44"/>
    </sheetView>
  </sheetViews>
  <sheetFormatPr baseColWidth="10" defaultColWidth="11.5" defaultRowHeight="14" x14ac:dyDescent="0.15"/>
  <cols>
    <col min="1" max="2" width="17" style="344" bestFit="1" customWidth="1"/>
    <col min="3" max="3" width="28.6640625" style="344" bestFit="1" customWidth="1"/>
    <col min="4" max="4" width="12.5" style="344" bestFit="1" customWidth="1"/>
    <col min="5" max="5" width="16.1640625" style="344" bestFit="1" customWidth="1"/>
    <col min="6" max="6" width="18.83203125" style="344" bestFit="1" customWidth="1"/>
    <col min="7" max="7" width="14.5" style="344" bestFit="1" customWidth="1"/>
    <col min="8" max="8" width="9.83203125" style="344" bestFit="1" customWidth="1"/>
    <col min="9" max="10" width="11.5" style="344"/>
    <col min="11" max="11" width="28.6640625" style="344" bestFit="1" customWidth="1"/>
    <col min="12" max="12" width="16.83203125" style="344" bestFit="1" customWidth="1"/>
    <col min="13" max="13" width="24" style="344" bestFit="1" customWidth="1"/>
    <col min="14" max="14" width="15.5" style="344" bestFit="1" customWidth="1"/>
    <col min="15" max="15" width="20.6640625" style="344" bestFit="1" customWidth="1"/>
    <col min="16" max="16" width="14.6640625" style="344" bestFit="1" customWidth="1"/>
    <col min="17" max="17" width="21.83203125" style="344" bestFit="1" customWidth="1"/>
    <col min="18" max="18" width="10.83203125" style="344" bestFit="1" customWidth="1"/>
    <col min="19" max="16384" width="11.5" style="344"/>
  </cols>
  <sheetData>
    <row r="1" spans="1:18" s="343" customFormat="1" ht="31.25" customHeight="1" x14ac:dyDescent="0.2">
      <c r="A1" s="341" t="s">
        <v>419</v>
      </c>
      <c r="B1" s="341" t="s">
        <v>418</v>
      </c>
      <c r="C1" s="341" t="s">
        <v>417</v>
      </c>
      <c r="D1" s="342" t="s">
        <v>416</v>
      </c>
      <c r="E1" s="342" t="s">
        <v>415</v>
      </c>
      <c r="F1" s="342" t="s">
        <v>414</v>
      </c>
      <c r="G1" s="342" t="s">
        <v>413</v>
      </c>
      <c r="H1" s="341" t="s">
        <v>412</v>
      </c>
      <c r="I1" s="341" t="s">
        <v>411</v>
      </c>
      <c r="J1" s="341" t="s">
        <v>410</v>
      </c>
      <c r="K1" s="341" t="s">
        <v>409</v>
      </c>
      <c r="L1" s="341" t="s">
        <v>408</v>
      </c>
      <c r="M1" s="341" t="s">
        <v>407</v>
      </c>
      <c r="N1" s="341" t="s">
        <v>406</v>
      </c>
      <c r="O1" s="341" t="s">
        <v>405</v>
      </c>
      <c r="P1" s="341" t="s">
        <v>404</v>
      </c>
      <c r="Q1" s="341" t="s">
        <v>6</v>
      </c>
      <c r="R1" s="341" t="s">
        <v>403</v>
      </c>
    </row>
    <row r="2" spans="1:18" x14ac:dyDescent="0.15">
      <c r="A2" s="344" t="s">
        <v>57</v>
      </c>
      <c r="B2" s="344" t="s">
        <v>57</v>
      </c>
      <c r="C2" s="344" t="s">
        <v>402</v>
      </c>
      <c r="D2" s="335">
        <v>2658550</v>
      </c>
      <c r="E2" s="335"/>
      <c r="F2" s="335">
        <f t="shared" ref="F2:F25" si="0">D2*(1+56%)</f>
        <v>4147338</v>
      </c>
      <c r="G2" s="335">
        <f t="shared" ref="G2:G25" si="1">E2*(1+56%)</f>
        <v>0</v>
      </c>
      <c r="H2" s="344" t="s">
        <v>211</v>
      </c>
      <c r="I2" s="344">
        <v>3</v>
      </c>
      <c r="J2" s="344">
        <v>3</v>
      </c>
      <c r="K2" s="344" t="s">
        <v>402</v>
      </c>
      <c r="L2" s="344" t="s">
        <v>182</v>
      </c>
      <c r="M2" s="344" t="s">
        <v>181</v>
      </c>
      <c r="N2" s="344" t="s">
        <v>175</v>
      </c>
      <c r="O2" s="344" t="s">
        <v>173</v>
      </c>
      <c r="P2" s="344" t="s">
        <v>180</v>
      </c>
      <c r="Q2" s="344" t="s">
        <v>25</v>
      </c>
      <c r="R2" s="344" t="s">
        <v>173</v>
      </c>
    </row>
    <row r="3" spans="1:18" x14ac:dyDescent="0.15">
      <c r="A3" s="344" t="s">
        <v>66</v>
      </c>
      <c r="B3" s="344" t="s">
        <v>57</v>
      </c>
      <c r="C3" s="344" t="s">
        <v>401</v>
      </c>
      <c r="D3" s="335">
        <v>5150520</v>
      </c>
      <c r="E3" s="335">
        <v>1116214.8900000001</v>
      </c>
      <c r="F3" s="335">
        <f t="shared" si="0"/>
        <v>8034811.2000000002</v>
      </c>
      <c r="G3" s="335">
        <f t="shared" si="1"/>
        <v>1741295.2284000004</v>
      </c>
      <c r="H3" s="344" t="s">
        <v>179</v>
      </c>
      <c r="I3" s="344">
        <v>3</v>
      </c>
      <c r="J3" s="344">
        <v>3</v>
      </c>
      <c r="K3" s="344" t="s">
        <v>401</v>
      </c>
      <c r="L3" s="344" t="s">
        <v>182</v>
      </c>
      <c r="M3" s="344" t="s">
        <v>335</v>
      </c>
      <c r="N3" s="344" t="s">
        <v>175</v>
      </c>
      <c r="O3" s="344" t="s">
        <v>173</v>
      </c>
      <c r="P3" s="344" t="s">
        <v>400</v>
      </c>
      <c r="Q3" s="344" t="s">
        <v>25</v>
      </c>
      <c r="R3" s="344" t="s">
        <v>173</v>
      </c>
    </row>
    <row r="4" spans="1:18" x14ac:dyDescent="0.15">
      <c r="A4" s="344" t="s">
        <v>64</v>
      </c>
      <c r="B4" s="344" t="s">
        <v>57</v>
      </c>
      <c r="C4" s="344" t="s">
        <v>399</v>
      </c>
      <c r="D4" s="335">
        <v>0</v>
      </c>
      <c r="E4" s="335">
        <v>1769359.6800000002</v>
      </c>
      <c r="F4" s="335">
        <f t="shared" si="0"/>
        <v>0</v>
      </c>
      <c r="G4" s="335">
        <f t="shared" si="1"/>
        <v>2760201.1008000001</v>
      </c>
      <c r="H4" s="344" t="s">
        <v>179</v>
      </c>
      <c r="I4" s="344">
        <v>3</v>
      </c>
      <c r="J4" s="344">
        <v>3</v>
      </c>
      <c r="K4" s="344" t="s">
        <v>399</v>
      </c>
      <c r="L4" s="344" t="s">
        <v>182</v>
      </c>
      <c r="M4" s="344" t="s">
        <v>335</v>
      </c>
      <c r="N4" s="344" t="s">
        <v>175</v>
      </c>
      <c r="O4" s="344" t="s">
        <v>173</v>
      </c>
      <c r="P4" s="344" t="s">
        <v>180</v>
      </c>
      <c r="Q4" s="344" t="s">
        <v>25</v>
      </c>
      <c r="R4" s="344" t="s">
        <v>173</v>
      </c>
    </row>
    <row r="5" spans="1:18" x14ac:dyDescent="0.15">
      <c r="A5" s="344" t="s">
        <v>57</v>
      </c>
      <c r="B5" s="344" t="s">
        <v>57</v>
      </c>
      <c r="C5" s="344" t="s">
        <v>398</v>
      </c>
      <c r="D5" s="335">
        <v>1678630</v>
      </c>
      <c r="E5" s="335">
        <v>2533873.3200000008</v>
      </c>
      <c r="F5" s="335">
        <f t="shared" si="0"/>
        <v>2618662.8000000003</v>
      </c>
      <c r="G5" s="335">
        <f t="shared" si="1"/>
        <v>3952842.3792000012</v>
      </c>
      <c r="H5" s="344" t="s">
        <v>179</v>
      </c>
      <c r="I5" s="344">
        <v>2</v>
      </c>
      <c r="J5" s="344">
        <v>2</v>
      </c>
      <c r="K5" s="344" t="s">
        <v>398</v>
      </c>
      <c r="L5" s="344" t="s">
        <v>182</v>
      </c>
      <c r="M5" s="344" t="s">
        <v>366</v>
      </c>
      <c r="N5" s="344" t="s">
        <v>175</v>
      </c>
      <c r="O5" s="344" t="s">
        <v>173</v>
      </c>
      <c r="P5" s="344" t="s">
        <v>397</v>
      </c>
      <c r="Q5" s="344" t="s">
        <v>193</v>
      </c>
      <c r="R5" s="344" t="s">
        <v>173</v>
      </c>
    </row>
    <row r="6" spans="1:18" x14ac:dyDescent="0.15">
      <c r="A6" s="344" t="s">
        <v>130</v>
      </c>
      <c r="B6" s="344" t="s">
        <v>57</v>
      </c>
      <c r="C6" s="344" t="s">
        <v>396</v>
      </c>
      <c r="D6" s="335">
        <v>105352.91</v>
      </c>
      <c r="E6" s="335">
        <v>2174000</v>
      </c>
      <c r="F6" s="335">
        <f t="shared" si="0"/>
        <v>164350.53960000002</v>
      </c>
      <c r="G6" s="335">
        <f t="shared" si="1"/>
        <v>3391440</v>
      </c>
      <c r="H6" s="344" t="s">
        <v>394</v>
      </c>
      <c r="I6" s="344" t="s">
        <v>185</v>
      </c>
      <c r="J6" s="344" t="s">
        <v>185</v>
      </c>
      <c r="K6" s="344" t="s">
        <v>393</v>
      </c>
      <c r="L6" s="344" t="s">
        <v>182</v>
      </c>
      <c r="M6" s="344" t="s">
        <v>335</v>
      </c>
      <c r="N6" s="344" t="s">
        <v>186</v>
      </c>
      <c r="O6" s="344" t="s">
        <v>173</v>
      </c>
      <c r="P6" s="344" t="s">
        <v>180</v>
      </c>
      <c r="Q6" s="344" t="s">
        <v>25</v>
      </c>
      <c r="R6" s="344" t="s">
        <v>244</v>
      </c>
    </row>
    <row r="7" spans="1:18" x14ac:dyDescent="0.15">
      <c r="A7" s="344" t="s">
        <v>130</v>
      </c>
      <c r="B7" s="344" t="s">
        <v>57</v>
      </c>
      <c r="C7" s="344" t="s">
        <v>395</v>
      </c>
      <c r="D7" s="335">
        <v>0</v>
      </c>
      <c r="E7" s="335">
        <v>2016738.3</v>
      </c>
      <c r="F7" s="335">
        <f t="shared" si="0"/>
        <v>0</v>
      </c>
      <c r="G7" s="335">
        <f t="shared" si="1"/>
        <v>3146111.7480000001</v>
      </c>
      <c r="H7" s="344" t="s">
        <v>394</v>
      </c>
      <c r="I7" s="344" t="s">
        <v>185</v>
      </c>
      <c r="J7" s="344" t="s">
        <v>185</v>
      </c>
      <c r="K7" s="344" t="s">
        <v>393</v>
      </c>
      <c r="L7" s="344" t="s">
        <v>182</v>
      </c>
      <c r="M7" s="344" t="s">
        <v>335</v>
      </c>
      <c r="N7" s="344" t="s">
        <v>186</v>
      </c>
      <c r="O7" s="344" t="s">
        <v>173</v>
      </c>
      <c r="P7" s="344" t="s">
        <v>180</v>
      </c>
      <c r="Q7" s="344" t="s">
        <v>25</v>
      </c>
      <c r="R7" s="344" t="s">
        <v>244</v>
      </c>
    </row>
    <row r="8" spans="1:18" x14ac:dyDescent="0.15">
      <c r="A8" s="344" t="s">
        <v>57</v>
      </c>
      <c r="B8" s="344" t="s">
        <v>57</v>
      </c>
      <c r="C8" s="344" t="s">
        <v>392</v>
      </c>
      <c r="D8" s="335">
        <v>156215</v>
      </c>
      <c r="E8" s="335">
        <v>2709095.93</v>
      </c>
      <c r="F8" s="335">
        <f t="shared" si="0"/>
        <v>243695.4</v>
      </c>
      <c r="G8" s="335">
        <f t="shared" si="1"/>
        <v>4226189.6507999999</v>
      </c>
      <c r="H8" s="344" t="s">
        <v>179</v>
      </c>
      <c r="I8" s="344">
        <v>2</v>
      </c>
      <c r="J8" s="344">
        <v>2</v>
      </c>
      <c r="K8" s="344" t="s">
        <v>392</v>
      </c>
      <c r="L8" s="344" t="s">
        <v>182</v>
      </c>
      <c r="M8" s="344" t="s">
        <v>335</v>
      </c>
      <c r="N8" s="344" t="s">
        <v>175</v>
      </c>
      <c r="O8" s="344" t="s">
        <v>207</v>
      </c>
      <c r="P8" s="344" t="s">
        <v>180</v>
      </c>
      <c r="Q8" s="344" t="s">
        <v>25</v>
      </c>
      <c r="R8" s="344" t="s">
        <v>173</v>
      </c>
    </row>
    <row r="9" spans="1:18" x14ac:dyDescent="0.15">
      <c r="A9" s="344" t="s">
        <v>64</v>
      </c>
      <c r="B9" s="344" t="s">
        <v>57</v>
      </c>
      <c r="C9" s="344" t="s">
        <v>391</v>
      </c>
      <c r="D9" s="335">
        <v>12250</v>
      </c>
      <c r="E9" s="335">
        <v>259285</v>
      </c>
      <c r="F9" s="335">
        <f t="shared" si="0"/>
        <v>19110</v>
      </c>
      <c r="G9" s="335">
        <f t="shared" si="1"/>
        <v>404484.60000000003</v>
      </c>
      <c r="H9" s="344" t="s">
        <v>179</v>
      </c>
      <c r="I9" s="344">
        <v>3</v>
      </c>
      <c r="J9" s="344">
        <v>3</v>
      </c>
      <c r="K9" s="344" t="s">
        <v>391</v>
      </c>
      <c r="L9" s="344" t="s">
        <v>182</v>
      </c>
      <c r="M9" s="344" t="s">
        <v>366</v>
      </c>
      <c r="N9" s="344" t="s">
        <v>186</v>
      </c>
      <c r="O9" s="344" t="s">
        <v>173</v>
      </c>
      <c r="P9" s="344" t="s">
        <v>180</v>
      </c>
      <c r="Q9" s="344" t="s">
        <v>27</v>
      </c>
      <c r="R9" s="344" t="s">
        <v>207</v>
      </c>
    </row>
    <row r="10" spans="1:18" x14ac:dyDescent="0.15">
      <c r="A10" s="344" t="s">
        <v>57</v>
      </c>
      <c r="B10" s="344" t="s">
        <v>57</v>
      </c>
      <c r="C10" s="344" t="s">
        <v>390</v>
      </c>
      <c r="D10" s="335">
        <v>6828520</v>
      </c>
      <c r="E10" s="335">
        <f>2945269.38+7644633</f>
        <v>10589902.379999999</v>
      </c>
      <c r="F10" s="335">
        <f t="shared" si="0"/>
        <v>10652491.200000001</v>
      </c>
      <c r="G10" s="338">
        <f t="shared" si="1"/>
        <v>16520247.7128</v>
      </c>
      <c r="H10" s="344" t="s">
        <v>179</v>
      </c>
      <c r="I10" s="344">
        <v>2</v>
      </c>
      <c r="J10" s="344" t="s">
        <v>185</v>
      </c>
      <c r="K10" s="344" t="s">
        <v>390</v>
      </c>
      <c r="L10" s="344" t="s">
        <v>182</v>
      </c>
      <c r="M10" s="344" t="s">
        <v>366</v>
      </c>
      <c r="N10" s="344" t="s">
        <v>175</v>
      </c>
      <c r="O10" s="344" t="s">
        <v>173</v>
      </c>
      <c r="P10" s="344" t="s">
        <v>180</v>
      </c>
      <c r="Q10" s="344" t="s">
        <v>349</v>
      </c>
      <c r="R10" s="344" t="s">
        <v>173</v>
      </c>
    </row>
    <row r="11" spans="1:18" x14ac:dyDescent="0.15">
      <c r="A11" s="344" t="s">
        <v>62</v>
      </c>
      <c r="B11" s="344" t="s">
        <v>57</v>
      </c>
      <c r="C11" s="344" t="s">
        <v>389</v>
      </c>
      <c r="D11" s="335">
        <v>1372187.75</v>
      </c>
      <c r="E11" s="335">
        <v>4496625.0808380004</v>
      </c>
      <c r="F11" s="335">
        <f t="shared" si="0"/>
        <v>2140612.89</v>
      </c>
      <c r="G11" s="335">
        <f t="shared" si="1"/>
        <v>7014735.1261072811</v>
      </c>
      <c r="H11" s="344" t="s">
        <v>179</v>
      </c>
      <c r="I11" s="344">
        <v>3</v>
      </c>
      <c r="J11" s="344" t="s">
        <v>185</v>
      </c>
      <c r="K11" s="344" t="s">
        <v>389</v>
      </c>
      <c r="L11" s="344" t="s">
        <v>182</v>
      </c>
      <c r="M11" s="344" t="s">
        <v>327</v>
      </c>
      <c r="N11" s="344" t="s">
        <v>175</v>
      </c>
      <c r="O11" s="344" t="s">
        <v>173</v>
      </c>
      <c r="P11" s="344" t="s">
        <v>180</v>
      </c>
      <c r="Q11" s="344" t="s">
        <v>25</v>
      </c>
      <c r="R11" s="344" t="s">
        <v>173</v>
      </c>
    </row>
    <row r="12" spans="1:18" x14ac:dyDescent="0.15">
      <c r="A12" s="344" t="s">
        <v>57</v>
      </c>
      <c r="B12" s="344" t="s">
        <v>57</v>
      </c>
      <c r="C12" s="344" t="s">
        <v>388</v>
      </c>
      <c r="D12" s="335">
        <v>8939309.1999999993</v>
      </c>
      <c r="E12" s="335">
        <v>3586227.1999999997</v>
      </c>
      <c r="F12" s="335">
        <f t="shared" si="0"/>
        <v>13945322.352</v>
      </c>
      <c r="G12" s="335">
        <f t="shared" si="1"/>
        <v>5594514.432</v>
      </c>
      <c r="H12" s="344" t="s">
        <v>179</v>
      </c>
      <c r="I12" s="344" t="s">
        <v>185</v>
      </c>
      <c r="J12" s="344" t="s">
        <v>185</v>
      </c>
      <c r="K12" s="344" t="s">
        <v>388</v>
      </c>
      <c r="L12" s="344" t="s">
        <v>182</v>
      </c>
      <c r="M12" s="344" t="s">
        <v>327</v>
      </c>
      <c r="N12" s="344" t="s">
        <v>175</v>
      </c>
      <c r="O12" s="344" t="s">
        <v>207</v>
      </c>
      <c r="P12" s="344" t="s">
        <v>180</v>
      </c>
      <c r="Q12" s="344" t="s">
        <v>193</v>
      </c>
      <c r="R12" s="344" t="s">
        <v>173</v>
      </c>
    </row>
    <row r="13" spans="1:18" x14ac:dyDescent="0.15">
      <c r="A13" s="344" t="s">
        <v>62</v>
      </c>
      <c r="B13" s="344" t="s">
        <v>57</v>
      </c>
      <c r="C13" s="344" t="s">
        <v>387</v>
      </c>
      <c r="D13" s="335">
        <v>411951.43</v>
      </c>
      <c r="E13" s="335">
        <v>2829212.7255360014</v>
      </c>
      <c r="F13" s="335">
        <f t="shared" si="0"/>
        <v>642644.23080000002</v>
      </c>
      <c r="G13" s="335">
        <f t="shared" si="1"/>
        <v>4413571.8518361626</v>
      </c>
      <c r="H13" s="344" t="s">
        <v>179</v>
      </c>
      <c r="I13" s="344">
        <v>3</v>
      </c>
      <c r="J13" s="344">
        <v>3</v>
      </c>
      <c r="K13" s="344" t="s">
        <v>387</v>
      </c>
      <c r="L13" s="344" t="s">
        <v>182</v>
      </c>
      <c r="M13" s="344" t="s">
        <v>335</v>
      </c>
      <c r="N13" s="344" t="s">
        <v>175</v>
      </c>
      <c r="O13" s="344" t="s">
        <v>173</v>
      </c>
      <c r="P13" s="344" t="s">
        <v>180</v>
      </c>
      <c r="Q13" s="344" t="s">
        <v>25</v>
      </c>
      <c r="R13" s="344" t="s">
        <v>173</v>
      </c>
    </row>
    <row r="14" spans="1:18" x14ac:dyDescent="0.15">
      <c r="A14" s="344" t="s">
        <v>57</v>
      </c>
      <c r="B14" s="344" t="s">
        <v>57</v>
      </c>
      <c r="C14" s="344" t="s">
        <v>386</v>
      </c>
      <c r="D14" s="335"/>
      <c r="E14" s="335">
        <v>3326577.0862880005</v>
      </c>
      <c r="F14" s="335">
        <f t="shared" si="0"/>
        <v>0</v>
      </c>
      <c r="G14" s="335">
        <f t="shared" si="1"/>
        <v>5189460.2546092812</v>
      </c>
      <c r="H14" s="344" t="s">
        <v>179</v>
      </c>
      <c r="I14" s="344">
        <v>2</v>
      </c>
      <c r="J14" s="344">
        <v>2</v>
      </c>
      <c r="K14" s="344" t="s">
        <v>386</v>
      </c>
      <c r="L14" s="344" t="s">
        <v>182</v>
      </c>
      <c r="M14" s="344" t="s">
        <v>327</v>
      </c>
      <c r="N14" s="344" t="s">
        <v>175</v>
      </c>
      <c r="O14" s="344" t="s">
        <v>173</v>
      </c>
      <c r="P14" s="344" t="s">
        <v>180</v>
      </c>
      <c r="Q14" s="344" t="s">
        <v>25</v>
      </c>
      <c r="R14" s="344" t="s">
        <v>173</v>
      </c>
    </row>
    <row r="15" spans="1:18" x14ac:dyDescent="0.15">
      <c r="A15" s="344" t="s">
        <v>57</v>
      </c>
      <c r="B15" s="344" t="s">
        <v>57</v>
      </c>
      <c r="C15" s="344" t="s">
        <v>385</v>
      </c>
      <c r="D15" s="335">
        <v>631665.75</v>
      </c>
      <c r="E15" s="335">
        <v>2627689.6060000001</v>
      </c>
      <c r="F15" s="335">
        <f t="shared" si="0"/>
        <v>985398.57000000007</v>
      </c>
      <c r="G15" s="335">
        <f t="shared" si="1"/>
        <v>4099195.7853600006</v>
      </c>
      <c r="H15" s="344" t="s">
        <v>179</v>
      </c>
      <c r="I15" s="344">
        <v>1</v>
      </c>
      <c r="J15" s="344" t="s">
        <v>185</v>
      </c>
      <c r="K15" s="344" t="s">
        <v>380</v>
      </c>
      <c r="L15" s="344" t="s">
        <v>182</v>
      </c>
      <c r="M15" s="344" t="s">
        <v>327</v>
      </c>
      <c r="N15" s="344" t="s">
        <v>175</v>
      </c>
      <c r="O15" s="344" t="s">
        <v>207</v>
      </c>
      <c r="P15" s="344" t="s">
        <v>180</v>
      </c>
      <c r="Q15" s="344" t="s">
        <v>215</v>
      </c>
      <c r="R15" s="344" t="s">
        <v>173</v>
      </c>
    </row>
    <row r="16" spans="1:18" x14ac:dyDescent="0.15">
      <c r="A16" s="344" t="s">
        <v>57</v>
      </c>
      <c r="B16" s="344" t="s">
        <v>57</v>
      </c>
      <c r="C16" s="344" t="s">
        <v>384</v>
      </c>
      <c r="D16" s="335">
        <v>1424156.1577000003</v>
      </c>
      <c r="E16" s="335">
        <v>6731205</v>
      </c>
      <c r="F16" s="335">
        <f t="shared" si="0"/>
        <v>2221683.6060120007</v>
      </c>
      <c r="G16" s="335">
        <f t="shared" si="1"/>
        <v>10500679.800000001</v>
      </c>
      <c r="H16" s="344" t="s">
        <v>179</v>
      </c>
      <c r="I16" s="344" t="s">
        <v>185</v>
      </c>
      <c r="J16" s="344" t="s">
        <v>185</v>
      </c>
      <c r="K16" s="344" t="s">
        <v>380</v>
      </c>
      <c r="L16" s="344" t="s">
        <v>182</v>
      </c>
      <c r="M16" s="344" t="s">
        <v>327</v>
      </c>
      <c r="N16" s="344" t="s">
        <v>175</v>
      </c>
      <c r="O16" s="344" t="s">
        <v>207</v>
      </c>
      <c r="P16" s="344" t="s">
        <v>180</v>
      </c>
      <c r="Q16" s="344" t="s">
        <v>215</v>
      </c>
      <c r="R16" s="344" t="s">
        <v>207</v>
      </c>
    </row>
    <row r="17" spans="1:18" x14ac:dyDescent="0.15">
      <c r="A17" s="344" t="s">
        <v>57</v>
      </c>
      <c r="B17" s="344" t="s">
        <v>57</v>
      </c>
      <c r="C17" s="344" t="s">
        <v>383</v>
      </c>
      <c r="D17" s="335">
        <v>232172.85</v>
      </c>
      <c r="E17" s="335">
        <v>518720.73000000004</v>
      </c>
      <c r="F17" s="335">
        <f t="shared" si="0"/>
        <v>362189.64600000001</v>
      </c>
      <c r="G17" s="335">
        <f t="shared" si="1"/>
        <v>809204.33880000014</v>
      </c>
      <c r="H17" s="344" t="s">
        <v>179</v>
      </c>
      <c r="I17" s="344" t="s">
        <v>185</v>
      </c>
      <c r="J17" s="344" t="s">
        <v>185</v>
      </c>
      <c r="K17" s="344" t="s">
        <v>380</v>
      </c>
      <c r="L17" s="344" t="s">
        <v>182</v>
      </c>
      <c r="M17" s="344" t="s">
        <v>327</v>
      </c>
      <c r="N17" s="344" t="s">
        <v>175</v>
      </c>
      <c r="O17" s="344" t="s">
        <v>207</v>
      </c>
      <c r="P17" s="344" t="s">
        <v>180</v>
      </c>
      <c r="Q17" s="344" t="s">
        <v>215</v>
      </c>
      <c r="R17" s="344" t="s">
        <v>173</v>
      </c>
    </row>
    <row r="18" spans="1:18" x14ac:dyDescent="0.15">
      <c r="A18" s="344" t="s">
        <v>57</v>
      </c>
      <c r="B18" s="344" t="s">
        <v>57</v>
      </c>
      <c r="C18" s="344" t="s">
        <v>382</v>
      </c>
      <c r="D18" s="335">
        <v>171500</v>
      </c>
      <c r="E18" s="335">
        <v>518720.73000000004</v>
      </c>
      <c r="F18" s="335">
        <f t="shared" si="0"/>
        <v>267540</v>
      </c>
      <c r="G18" s="335">
        <f t="shared" si="1"/>
        <v>809204.33880000014</v>
      </c>
      <c r="H18" s="344" t="s">
        <v>179</v>
      </c>
      <c r="I18" s="344">
        <v>1</v>
      </c>
      <c r="J18" s="344" t="s">
        <v>185</v>
      </c>
      <c r="K18" s="344" t="s">
        <v>380</v>
      </c>
      <c r="L18" s="344" t="s">
        <v>182</v>
      </c>
      <c r="M18" s="344" t="s">
        <v>327</v>
      </c>
      <c r="N18" s="344" t="s">
        <v>175</v>
      </c>
      <c r="O18" s="344" t="s">
        <v>207</v>
      </c>
      <c r="P18" s="344" t="s">
        <v>180</v>
      </c>
      <c r="Q18" s="344" t="s">
        <v>215</v>
      </c>
      <c r="R18" s="344" t="s">
        <v>173</v>
      </c>
    </row>
    <row r="19" spans="1:18" x14ac:dyDescent="0.15">
      <c r="A19" s="345" t="s">
        <v>57</v>
      </c>
      <c r="B19" s="345" t="s">
        <v>57</v>
      </c>
      <c r="C19" s="345" t="s">
        <v>381</v>
      </c>
      <c r="D19" s="335">
        <v>293200.89</v>
      </c>
      <c r="E19" s="335">
        <v>3284980.932</v>
      </c>
      <c r="F19" s="335">
        <f t="shared" si="0"/>
        <v>457393.38840000005</v>
      </c>
      <c r="G19" s="335">
        <f t="shared" si="1"/>
        <v>5124570.25392</v>
      </c>
      <c r="H19" s="344" t="s">
        <v>179</v>
      </c>
      <c r="I19" s="344">
        <v>1</v>
      </c>
      <c r="J19" s="344" t="s">
        <v>185</v>
      </c>
      <c r="K19" s="344" t="s">
        <v>380</v>
      </c>
      <c r="L19" s="344" t="s">
        <v>182</v>
      </c>
      <c r="M19" s="344" t="s">
        <v>327</v>
      </c>
      <c r="N19" s="344" t="s">
        <v>175</v>
      </c>
      <c r="O19" s="344" t="s">
        <v>207</v>
      </c>
      <c r="P19" s="344" t="s">
        <v>180</v>
      </c>
      <c r="Q19" s="344" t="s">
        <v>29</v>
      </c>
      <c r="R19" s="344" t="s">
        <v>173</v>
      </c>
    </row>
    <row r="20" spans="1:18" x14ac:dyDescent="0.15">
      <c r="A20" s="346" t="s">
        <v>66</v>
      </c>
      <c r="B20" s="344" t="s">
        <v>57</v>
      </c>
      <c r="C20" s="347" t="s">
        <v>379</v>
      </c>
      <c r="D20" s="336"/>
      <c r="E20" s="336">
        <v>1041939.66</v>
      </c>
      <c r="F20" s="335">
        <f t="shared" si="0"/>
        <v>0</v>
      </c>
      <c r="G20" s="335">
        <f t="shared" si="1"/>
        <v>1625425.8696000001</v>
      </c>
      <c r="H20" s="346" t="s">
        <v>179</v>
      </c>
      <c r="I20" s="346">
        <v>3</v>
      </c>
      <c r="J20" s="346">
        <v>3</v>
      </c>
      <c r="K20" s="346" t="s">
        <v>379</v>
      </c>
      <c r="L20" s="344" t="s">
        <v>182</v>
      </c>
      <c r="M20" s="344" t="s">
        <v>366</v>
      </c>
      <c r="N20" s="344" t="s">
        <v>175</v>
      </c>
      <c r="O20" s="344" t="s">
        <v>173</v>
      </c>
      <c r="P20" s="344" t="s">
        <v>180</v>
      </c>
      <c r="Q20" s="344" t="s">
        <v>25</v>
      </c>
      <c r="R20" s="344" t="s">
        <v>173</v>
      </c>
    </row>
    <row r="21" spans="1:18" x14ac:dyDescent="0.15">
      <c r="A21" s="344" t="s">
        <v>66</v>
      </c>
      <c r="B21" s="344" t="s">
        <v>57</v>
      </c>
      <c r="C21" s="344" t="s">
        <v>378</v>
      </c>
      <c r="D21" s="335">
        <v>254340.05</v>
      </c>
      <c r="E21" s="335">
        <v>1059355.1900000002</v>
      </c>
      <c r="F21" s="335">
        <f t="shared" si="0"/>
        <v>396770.478</v>
      </c>
      <c r="G21" s="335">
        <f t="shared" si="1"/>
        <v>1652594.0964000004</v>
      </c>
      <c r="H21" s="344" t="s">
        <v>179</v>
      </c>
      <c r="I21" s="344">
        <v>3</v>
      </c>
      <c r="J21" s="344">
        <v>3</v>
      </c>
      <c r="K21" s="344" t="s">
        <v>378</v>
      </c>
      <c r="L21" s="344" t="s">
        <v>182</v>
      </c>
      <c r="M21" s="344" t="s">
        <v>335</v>
      </c>
      <c r="N21" s="344" t="s">
        <v>175</v>
      </c>
      <c r="O21" s="344" t="s">
        <v>173</v>
      </c>
      <c r="P21" s="344" t="s">
        <v>218</v>
      </c>
      <c r="Q21" s="344" t="s">
        <v>193</v>
      </c>
      <c r="R21" s="344" t="s">
        <v>173</v>
      </c>
    </row>
    <row r="22" spans="1:18" x14ac:dyDescent="0.15">
      <c r="A22" s="346" t="s">
        <v>66</v>
      </c>
      <c r="B22" s="344" t="s">
        <v>57</v>
      </c>
      <c r="C22" s="346" t="s">
        <v>377</v>
      </c>
      <c r="D22" s="336">
        <v>1325245</v>
      </c>
      <c r="E22" s="336">
        <v>3600551.54</v>
      </c>
      <c r="F22" s="335">
        <f t="shared" si="0"/>
        <v>2067382.2000000002</v>
      </c>
      <c r="G22" s="335">
        <f t="shared" si="1"/>
        <v>5616860.4024</v>
      </c>
      <c r="H22" s="346" t="s">
        <v>179</v>
      </c>
      <c r="I22" s="346">
        <v>2</v>
      </c>
      <c r="J22" s="346" t="s">
        <v>185</v>
      </c>
      <c r="K22" s="346" t="s">
        <v>377</v>
      </c>
      <c r="L22" s="344" t="s">
        <v>182</v>
      </c>
      <c r="M22" s="344" t="s">
        <v>335</v>
      </c>
      <c r="N22" s="344" t="s">
        <v>175</v>
      </c>
      <c r="O22" s="344" t="s">
        <v>173</v>
      </c>
      <c r="P22" s="344" t="s">
        <v>180</v>
      </c>
      <c r="Q22" s="344" t="s">
        <v>25</v>
      </c>
      <c r="R22" s="344" t="s">
        <v>173</v>
      </c>
    </row>
    <row r="23" spans="1:18" x14ac:dyDescent="0.15">
      <c r="A23" s="346" t="s">
        <v>66</v>
      </c>
      <c r="B23" s="344" t="s">
        <v>57</v>
      </c>
      <c r="C23" s="346" t="s">
        <v>376</v>
      </c>
      <c r="D23" s="336">
        <v>2017419.59</v>
      </c>
      <c r="E23" s="336">
        <v>2000000</v>
      </c>
      <c r="F23" s="335">
        <f t="shared" si="0"/>
        <v>3147174.5604000003</v>
      </c>
      <c r="G23" s="335">
        <f t="shared" si="1"/>
        <v>3120000</v>
      </c>
      <c r="H23" s="346" t="s">
        <v>179</v>
      </c>
      <c r="I23" s="346" t="s">
        <v>185</v>
      </c>
      <c r="J23" s="346" t="s">
        <v>185</v>
      </c>
      <c r="K23" s="346" t="s">
        <v>376</v>
      </c>
      <c r="L23" s="344" t="s">
        <v>182</v>
      </c>
      <c r="M23" s="344" t="s">
        <v>327</v>
      </c>
      <c r="N23" s="344" t="s">
        <v>175</v>
      </c>
      <c r="O23" s="344" t="s">
        <v>173</v>
      </c>
      <c r="P23" s="344" t="s">
        <v>180</v>
      </c>
      <c r="Q23" s="344" t="s">
        <v>25</v>
      </c>
      <c r="R23" s="344" t="s">
        <v>173</v>
      </c>
    </row>
    <row r="24" spans="1:18" x14ac:dyDescent="0.15">
      <c r="A24" s="344" t="s">
        <v>130</v>
      </c>
      <c r="B24" s="344" t="s">
        <v>57</v>
      </c>
      <c r="C24" s="344" t="s">
        <v>375</v>
      </c>
      <c r="D24" s="335">
        <v>0</v>
      </c>
      <c r="E24" s="335">
        <v>0</v>
      </c>
      <c r="F24" s="335">
        <f t="shared" si="0"/>
        <v>0</v>
      </c>
      <c r="G24" s="335">
        <f t="shared" si="1"/>
        <v>0</v>
      </c>
      <c r="H24" s="344" t="s">
        <v>179</v>
      </c>
      <c r="I24" s="344" t="s">
        <v>185</v>
      </c>
      <c r="J24" s="344" t="s">
        <v>185</v>
      </c>
      <c r="K24" s="344" t="s">
        <v>375</v>
      </c>
      <c r="L24" s="344" t="s">
        <v>182</v>
      </c>
      <c r="M24" s="344" t="s">
        <v>327</v>
      </c>
      <c r="N24" s="344" t="s">
        <v>175</v>
      </c>
      <c r="O24" s="344" t="s">
        <v>173</v>
      </c>
      <c r="P24" s="344" t="s">
        <v>180</v>
      </c>
      <c r="Q24" s="344" t="s">
        <v>25</v>
      </c>
      <c r="R24" s="344" t="s">
        <v>173</v>
      </c>
    </row>
    <row r="25" spans="1:18" x14ac:dyDescent="0.15">
      <c r="A25" s="344" t="s">
        <v>62</v>
      </c>
      <c r="B25" s="344" t="s">
        <v>57</v>
      </c>
      <c r="C25" s="344" t="s">
        <v>374</v>
      </c>
      <c r="D25" s="335"/>
      <c r="E25" s="335"/>
      <c r="F25" s="335">
        <f t="shared" si="0"/>
        <v>0</v>
      </c>
      <c r="G25" s="335">
        <f t="shared" si="1"/>
        <v>0</v>
      </c>
      <c r="H25" s="344" t="s">
        <v>179</v>
      </c>
      <c r="I25" s="344" t="s">
        <v>185</v>
      </c>
      <c r="J25" s="344" t="s">
        <v>185</v>
      </c>
      <c r="K25" s="344" t="s">
        <v>374</v>
      </c>
      <c r="L25" s="344" t="s">
        <v>182</v>
      </c>
      <c r="M25" s="344" t="s">
        <v>327</v>
      </c>
      <c r="N25" s="344" t="s">
        <v>175</v>
      </c>
      <c r="O25" s="344" t="s">
        <v>173</v>
      </c>
      <c r="P25" s="344" t="s">
        <v>180</v>
      </c>
      <c r="Q25" s="344" t="s">
        <v>29</v>
      </c>
      <c r="R25" s="344" t="s">
        <v>173</v>
      </c>
    </row>
    <row r="26" spans="1:18" x14ac:dyDescent="0.15">
      <c r="A26" s="344" t="s">
        <v>54</v>
      </c>
      <c r="B26" s="344" t="s">
        <v>54</v>
      </c>
      <c r="C26" s="344" t="s">
        <v>54</v>
      </c>
      <c r="D26" s="335">
        <v>4980743</v>
      </c>
      <c r="E26" s="335"/>
      <c r="F26" s="335">
        <f>D26*(1+230%)</f>
        <v>16436451.899999999</v>
      </c>
      <c r="G26" s="335"/>
      <c r="H26" s="344" t="s">
        <v>179</v>
      </c>
      <c r="K26" s="344" t="s">
        <v>54</v>
      </c>
      <c r="L26" s="344" t="s">
        <v>54</v>
      </c>
      <c r="M26" s="344" t="s">
        <v>54</v>
      </c>
      <c r="N26" s="344" t="s">
        <v>175</v>
      </c>
      <c r="Q26" s="344" t="s">
        <v>54</v>
      </c>
    </row>
    <row r="27" spans="1:18" x14ac:dyDescent="0.15">
      <c r="A27" s="344" t="s">
        <v>373</v>
      </c>
      <c r="B27" s="344" t="s">
        <v>169</v>
      </c>
      <c r="C27" s="344" t="s">
        <v>372</v>
      </c>
      <c r="D27" s="335">
        <v>5820315</v>
      </c>
      <c r="E27" s="335"/>
      <c r="F27" s="340"/>
      <c r="G27" s="340">
        <f>D27*(1+30%)</f>
        <v>7566409.5</v>
      </c>
      <c r="H27" s="344" t="s">
        <v>179</v>
      </c>
      <c r="K27" s="344" t="s">
        <v>372</v>
      </c>
      <c r="L27" s="344" t="s">
        <v>372</v>
      </c>
      <c r="M27" s="344" t="s">
        <v>372</v>
      </c>
    </row>
    <row r="28" spans="1:18" x14ac:dyDescent="0.15">
      <c r="A28" s="344" t="s">
        <v>53</v>
      </c>
      <c r="B28" s="344" t="s">
        <v>53</v>
      </c>
      <c r="C28" s="344" t="s">
        <v>53</v>
      </c>
      <c r="D28" s="335">
        <v>25326464</v>
      </c>
      <c r="E28" s="335"/>
      <c r="F28" s="335">
        <f>D28*(1+200%)</f>
        <v>75979392</v>
      </c>
      <c r="G28" s="335"/>
      <c r="H28" s="344" t="s">
        <v>179</v>
      </c>
      <c r="K28" s="344" t="s">
        <v>53</v>
      </c>
      <c r="L28" s="344" t="s">
        <v>53</v>
      </c>
      <c r="M28" s="344" t="s">
        <v>53</v>
      </c>
      <c r="N28" s="344" t="s">
        <v>175</v>
      </c>
      <c r="Q28" s="344" t="s">
        <v>53</v>
      </c>
    </row>
    <row r="29" spans="1:18" x14ac:dyDescent="0.15">
      <c r="A29" s="344" t="s">
        <v>66</v>
      </c>
      <c r="B29" s="344" t="s">
        <v>329</v>
      </c>
      <c r="C29" s="344" t="s">
        <v>371</v>
      </c>
      <c r="D29" s="335">
        <v>0</v>
      </c>
      <c r="E29" s="335">
        <v>0</v>
      </c>
      <c r="F29" s="335">
        <f t="shared" ref="F29:F57" si="2">D29*(1+56%)</f>
        <v>0</v>
      </c>
      <c r="G29" s="335">
        <f t="shared" ref="G29:G57" si="3">E29*(1+56%)</f>
        <v>0</v>
      </c>
      <c r="H29" s="344" t="s">
        <v>244</v>
      </c>
      <c r="I29" s="344">
        <v>3</v>
      </c>
      <c r="J29" s="344">
        <v>3</v>
      </c>
      <c r="K29" s="344" t="s">
        <v>371</v>
      </c>
      <c r="L29" s="344" t="s">
        <v>182</v>
      </c>
      <c r="M29" s="344" t="s">
        <v>335</v>
      </c>
      <c r="N29" s="344" t="s">
        <v>186</v>
      </c>
      <c r="O29" s="344" t="s">
        <v>173</v>
      </c>
      <c r="P29" s="344" t="s">
        <v>180</v>
      </c>
      <c r="Q29" s="344" t="s">
        <v>215</v>
      </c>
      <c r="R29" s="344" t="s">
        <v>244</v>
      </c>
    </row>
    <row r="30" spans="1:18" x14ac:dyDescent="0.15">
      <c r="A30" s="344" t="s">
        <v>66</v>
      </c>
      <c r="B30" s="344" t="s">
        <v>329</v>
      </c>
      <c r="C30" s="344" t="s">
        <v>370</v>
      </c>
      <c r="D30" s="335">
        <v>0</v>
      </c>
      <c r="E30" s="335">
        <v>0</v>
      </c>
      <c r="F30" s="335">
        <f t="shared" si="2"/>
        <v>0</v>
      </c>
      <c r="G30" s="335">
        <f t="shared" si="3"/>
        <v>0</v>
      </c>
      <c r="H30" s="344" t="s">
        <v>354</v>
      </c>
      <c r="I30" s="344">
        <v>3</v>
      </c>
      <c r="J30" s="344">
        <v>3</v>
      </c>
      <c r="K30" s="344" t="s">
        <v>370</v>
      </c>
      <c r="L30" s="344" t="s">
        <v>182</v>
      </c>
      <c r="M30" s="344" t="s">
        <v>283</v>
      </c>
      <c r="N30" s="344" t="s">
        <v>186</v>
      </c>
      <c r="O30" s="344" t="s">
        <v>173</v>
      </c>
      <c r="P30" s="344" t="s">
        <v>282</v>
      </c>
      <c r="Q30" s="344" t="s">
        <v>25</v>
      </c>
      <c r="R30" s="344" t="s">
        <v>244</v>
      </c>
    </row>
    <row r="31" spans="1:18" x14ac:dyDescent="0.15">
      <c r="A31" s="344" t="s">
        <v>64</v>
      </c>
      <c r="B31" s="344" t="s">
        <v>329</v>
      </c>
      <c r="C31" s="344" t="s">
        <v>369</v>
      </c>
      <c r="D31" s="335">
        <v>0</v>
      </c>
      <c r="E31" s="335">
        <v>0</v>
      </c>
      <c r="F31" s="335">
        <f t="shared" si="2"/>
        <v>0</v>
      </c>
      <c r="G31" s="335">
        <f t="shared" si="3"/>
        <v>0</v>
      </c>
      <c r="H31" s="344" t="s">
        <v>244</v>
      </c>
      <c r="I31" s="344">
        <v>4</v>
      </c>
      <c r="J31" s="344">
        <v>4</v>
      </c>
      <c r="K31" s="344" t="s">
        <v>369</v>
      </c>
      <c r="L31" s="344" t="s">
        <v>324</v>
      </c>
      <c r="M31" s="344" t="s">
        <v>368</v>
      </c>
      <c r="N31" s="344" t="s">
        <v>186</v>
      </c>
      <c r="O31" s="344" t="s">
        <v>173</v>
      </c>
      <c r="P31" s="344" t="s">
        <v>180</v>
      </c>
      <c r="Q31" s="344" t="s">
        <v>29</v>
      </c>
      <c r="R31" s="344" t="s">
        <v>244</v>
      </c>
    </row>
    <row r="32" spans="1:18" x14ac:dyDescent="0.15">
      <c r="A32" s="346" t="s">
        <v>62</v>
      </c>
      <c r="B32" s="344" t="s">
        <v>329</v>
      </c>
      <c r="C32" s="346" t="s">
        <v>367</v>
      </c>
      <c r="D32" s="336">
        <v>0</v>
      </c>
      <c r="E32" s="336">
        <v>1850243.7</v>
      </c>
      <c r="F32" s="335">
        <f t="shared" si="2"/>
        <v>0</v>
      </c>
      <c r="G32" s="335">
        <f t="shared" si="3"/>
        <v>2886380.1720000003</v>
      </c>
      <c r="H32" s="346" t="s">
        <v>244</v>
      </c>
      <c r="I32" s="346">
        <v>3</v>
      </c>
      <c r="J32" s="346">
        <v>3</v>
      </c>
      <c r="K32" s="346" t="s">
        <v>367</v>
      </c>
      <c r="L32" s="344" t="s">
        <v>182</v>
      </c>
      <c r="M32" s="344" t="s">
        <v>366</v>
      </c>
      <c r="N32" s="344" t="s">
        <v>186</v>
      </c>
      <c r="O32" s="344" t="s">
        <v>173</v>
      </c>
      <c r="P32" s="344" t="s">
        <v>180</v>
      </c>
      <c r="Q32" s="344" t="s">
        <v>25</v>
      </c>
      <c r="R32" s="344" t="s">
        <v>244</v>
      </c>
    </row>
    <row r="33" spans="1:18" x14ac:dyDescent="0.15">
      <c r="A33" s="344" t="s">
        <v>62</v>
      </c>
      <c r="B33" s="344" t="s">
        <v>329</v>
      </c>
      <c r="C33" s="344" t="s">
        <v>365</v>
      </c>
      <c r="D33" s="335">
        <v>2691515.05</v>
      </c>
      <c r="E33" s="335">
        <v>2569397.4899999998</v>
      </c>
      <c r="F33" s="335">
        <f t="shared" si="2"/>
        <v>4198763.4780000001</v>
      </c>
      <c r="G33" s="335">
        <f t="shared" si="3"/>
        <v>4008260.0843999996</v>
      </c>
      <c r="H33" s="344" t="s">
        <v>244</v>
      </c>
      <c r="I33" s="344" t="s">
        <v>185</v>
      </c>
      <c r="J33" s="344" t="s">
        <v>185</v>
      </c>
      <c r="K33" s="344" t="s">
        <v>365</v>
      </c>
      <c r="L33" s="344" t="s">
        <v>177</v>
      </c>
      <c r="M33" s="344" t="s">
        <v>340</v>
      </c>
      <c r="N33" s="344" t="s">
        <v>186</v>
      </c>
      <c r="O33" s="344" t="s">
        <v>173</v>
      </c>
      <c r="P33" s="344" t="s">
        <v>180</v>
      </c>
      <c r="Q33" s="344" t="s">
        <v>339</v>
      </c>
      <c r="R33" s="344" t="s">
        <v>244</v>
      </c>
    </row>
    <row r="34" spans="1:18" x14ac:dyDescent="0.15">
      <c r="A34" s="344" t="s">
        <v>130</v>
      </c>
      <c r="B34" s="344" t="s">
        <v>329</v>
      </c>
      <c r="C34" s="344" t="s">
        <v>364</v>
      </c>
      <c r="D34" s="335">
        <v>0</v>
      </c>
      <c r="E34" s="335">
        <v>0</v>
      </c>
      <c r="F34" s="335">
        <f t="shared" si="2"/>
        <v>0</v>
      </c>
      <c r="G34" s="335">
        <f t="shared" si="3"/>
        <v>0</v>
      </c>
      <c r="H34" s="344" t="s">
        <v>244</v>
      </c>
      <c r="I34" s="344">
        <v>1</v>
      </c>
      <c r="J34" s="344">
        <v>1</v>
      </c>
      <c r="K34" s="344" t="s">
        <v>364</v>
      </c>
      <c r="L34" s="344" t="s">
        <v>182</v>
      </c>
      <c r="M34" s="344" t="s">
        <v>280</v>
      </c>
      <c r="N34" s="344" t="s">
        <v>186</v>
      </c>
      <c r="O34" s="344" t="s">
        <v>173</v>
      </c>
      <c r="P34" s="344" t="s">
        <v>237</v>
      </c>
      <c r="Q34" s="344" t="s">
        <v>25</v>
      </c>
      <c r="R34" s="344" t="s">
        <v>244</v>
      </c>
    </row>
    <row r="35" spans="1:18" x14ac:dyDescent="0.15">
      <c r="A35" s="344" t="s">
        <v>66</v>
      </c>
      <c r="B35" s="344" t="s">
        <v>329</v>
      </c>
      <c r="C35" s="344" t="s">
        <v>363</v>
      </c>
      <c r="D35" s="335">
        <v>0</v>
      </c>
      <c r="E35" s="335">
        <v>355656.33171200001</v>
      </c>
      <c r="F35" s="335">
        <f t="shared" si="2"/>
        <v>0</v>
      </c>
      <c r="G35" s="335">
        <f t="shared" si="3"/>
        <v>554823.87747072009</v>
      </c>
      <c r="H35" s="344" t="s">
        <v>244</v>
      </c>
      <c r="I35" s="344">
        <v>1</v>
      </c>
      <c r="J35" s="344">
        <v>1</v>
      </c>
      <c r="K35" s="344" t="s">
        <v>363</v>
      </c>
      <c r="L35" s="344" t="s">
        <v>182</v>
      </c>
      <c r="M35" s="344" t="s">
        <v>280</v>
      </c>
      <c r="N35" s="344" t="s">
        <v>186</v>
      </c>
      <c r="O35" s="344" t="s">
        <v>173</v>
      </c>
      <c r="P35" s="344" t="s">
        <v>237</v>
      </c>
      <c r="Q35" s="344" t="s">
        <v>25</v>
      </c>
      <c r="R35" s="344" t="s">
        <v>244</v>
      </c>
    </row>
    <row r="36" spans="1:18" x14ac:dyDescent="0.15">
      <c r="A36" s="344" t="s">
        <v>130</v>
      </c>
      <c r="B36" s="344" t="s">
        <v>329</v>
      </c>
      <c r="C36" s="344" t="s">
        <v>362</v>
      </c>
      <c r="D36" s="335">
        <v>0</v>
      </c>
      <c r="E36" s="335">
        <v>0</v>
      </c>
      <c r="F36" s="335">
        <f t="shared" si="2"/>
        <v>0</v>
      </c>
      <c r="G36" s="335">
        <f t="shared" si="3"/>
        <v>0</v>
      </c>
      <c r="H36" s="344" t="s">
        <v>244</v>
      </c>
      <c r="I36" s="344">
        <v>4</v>
      </c>
      <c r="J36" s="344">
        <v>4</v>
      </c>
      <c r="K36" s="344" t="s">
        <v>362</v>
      </c>
      <c r="L36" s="344" t="s">
        <v>182</v>
      </c>
      <c r="M36" s="344" t="s">
        <v>280</v>
      </c>
      <c r="N36" s="344" t="s">
        <v>186</v>
      </c>
      <c r="O36" s="344" t="s">
        <v>173</v>
      </c>
      <c r="P36" s="344" t="s">
        <v>237</v>
      </c>
      <c r="Q36" s="344" t="s">
        <v>25</v>
      </c>
      <c r="R36" s="344" t="s">
        <v>244</v>
      </c>
    </row>
    <row r="37" spans="1:18" x14ac:dyDescent="0.15">
      <c r="A37" s="344" t="s">
        <v>130</v>
      </c>
      <c r="B37" s="344" t="s">
        <v>329</v>
      </c>
      <c r="C37" s="344" t="s">
        <v>361</v>
      </c>
      <c r="D37" s="335">
        <v>67600</v>
      </c>
      <c r="E37" s="335">
        <v>0</v>
      </c>
      <c r="F37" s="335">
        <f t="shared" si="2"/>
        <v>105456</v>
      </c>
      <c r="G37" s="335">
        <f t="shared" si="3"/>
        <v>0</v>
      </c>
      <c r="H37" s="344" t="s">
        <v>244</v>
      </c>
      <c r="I37" s="344">
        <v>1</v>
      </c>
      <c r="J37" s="344">
        <v>1</v>
      </c>
      <c r="K37" s="344" t="s">
        <v>361</v>
      </c>
      <c r="L37" s="344" t="s">
        <v>182</v>
      </c>
      <c r="M37" s="344" t="s">
        <v>280</v>
      </c>
      <c r="N37" s="344" t="s">
        <v>186</v>
      </c>
      <c r="O37" s="344" t="s">
        <v>173</v>
      </c>
      <c r="P37" s="344" t="s">
        <v>180</v>
      </c>
      <c r="Q37" s="344" t="s">
        <v>25</v>
      </c>
      <c r="R37" s="344" t="s">
        <v>244</v>
      </c>
    </row>
    <row r="38" spans="1:18" x14ac:dyDescent="0.15">
      <c r="A38" s="344" t="s">
        <v>62</v>
      </c>
      <c r="B38" s="344" t="s">
        <v>329</v>
      </c>
      <c r="C38" s="344" t="s">
        <v>360</v>
      </c>
      <c r="D38" s="335">
        <v>0</v>
      </c>
      <c r="E38" s="335">
        <v>0</v>
      </c>
      <c r="F38" s="335">
        <f t="shared" si="2"/>
        <v>0</v>
      </c>
      <c r="G38" s="335">
        <f t="shared" si="3"/>
        <v>0</v>
      </c>
      <c r="H38" s="344" t="s">
        <v>244</v>
      </c>
      <c r="I38" s="344">
        <v>4</v>
      </c>
      <c r="J38" s="344">
        <v>4</v>
      </c>
      <c r="K38" s="344" t="s">
        <v>360</v>
      </c>
      <c r="L38" s="344" t="s">
        <v>356</v>
      </c>
      <c r="M38" s="344" t="s">
        <v>355</v>
      </c>
      <c r="N38" s="344" t="s">
        <v>186</v>
      </c>
      <c r="O38" s="344" t="s">
        <v>173</v>
      </c>
      <c r="P38" s="344" t="s">
        <v>180</v>
      </c>
      <c r="Q38" s="344" t="s">
        <v>29</v>
      </c>
      <c r="R38" s="344" t="s">
        <v>244</v>
      </c>
    </row>
    <row r="39" spans="1:18" x14ac:dyDescent="0.15">
      <c r="A39" s="344" t="s">
        <v>57</v>
      </c>
      <c r="B39" s="344" t="s">
        <v>329</v>
      </c>
      <c r="C39" s="344" t="s">
        <v>359</v>
      </c>
      <c r="D39" s="335">
        <v>0</v>
      </c>
      <c r="E39" s="335">
        <v>262535.18</v>
      </c>
      <c r="F39" s="335">
        <f t="shared" si="2"/>
        <v>0</v>
      </c>
      <c r="G39" s="335">
        <f t="shared" si="3"/>
        <v>409554.88079999998</v>
      </c>
      <c r="H39" s="344" t="s">
        <v>244</v>
      </c>
      <c r="I39" s="344">
        <v>3</v>
      </c>
      <c r="J39" s="344">
        <v>3</v>
      </c>
      <c r="K39" s="344" t="s">
        <v>359</v>
      </c>
      <c r="L39" s="344" t="s">
        <v>320</v>
      </c>
      <c r="M39" s="344" t="s">
        <v>320</v>
      </c>
      <c r="N39" s="344" t="s">
        <v>186</v>
      </c>
      <c r="O39" s="344" t="s">
        <v>173</v>
      </c>
      <c r="P39" s="344" t="s">
        <v>180</v>
      </c>
      <c r="Q39" s="344" t="s">
        <v>27</v>
      </c>
      <c r="R39" s="344" t="s">
        <v>244</v>
      </c>
    </row>
    <row r="40" spans="1:18" x14ac:dyDescent="0.15">
      <c r="A40" s="344" t="s">
        <v>130</v>
      </c>
      <c r="B40" s="344" t="s">
        <v>329</v>
      </c>
      <c r="C40" s="344" t="s">
        <v>358</v>
      </c>
      <c r="D40" s="335">
        <v>28000</v>
      </c>
      <c r="E40" s="335">
        <v>2179129.6974930004</v>
      </c>
      <c r="F40" s="335">
        <f t="shared" si="2"/>
        <v>43680</v>
      </c>
      <c r="G40" s="335">
        <f t="shared" si="3"/>
        <v>3399442.3280890808</v>
      </c>
      <c r="H40" s="344" t="s">
        <v>244</v>
      </c>
      <c r="I40" s="344">
        <v>2</v>
      </c>
      <c r="J40" s="344">
        <v>2</v>
      </c>
      <c r="K40" s="344" t="s">
        <v>358</v>
      </c>
      <c r="L40" s="344" t="s">
        <v>182</v>
      </c>
      <c r="M40" s="344" t="s">
        <v>181</v>
      </c>
      <c r="N40" s="344" t="s">
        <v>186</v>
      </c>
      <c r="O40" s="344" t="s">
        <v>173</v>
      </c>
      <c r="P40" s="344" t="s">
        <v>180</v>
      </c>
      <c r="Q40" s="344" t="s">
        <v>25</v>
      </c>
      <c r="R40" s="344" t="s">
        <v>244</v>
      </c>
    </row>
    <row r="41" spans="1:18" x14ac:dyDescent="0.15">
      <c r="A41" s="344" t="s">
        <v>57</v>
      </c>
      <c r="B41" s="344" t="s">
        <v>329</v>
      </c>
      <c r="C41" s="344" t="s">
        <v>357</v>
      </c>
      <c r="D41" s="335">
        <v>0</v>
      </c>
      <c r="E41" s="335">
        <v>0</v>
      </c>
      <c r="F41" s="335">
        <f t="shared" si="2"/>
        <v>0</v>
      </c>
      <c r="G41" s="335">
        <f t="shared" si="3"/>
        <v>0</v>
      </c>
      <c r="H41" s="344" t="s">
        <v>244</v>
      </c>
      <c r="I41" s="344">
        <v>4</v>
      </c>
      <c r="J41" s="344">
        <v>4</v>
      </c>
      <c r="K41" s="344" t="s">
        <v>357</v>
      </c>
      <c r="L41" s="344" t="s">
        <v>356</v>
      </c>
      <c r="M41" s="344" t="s">
        <v>355</v>
      </c>
      <c r="N41" s="344" t="s">
        <v>186</v>
      </c>
      <c r="O41" s="344" t="s">
        <v>173</v>
      </c>
      <c r="P41" s="344" t="s">
        <v>180</v>
      </c>
      <c r="Q41" s="344" t="s">
        <v>29</v>
      </c>
      <c r="R41" s="344" t="s">
        <v>244</v>
      </c>
    </row>
    <row r="42" spans="1:18" x14ac:dyDescent="0.15">
      <c r="A42" s="344" t="s">
        <v>62</v>
      </c>
      <c r="B42" s="344" t="s">
        <v>329</v>
      </c>
      <c r="C42" s="344" t="s">
        <v>353</v>
      </c>
      <c r="D42" s="335">
        <v>0</v>
      </c>
      <c r="E42" s="335">
        <v>0</v>
      </c>
      <c r="F42" s="335">
        <f t="shared" si="2"/>
        <v>0</v>
      </c>
      <c r="G42" s="335">
        <f t="shared" si="3"/>
        <v>0</v>
      </c>
      <c r="H42" s="344" t="s">
        <v>354</v>
      </c>
      <c r="I42" s="344">
        <v>1</v>
      </c>
      <c r="J42" s="344">
        <v>1</v>
      </c>
      <c r="K42" s="344" t="s">
        <v>353</v>
      </c>
      <c r="L42" s="344" t="s">
        <v>182</v>
      </c>
      <c r="M42" s="344" t="s">
        <v>285</v>
      </c>
      <c r="N42" s="344" t="s">
        <v>186</v>
      </c>
      <c r="O42" s="344" t="s">
        <v>173</v>
      </c>
      <c r="P42" s="344" t="s">
        <v>237</v>
      </c>
      <c r="Q42" s="344" t="s">
        <v>25</v>
      </c>
      <c r="R42" s="344" t="s">
        <v>244</v>
      </c>
    </row>
    <row r="43" spans="1:18" x14ac:dyDescent="0.15">
      <c r="A43" s="344" t="s">
        <v>66</v>
      </c>
      <c r="B43" s="344" t="s">
        <v>329</v>
      </c>
      <c r="C43" s="344" t="s">
        <v>352</v>
      </c>
      <c r="D43" s="335">
        <v>0</v>
      </c>
      <c r="E43" s="335">
        <v>212800.26</v>
      </c>
      <c r="F43" s="335">
        <f t="shared" si="2"/>
        <v>0</v>
      </c>
      <c r="G43" s="335">
        <f t="shared" si="3"/>
        <v>331968.4056</v>
      </c>
      <c r="H43" s="344" t="s">
        <v>244</v>
      </c>
      <c r="I43" s="344">
        <v>4</v>
      </c>
      <c r="J43" s="344">
        <v>4</v>
      </c>
      <c r="K43" s="344" t="s">
        <v>352</v>
      </c>
      <c r="L43" s="344" t="s">
        <v>182</v>
      </c>
      <c r="M43" s="344" t="s">
        <v>181</v>
      </c>
      <c r="N43" s="344" t="s">
        <v>186</v>
      </c>
      <c r="O43" s="344" t="s">
        <v>173</v>
      </c>
      <c r="P43" s="344" t="s">
        <v>180</v>
      </c>
      <c r="Q43" s="344" t="s">
        <v>27</v>
      </c>
      <c r="R43" s="344" t="s">
        <v>244</v>
      </c>
    </row>
    <row r="44" spans="1:18" x14ac:dyDescent="0.15">
      <c r="A44" s="344" t="s">
        <v>66</v>
      </c>
      <c r="B44" s="344" t="s">
        <v>329</v>
      </c>
      <c r="C44" s="344" t="s">
        <v>351</v>
      </c>
      <c r="D44" s="335">
        <v>0</v>
      </c>
      <c r="E44" s="335">
        <v>0</v>
      </c>
      <c r="F44" s="335">
        <f t="shared" si="2"/>
        <v>0</v>
      </c>
      <c r="G44" s="335">
        <f t="shared" si="3"/>
        <v>0</v>
      </c>
      <c r="H44" s="344" t="s">
        <v>244</v>
      </c>
      <c r="I44" s="344">
        <v>4</v>
      </c>
      <c r="J44" s="344">
        <v>4</v>
      </c>
      <c r="K44" s="344" t="s">
        <v>351</v>
      </c>
      <c r="L44" s="344" t="s">
        <v>182</v>
      </c>
      <c r="M44" s="344" t="s">
        <v>238</v>
      </c>
      <c r="N44" s="344" t="s">
        <v>186</v>
      </c>
      <c r="O44" s="344" t="s">
        <v>173</v>
      </c>
      <c r="P44" s="344" t="s">
        <v>180</v>
      </c>
      <c r="Q44" s="344" t="s">
        <v>25</v>
      </c>
      <c r="R44" s="344" t="s">
        <v>244</v>
      </c>
    </row>
    <row r="45" spans="1:18" x14ac:dyDescent="0.15">
      <c r="A45" s="346" t="s">
        <v>66</v>
      </c>
      <c r="B45" s="344" t="s">
        <v>329</v>
      </c>
      <c r="C45" s="346" t="s">
        <v>350</v>
      </c>
      <c r="D45" s="336">
        <v>57050</v>
      </c>
      <c r="E45" s="336">
        <v>5909229.3440000005</v>
      </c>
      <c r="F45" s="335">
        <f t="shared" si="2"/>
        <v>88998</v>
      </c>
      <c r="G45" s="335">
        <f t="shared" si="3"/>
        <v>9218397.7766400017</v>
      </c>
      <c r="H45" s="346" t="s">
        <v>244</v>
      </c>
      <c r="I45" s="346" t="s">
        <v>185</v>
      </c>
      <c r="J45" s="346" t="s">
        <v>185</v>
      </c>
      <c r="K45" s="346" t="s">
        <v>350</v>
      </c>
      <c r="L45" s="344" t="s">
        <v>182</v>
      </c>
      <c r="M45" s="344" t="s">
        <v>238</v>
      </c>
      <c r="N45" s="344" t="s">
        <v>186</v>
      </c>
      <c r="O45" s="344" t="s">
        <v>173</v>
      </c>
      <c r="P45" s="344" t="s">
        <v>180</v>
      </c>
      <c r="Q45" s="344" t="s">
        <v>349</v>
      </c>
      <c r="R45" s="344" t="s">
        <v>244</v>
      </c>
    </row>
    <row r="46" spans="1:18" x14ac:dyDescent="0.15">
      <c r="A46" s="344" t="s">
        <v>62</v>
      </c>
      <c r="B46" s="344" t="s">
        <v>329</v>
      </c>
      <c r="C46" s="344" t="s">
        <v>348</v>
      </c>
      <c r="D46" s="335">
        <v>0</v>
      </c>
      <c r="E46" s="335">
        <v>0</v>
      </c>
      <c r="F46" s="335">
        <f t="shared" si="2"/>
        <v>0</v>
      </c>
      <c r="G46" s="335">
        <f t="shared" si="3"/>
        <v>0</v>
      </c>
      <c r="H46" s="344" t="s">
        <v>244</v>
      </c>
      <c r="I46" s="344">
        <v>4</v>
      </c>
      <c r="J46" s="344">
        <v>4</v>
      </c>
      <c r="K46" s="344" t="s">
        <v>348</v>
      </c>
      <c r="L46" s="344" t="s">
        <v>177</v>
      </c>
      <c r="M46" s="344" t="s">
        <v>228</v>
      </c>
      <c r="N46" s="344" t="s">
        <v>186</v>
      </c>
      <c r="O46" s="344" t="s">
        <v>173</v>
      </c>
      <c r="P46" s="344" t="s">
        <v>180</v>
      </c>
      <c r="Q46" s="344" t="s">
        <v>29</v>
      </c>
      <c r="R46" s="344" t="s">
        <v>244</v>
      </c>
    </row>
    <row r="47" spans="1:18" x14ac:dyDescent="0.15">
      <c r="A47" s="344" t="s">
        <v>62</v>
      </c>
      <c r="B47" s="344" t="s">
        <v>329</v>
      </c>
      <c r="C47" s="344" t="s">
        <v>347</v>
      </c>
      <c r="D47" s="335">
        <v>0</v>
      </c>
      <c r="E47" s="335">
        <v>0</v>
      </c>
      <c r="F47" s="335">
        <f t="shared" si="2"/>
        <v>0</v>
      </c>
      <c r="G47" s="335">
        <f t="shared" si="3"/>
        <v>0</v>
      </c>
      <c r="H47" s="344" t="s">
        <v>244</v>
      </c>
      <c r="I47" s="344">
        <v>4</v>
      </c>
      <c r="J47" s="344">
        <v>4</v>
      </c>
      <c r="K47" s="344" t="s">
        <v>347</v>
      </c>
      <c r="L47" s="344" t="s">
        <v>177</v>
      </c>
      <c r="M47" s="344" t="s">
        <v>346</v>
      </c>
      <c r="N47" s="344" t="s">
        <v>186</v>
      </c>
      <c r="O47" s="344" t="s">
        <v>173</v>
      </c>
      <c r="P47" s="344" t="s">
        <v>282</v>
      </c>
      <c r="Q47" s="344" t="s">
        <v>52</v>
      </c>
      <c r="R47" s="344" t="s">
        <v>244</v>
      </c>
    </row>
    <row r="48" spans="1:18" x14ac:dyDescent="0.15">
      <c r="A48" s="344" t="s">
        <v>130</v>
      </c>
      <c r="B48" s="344" t="s">
        <v>329</v>
      </c>
      <c r="C48" s="344" t="s">
        <v>345</v>
      </c>
      <c r="D48" s="335">
        <v>0</v>
      </c>
      <c r="E48" s="335">
        <v>0</v>
      </c>
      <c r="F48" s="335">
        <f t="shared" si="2"/>
        <v>0</v>
      </c>
      <c r="G48" s="335">
        <f t="shared" si="3"/>
        <v>0</v>
      </c>
      <c r="H48" s="344" t="s">
        <v>244</v>
      </c>
      <c r="I48" s="344">
        <v>3</v>
      </c>
      <c r="J48" s="344">
        <v>3</v>
      </c>
      <c r="K48" s="344" t="s">
        <v>345</v>
      </c>
      <c r="L48" s="344" t="s">
        <v>182</v>
      </c>
      <c r="M48" s="344" t="s">
        <v>212</v>
      </c>
      <c r="N48" s="344" t="s">
        <v>186</v>
      </c>
      <c r="O48" s="344" t="s">
        <v>173</v>
      </c>
      <c r="P48" s="344" t="s">
        <v>180</v>
      </c>
      <c r="Q48" s="344" t="s">
        <v>25</v>
      </c>
      <c r="R48" s="344" t="s">
        <v>244</v>
      </c>
    </row>
    <row r="49" spans="1:18" x14ac:dyDescent="0.15">
      <c r="A49" s="344" t="s">
        <v>130</v>
      </c>
      <c r="B49" s="344" t="s">
        <v>329</v>
      </c>
      <c r="C49" s="344" t="s">
        <v>344</v>
      </c>
      <c r="D49" s="335">
        <v>0</v>
      </c>
      <c r="E49" s="335">
        <v>0</v>
      </c>
      <c r="F49" s="335">
        <f t="shared" si="2"/>
        <v>0</v>
      </c>
      <c r="G49" s="335">
        <f t="shared" si="3"/>
        <v>0</v>
      </c>
      <c r="H49" s="344" t="s">
        <v>244</v>
      </c>
      <c r="I49" s="344">
        <v>1</v>
      </c>
      <c r="J49" s="344">
        <v>1</v>
      </c>
      <c r="K49" s="344" t="s">
        <v>344</v>
      </c>
      <c r="L49" s="344" t="s">
        <v>182</v>
      </c>
      <c r="M49" s="344" t="s">
        <v>335</v>
      </c>
      <c r="N49" s="344" t="s">
        <v>186</v>
      </c>
      <c r="O49" s="344" t="s">
        <v>173</v>
      </c>
      <c r="P49" s="344" t="s">
        <v>180</v>
      </c>
      <c r="Q49" s="344" t="s">
        <v>29</v>
      </c>
      <c r="R49" s="344" t="s">
        <v>244</v>
      </c>
    </row>
    <row r="50" spans="1:18" x14ac:dyDescent="0.15">
      <c r="A50" s="344" t="s">
        <v>64</v>
      </c>
      <c r="B50" s="344" t="s">
        <v>329</v>
      </c>
      <c r="C50" s="344" t="s">
        <v>343</v>
      </c>
      <c r="D50" s="335">
        <v>0</v>
      </c>
      <c r="E50" s="335">
        <v>0</v>
      </c>
      <c r="F50" s="335">
        <f t="shared" si="2"/>
        <v>0</v>
      </c>
      <c r="G50" s="335">
        <f t="shared" si="3"/>
        <v>0</v>
      </c>
      <c r="H50" s="344" t="s">
        <v>244</v>
      </c>
      <c r="I50" s="344">
        <v>4</v>
      </c>
      <c r="J50" s="344">
        <v>4</v>
      </c>
      <c r="K50" s="344" t="s">
        <v>343</v>
      </c>
      <c r="L50" s="344" t="s">
        <v>324</v>
      </c>
      <c r="M50" s="344" t="s">
        <v>342</v>
      </c>
      <c r="N50" s="344" t="s">
        <v>186</v>
      </c>
      <c r="O50" s="344" t="s">
        <v>173</v>
      </c>
      <c r="P50" s="344" t="s">
        <v>180</v>
      </c>
      <c r="Q50" s="344" t="s">
        <v>29</v>
      </c>
      <c r="R50" s="344" t="s">
        <v>244</v>
      </c>
    </row>
    <row r="51" spans="1:18" x14ac:dyDescent="0.15">
      <c r="A51" s="344" t="s">
        <v>62</v>
      </c>
      <c r="B51" s="344" t="s">
        <v>329</v>
      </c>
      <c r="C51" s="344" t="s">
        <v>341</v>
      </c>
      <c r="D51" s="335">
        <v>0</v>
      </c>
      <c r="E51" s="335">
        <v>0</v>
      </c>
      <c r="F51" s="335">
        <f t="shared" si="2"/>
        <v>0</v>
      </c>
      <c r="G51" s="335">
        <f t="shared" si="3"/>
        <v>0</v>
      </c>
      <c r="H51" s="344" t="s">
        <v>244</v>
      </c>
      <c r="I51" s="344" t="s">
        <v>185</v>
      </c>
      <c r="J51" s="344" t="s">
        <v>185</v>
      </c>
      <c r="K51" s="344" t="s">
        <v>341</v>
      </c>
      <c r="L51" s="344" t="s">
        <v>177</v>
      </c>
      <c r="M51" s="344" t="s">
        <v>340</v>
      </c>
      <c r="N51" s="344" t="s">
        <v>186</v>
      </c>
      <c r="O51" s="344" t="s">
        <v>173</v>
      </c>
      <c r="P51" s="344" t="s">
        <v>180</v>
      </c>
      <c r="Q51" s="344" t="s">
        <v>339</v>
      </c>
      <c r="R51" s="344" t="s">
        <v>244</v>
      </c>
    </row>
    <row r="52" spans="1:18" x14ac:dyDescent="0.15">
      <c r="A52" s="344" t="s">
        <v>66</v>
      </c>
      <c r="B52" s="344" t="s">
        <v>329</v>
      </c>
      <c r="C52" s="344" t="s">
        <v>338</v>
      </c>
      <c r="D52" s="335">
        <v>923211.62</v>
      </c>
      <c r="E52" s="335">
        <v>4483887.8899999987</v>
      </c>
      <c r="F52" s="335">
        <f t="shared" si="2"/>
        <v>1440210.1272</v>
      </c>
      <c r="G52" s="335">
        <f t="shared" si="3"/>
        <v>6994865.1083999984</v>
      </c>
      <c r="H52" s="344" t="s">
        <v>244</v>
      </c>
      <c r="I52" s="344">
        <v>2</v>
      </c>
      <c r="J52" s="344">
        <v>2</v>
      </c>
      <c r="K52" s="344" t="s">
        <v>338</v>
      </c>
      <c r="L52" s="344" t="s">
        <v>182</v>
      </c>
      <c r="M52" s="344" t="s">
        <v>327</v>
      </c>
      <c r="N52" s="344" t="s">
        <v>186</v>
      </c>
      <c r="O52" s="344" t="s">
        <v>173</v>
      </c>
      <c r="P52" s="344" t="s">
        <v>180</v>
      </c>
      <c r="Q52" s="344" t="s">
        <v>25</v>
      </c>
      <c r="R52" s="344" t="s">
        <v>244</v>
      </c>
    </row>
    <row r="53" spans="1:18" x14ac:dyDescent="0.15">
      <c r="A53" s="344" t="s">
        <v>130</v>
      </c>
      <c r="B53" s="344" t="s">
        <v>329</v>
      </c>
      <c r="C53" s="344" t="s">
        <v>337</v>
      </c>
      <c r="D53" s="335">
        <v>0</v>
      </c>
      <c r="E53" s="335">
        <v>0</v>
      </c>
      <c r="F53" s="335">
        <f t="shared" si="2"/>
        <v>0</v>
      </c>
      <c r="G53" s="335">
        <f t="shared" si="3"/>
        <v>0</v>
      </c>
      <c r="H53" s="344" t="s">
        <v>244</v>
      </c>
      <c r="I53" s="344">
        <v>2</v>
      </c>
      <c r="J53" s="344">
        <v>2</v>
      </c>
      <c r="K53" s="344" t="s">
        <v>337</v>
      </c>
      <c r="L53" s="344" t="s">
        <v>182</v>
      </c>
      <c r="M53" s="344" t="s">
        <v>327</v>
      </c>
      <c r="N53" s="344" t="s">
        <v>186</v>
      </c>
      <c r="O53" s="344" t="s">
        <v>173</v>
      </c>
      <c r="P53" s="344" t="s">
        <v>180</v>
      </c>
      <c r="Q53" s="344" t="s">
        <v>25</v>
      </c>
      <c r="R53" s="344" t="s">
        <v>244</v>
      </c>
    </row>
    <row r="54" spans="1:18" x14ac:dyDescent="0.15">
      <c r="A54" s="344" t="s">
        <v>57</v>
      </c>
      <c r="B54" s="344" t="s">
        <v>329</v>
      </c>
      <c r="C54" s="344" t="s">
        <v>336</v>
      </c>
      <c r="D54" s="335">
        <v>0</v>
      </c>
      <c r="E54" s="335">
        <v>0</v>
      </c>
      <c r="F54" s="335">
        <f t="shared" si="2"/>
        <v>0</v>
      </c>
      <c r="G54" s="335">
        <f t="shared" si="3"/>
        <v>0</v>
      </c>
      <c r="H54" s="344" t="s">
        <v>244</v>
      </c>
      <c r="I54" s="344">
        <v>4</v>
      </c>
      <c r="J54" s="344">
        <v>4</v>
      </c>
      <c r="K54" s="344" t="s">
        <v>336</v>
      </c>
      <c r="L54" s="344" t="s">
        <v>182</v>
      </c>
      <c r="M54" s="344" t="s">
        <v>335</v>
      </c>
      <c r="N54" s="344" t="s">
        <v>186</v>
      </c>
      <c r="O54" s="344" t="s">
        <v>173</v>
      </c>
      <c r="P54" s="344" t="s">
        <v>180</v>
      </c>
      <c r="Q54" s="344" t="s">
        <v>29</v>
      </c>
      <c r="R54" s="344" t="s">
        <v>244</v>
      </c>
    </row>
    <row r="55" spans="1:18" x14ac:dyDescent="0.15">
      <c r="A55" s="344" t="s">
        <v>64</v>
      </c>
      <c r="B55" s="344" t="s">
        <v>329</v>
      </c>
      <c r="C55" s="344" t="s">
        <v>334</v>
      </c>
      <c r="D55" s="335">
        <v>0</v>
      </c>
      <c r="E55" s="335">
        <v>64728.32</v>
      </c>
      <c r="F55" s="335">
        <f t="shared" si="2"/>
        <v>0</v>
      </c>
      <c r="G55" s="335">
        <f t="shared" si="3"/>
        <v>100976.1792</v>
      </c>
      <c r="H55" s="344" t="s">
        <v>244</v>
      </c>
      <c r="I55" s="344">
        <v>3</v>
      </c>
      <c r="J55" s="344">
        <v>3</v>
      </c>
      <c r="K55" s="344" t="s">
        <v>334</v>
      </c>
      <c r="L55" s="344" t="s">
        <v>333</v>
      </c>
      <c r="M55" s="344" t="s">
        <v>332</v>
      </c>
      <c r="N55" s="344" t="s">
        <v>186</v>
      </c>
      <c r="O55" s="344" t="s">
        <v>173</v>
      </c>
      <c r="P55" s="344" t="s">
        <v>218</v>
      </c>
      <c r="Q55" s="344" t="s">
        <v>32</v>
      </c>
      <c r="R55" s="344" t="s">
        <v>244</v>
      </c>
    </row>
    <row r="56" spans="1:18" x14ac:dyDescent="0.15">
      <c r="A56" s="344" t="s">
        <v>130</v>
      </c>
      <c r="B56" s="344" t="s">
        <v>329</v>
      </c>
      <c r="C56" s="344" t="s">
        <v>331</v>
      </c>
      <c r="D56" s="335">
        <v>0</v>
      </c>
      <c r="E56" s="335">
        <v>765000</v>
      </c>
      <c r="F56" s="335">
        <f t="shared" si="2"/>
        <v>0</v>
      </c>
      <c r="G56" s="335">
        <f t="shared" si="3"/>
        <v>1193400</v>
      </c>
      <c r="H56" s="344" t="s">
        <v>244</v>
      </c>
      <c r="I56" s="344">
        <v>2</v>
      </c>
      <c r="J56" s="344">
        <v>2</v>
      </c>
      <c r="K56" s="344" t="s">
        <v>331</v>
      </c>
      <c r="L56" s="344" t="s">
        <v>320</v>
      </c>
      <c r="M56" s="344" t="s">
        <v>330</v>
      </c>
      <c r="N56" s="344" t="s">
        <v>186</v>
      </c>
      <c r="O56" s="344" t="s">
        <v>173</v>
      </c>
      <c r="P56" s="344" t="s">
        <v>218</v>
      </c>
      <c r="Q56" s="344" t="s">
        <v>29</v>
      </c>
      <c r="R56" s="344" t="s">
        <v>244</v>
      </c>
    </row>
    <row r="57" spans="1:18" x14ac:dyDescent="0.15">
      <c r="A57" s="344" t="s">
        <v>57</v>
      </c>
      <c r="B57" s="344" t="s">
        <v>329</v>
      </c>
      <c r="C57" s="344" t="s">
        <v>328</v>
      </c>
      <c r="D57" s="335">
        <v>0</v>
      </c>
      <c r="E57" s="335">
        <v>0</v>
      </c>
      <c r="F57" s="335">
        <f t="shared" si="2"/>
        <v>0</v>
      </c>
      <c r="G57" s="335">
        <f t="shared" si="3"/>
        <v>0</v>
      </c>
      <c r="H57" s="344" t="s">
        <v>244</v>
      </c>
      <c r="I57" s="344">
        <v>1</v>
      </c>
      <c r="J57" s="344">
        <v>1</v>
      </c>
      <c r="K57" s="344" t="s">
        <v>328</v>
      </c>
      <c r="L57" s="344" t="s">
        <v>182</v>
      </c>
      <c r="M57" s="344" t="s">
        <v>327</v>
      </c>
      <c r="N57" s="344" t="s">
        <v>186</v>
      </c>
      <c r="O57" s="344" t="s">
        <v>173</v>
      </c>
      <c r="P57" s="344" t="s">
        <v>180</v>
      </c>
      <c r="Q57" s="344" t="s">
        <v>27</v>
      </c>
      <c r="R57" s="344" t="s">
        <v>244</v>
      </c>
    </row>
    <row r="58" spans="1:18" x14ac:dyDescent="0.15">
      <c r="A58" s="344" t="s">
        <v>326</v>
      </c>
      <c r="B58" s="344" t="s">
        <v>326</v>
      </c>
      <c r="C58" s="344" t="s">
        <v>326</v>
      </c>
      <c r="D58" s="335">
        <v>13151435.928599998</v>
      </c>
      <c r="E58" s="335"/>
      <c r="F58" s="340"/>
      <c r="G58" s="340"/>
      <c r="H58" s="344" t="s">
        <v>179</v>
      </c>
      <c r="K58" s="344" t="s">
        <v>326</v>
      </c>
      <c r="L58" s="344" t="s">
        <v>326</v>
      </c>
      <c r="M58" s="344" t="s">
        <v>326</v>
      </c>
      <c r="N58" s="344" t="s">
        <v>175</v>
      </c>
      <c r="Q58" s="344" t="s">
        <v>326</v>
      </c>
    </row>
    <row r="59" spans="1:18" x14ac:dyDescent="0.15">
      <c r="A59" s="344" t="s">
        <v>64</v>
      </c>
      <c r="B59" s="344" t="s">
        <v>83</v>
      </c>
      <c r="C59" s="344" t="s">
        <v>325</v>
      </c>
      <c r="D59" s="335">
        <v>51250</v>
      </c>
      <c r="E59" s="335">
        <v>190000</v>
      </c>
      <c r="F59" s="335">
        <f t="shared" ref="F59:F90" si="4">D59*(1+56%)</f>
        <v>79950</v>
      </c>
      <c r="G59" s="335">
        <f t="shared" ref="G59:G90" si="5">E59*(1+56%)</f>
        <v>296400</v>
      </c>
      <c r="H59" s="344" t="s">
        <v>179</v>
      </c>
      <c r="I59" s="344">
        <v>4</v>
      </c>
      <c r="J59" s="344">
        <v>4</v>
      </c>
      <c r="K59" s="344" t="s">
        <v>325</v>
      </c>
      <c r="L59" s="344" t="s">
        <v>324</v>
      </c>
      <c r="M59" s="344" t="s">
        <v>323</v>
      </c>
      <c r="N59" s="344" t="s">
        <v>186</v>
      </c>
      <c r="O59" s="344" t="s">
        <v>173</v>
      </c>
      <c r="P59" s="344" t="s">
        <v>180</v>
      </c>
      <c r="Q59" s="344" t="s">
        <v>29</v>
      </c>
      <c r="R59" s="344" t="s">
        <v>173</v>
      </c>
    </row>
    <row r="60" spans="1:18" x14ac:dyDescent="0.15">
      <c r="A60" s="344" t="s">
        <v>62</v>
      </c>
      <c r="B60" s="344" t="s">
        <v>83</v>
      </c>
      <c r="C60" s="344" t="s">
        <v>322</v>
      </c>
      <c r="D60" s="335">
        <v>0</v>
      </c>
      <c r="E60" s="335">
        <v>329520.06</v>
      </c>
      <c r="F60" s="335">
        <f t="shared" si="4"/>
        <v>0</v>
      </c>
      <c r="G60" s="335">
        <f t="shared" si="5"/>
        <v>514051.29360000003</v>
      </c>
      <c r="H60" s="344" t="s">
        <v>179</v>
      </c>
      <c r="I60" s="344">
        <v>3</v>
      </c>
      <c r="J60" s="344">
        <v>3</v>
      </c>
      <c r="K60" s="344" t="s">
        <v>322</v>
      </c>
      <c r="L60" s="344" t="s">
        <v>320</v>
      </c>
      <c r="M60" s="344" t="s">
        <v>320</v>
      </c>
      <c r="N60" s="344" t="s">
        <v>186</v>
      </c>
      <c r="O60" s="344" t="s">
        <v>173</v>
      </c>
      <c r="P60" s="344" t="s">
        <v>218</v>
      </c>
      <c r="Q60" s="344" t="s">
        <v>27</v>
      </c>
      <c r="R60" s="344" t="s">
        <v>173</v>
      </c>
    </row>
    <row r="61" spans="1:18" x14ac:dyDescent="0.15">
      <c r="A61" s="344" t="s">
        <v>66</v>
      </c>
      <c r="B61" s="344" t="s">
        <v>83</v>
      </c>
      <c r="C61" s="344" t="s">
        <v>321</v>
      </c>
      <c r="D61" s="335">
        <v>343000</v>
      </c>
      <c r="E61" s="335">
        <v>1099992.7999999996</v>
      </c>
      <c r="F61" s="335">
        <f t="shared" si="4"/>
        <v>535080</v>
      </c>
      <c r="G61" s="335">
        <f t="shared" si="5"/>
        <v>1715988.7679999995</v>
      </c>
      <c r="H61" s="344" t="s">
        <v>179</v>
      </c>
      <c r="I61" s="344">
        <v>3</v>
      </c>
      <c r="J61" s="344">
        <v>3</v>
      </c>
      <c r="K61" s="344" t="s">
        <v>321</v>
      </c>
      <c r="L61" s="344" t="s">
        <v>320</v>
      </c>
      <c r="M61" s="344" t="s">
        <v>319</v>
      </c>
      <c r="N61" s="344" t="s">
        <v>175</v>
      </c>
      <c r="O61" s="344" t="s">
        <v>173</v>
      </c>
      <c r="P61" s="344" t="s">
        <v>318</v>
      </c>
      <c r="Q61" s="344" t="s">
        <v>29</v>
      </c>
      <c r="R61" s="344" t="s">
        <v>173</v>
      </c>
    </row>
    <row r="62" spans="1:18" x14ac:dyDescent="0.15">
      <c r="A62" s="344" t="s">
        <v>64</v>
      </c>
      <c r="B62" s="344" t="s">
        <v>83</v>
      </c>
      <c r="C62" s="344" t="s">
        <v>317</v>
      </c>
      <c r="D62" s="335"/>
      <c r="E62" s="335">
        <v>1464187.4</v>
      </c>
      <c r="F62" s="335">
        <f t="shared" si="4"/>
        <v>0</v>
      </c>
      <c r="G62" s="335">
        <f t="shared" si="5"/>
        <v>2284132.344</v>
      </c>
      <c r="H62" s="344" t="s">
        <v>179</v>
      </c>
      <c r="I62" s="344">
        <v>3</v>
      </c>
      <c r="J62" s="344">
        <v>3</v>
      </c>
      <c r="K62" s="344" t="s">
        <v>317</v>
      </c>
      <c r="L62" s="344" t="s">
        <v>316</v>
      </c>
      <c r="M62" s="344" t="s">
        <v>316</v>
      </c>
      <c r="N62" s="344" t="s">
        <v>175</v>
      </c>
      <c r="O62" s="344" t="s">
        <v>173</v>
      </c>
      <c r="P62" s="344" t="s">
        <v>180</v>
      </c>
      <c r="Q62" s="344" t="s">
        <v>25</v>
      </c>
      <c r="R62" s="344" t="s">
        <v>173</v>
      </c>
    </row>
    <row r="63" spans="1:18" x14ac:dyDescent="0.15">
      <c r="A63" s="344" t="s">
        <v>66</v>
      </c>
      <c r="B63" s="344" t="s">
        <v>83</v>
      </c>
      <c r="C63" s="344" t="s">
        <v>315</v>
      </c>
      <c r="D63" s="335"/>
      <c r="E63" s="335">
        <v>485528.74</v>
      </c>
      <c r="F63" s="335">
        <f t="shared" si="4"/>
        <v>0</v>
      </c>
      <c r="G63" s="335">
        <f t="shared" si="5"/>
        <v>757424.83440000005</v>
      </c>
      <c r="H63" s="344" t="s">
        <v>179</v>
      </c>
      <c r="I63" s="344">
        <v>3</v>
      </c>
      <c r="J63" s="344">
        <v>3</v>
      </c>
      <c r="K63" s="344" t="s">
        <v>315</v>
      </c>
      <c r="L63" s="344" t="s">
        <v>312</v>
      </c>
      <c r="M63" s="344" t="s">
        <v>187</v>
      </c>
      <c r="N63" s="344" t="s">
        <v>175</v>
      </c>
      <c r="O63" s="344" t="s">
        <v>173</v>
      </c>
      <c r="P63" s="344" t="s">
        <v>282</v>
      </c>
      <c r="Q63" s="344" t="s">
        <v>29</v>
      </c>
      <c r="R63" s="344" t="s">
        <v>173</v>
      </c>
    </row>
    <row r="64" spans="1:18" x14ac:dyDescent="0.15">
      <c r="A64" s="344" t="s">
        <v>57</v>
      </c>
      <c r="B64" s="344" t="s">
        <v>83</v>
      </c>
      <c r="C64" s="344" t="s">
        <v>314</v>
      </c>
      <c r="D64" s="335"/>
      <c r="E64" s="335">
        <v>234794.29</v>
      </c>
      <c r="F64" s="335">
        <f t="shared" si="4"/>
        <v>0</v>
      </c>
      <c r="G64" s="335">
        <f t="shared" si="5"/>
        <v>366279.09240000002</v>
      </c>
      <c r="H64" s="344" t="s">
        <v>179</v>
      </c>
      <c r="I64" s="344">
        <v>3</v>
      </c>
      <c r="J64" s="344">
        <v>3</v>
      </c>
      <c r="K64" s="344" t="s">
        <v>314</v>
      </c>
      <c r="L64" s="344" t="s">
        <v>310</v>
      </c>
      <c r="M64" s="344" t="s">
        <v>309</v>
      </c>
      <c r="N64" s="344" t="s">
        <v>175</v>
      </c>
      <c r="O64" s="344" t="s">
        <v>173</v>
      </c>
      <c r="P64" s="344" t="s">
        <v>180</v>
      </c>
      <c r="Q64" s="344" t="s">
        <v>29</v>
      </c>
      <c r="R64" s="344" t="s">
        <v>173</v>
      </c>
    </row>
    <row r="65" spans="1:18" x14ac:dyDescent="0.15">
      <c r="A65" s="344" t="s">
        <v>57</v>
      </c>
      <c r="B65" s="344" t="s">
        <v>83</v>
      </c>
      <c r="C65" s="344" t="s">
        <v>313</v>
      </c>
      <c r="D65" s="335">
        <v>2111980</v>
      </c>
      <c r="E65" s="335">
        <v>2520493.69</v>
      </c>
      <c r="F65" s="335">
        <f t="shared" si="4"/>
        <v>3294688.8000000003</v>
      </c>
      <c r="G65" s="335">
        <f t="shared" si="5"/>
        <v>3931970.1564000002</v>
      </c>
      <c r="H65" s="344" t="s">
        <v>179</v>
      </c>
      <c r="I65" s="344">
        <v>2</v>
      </c>
      <c r="J65" s="344">
        <v>2</v>
      </c>
      <c r="K65" s="344" t="s">
        <v>313</v>
      </c>
      <c r="L65" s="348" t="s">
        <v>312</v>
      </c>
      <c r="M65" s="348" t="s">
        <v>312</v>
      </c>
      <c r="N65" s="344" t="s">
        <v>175</v>
      </c>
      <c r="O65" s="344" t="s">
        <v>173</v>
      </c>
      <c r="P65" s="344" t="s">
        <v>180</v>
      </c>
      <c r="Q65" s="344" t="s">
        <v>29</v>
      </c>
      <c r="R65" s="344" t="s">
        <v>173</v>
      </c>
    </row>
    <row r="66" spans="1:18" x14ac:dyDescent="0.15">
      <c r="A66" s="344" t="s">
        <v>62</v>
      </c>
      <c r="B66" s="344" t="s">
        <v>83</v>
      </c>
      <c r="C66" s="344" t="s">
        <v>311</v>
      </c>
      <c r="D66" s="335"/>
      <c r="E66" s="335">
        <v>3391875</v>
      </c>
      <c r="F66" s="335">
        <f t="shared" si="4"/>
        <v>0</v>
      </c>
      <c r="G66" s="335">
        <f t="shared" si="5"/>
        <v>5291325</v>
      </c>
      <c r="H66" s="344" t="s">
        <v>179</v>
      </c>
      <c r="I66" s="344">
        <v>2</v>
      </c>
      <c r="J66" s="344">
        <v>2</v>
      </c>
      <c r="K66" s="344" t="s">
        <v>311</v>
      </c>
      <c r="L66" s="344" t="s">
        <v>310</v>
      </c>
      <c r="M66" s="344" t="s">
        <v>309</v>
      </c>
      <c r="N66" s="344" t="s">
        <v>175</v>
      </c>
      <c r="O66" s="344" t="s">
        <v>173</v>
      </c>
      <c r="P66" s="344" t="s">
        <v>180</v>
      </c>
      <c r="Q66" s="344" t="s">
        <v>29</v>
      </c>
      <c r="R66" s="344" t="s">
        <v>173</v>
      </c>
    </row>
    <row r="67" spans="1:18" x14ac:dyDescent="0.15">
      <c r="A67" s="344" t="s">
        <v>62</v>
      </c>
      <c r="B67" s="344" t="s">
        <v>62</v>
      </c>
      <c r="C67" s="344" t="s">
        <v>308</v>
      </c>
      <c r="D67" s="335">
        <v>2318038.8079999997</v>
      </c>
      <c r="E67" s="335">
        <v>0</v>
      </c>
      <c r="F67" s="335">
        <f t="shared" si="4"/>
        <v>3616140.5404799995</v>
      </c>
      <c r="G67" s="335">
        <f t="shared" si="5"/>
        <v>0</v>
      </c>
      <c r="H67" s="344" t="s">
        <v>211</v>
      </c>
      <c r="I67" s="344">
        <v>1</v>
      </c>
      <c r="J67" s="344">
        <v>1</v>
      </c>
      <c r="K67" s="344" t="s">
        <v>308</v>
      </c>
      <c r="L67" s="344" t="s">
        <v>294</v>
      </c>
      <c r="M67" s="344" t="s">
        <v>294</v>
      </c>
      <c r="N67" s="344" t="s">
        <v>186</v>
      </c>
      <c r="O67" s="344" t="s">
        <v>207</v>
      </c>
      <c r="P67" s="344" t="s">
        <v>237</v>
      </c>
      <c r="Q67" s="344" t="s">
        <v>27</v>
      </c>
      <c r="R67" s="344" t="s">
        <v>173</v>
      </c>
    </row>
    <row r="68" spans="1:18" x14ac:dyDescent="0.15">
      <c r="A68" s="344" t="s">
        <v>62</v>
      </c>
      <c r="B68" s="344" t="s">
        <v>62</v>
      </c>
      <c r="C68" s="344" t="s">
        <v>307</v>
      </c>
      <c r="D68" s="335">
        <v>2477475</v>
      </c>
      <c r="E68" s="335">
        <v>0</v>
      </c>
      <c r="F68" s="335">
        <f t="shared" si="4"/>
        <v>3864861</v>
      </c>
      <c r="G68" s="335">
        <f t="shared" si="5"/>
        <v>0</v>
      </c>
      <c r="H68" s="344" t="s">
        <v>211</v>
      </c>
      <c r="I68" s="344">
        <v>2</v>
      </c>
      <c r="J68" s="344">
        <v>2</v>
      </c>
      <c r="K68" s="344" t="s">
        <v>307</v>
      </c>
      <c r="L68" s="344" t="s">
        <v>182</v>
      </c>
      <c r="M68" s="344" t="s">
        <v>181</v>
      </c>
      <c r="N68" s="344" t="s">
        <v>175</v>
      </c>
      <c r="O68" s="344" t="s">
        <v>173</v>
      </c>
      <c r="P68" s="344" t="s">
        <v>180</v>
      </c>
      <c r="Q68" s="344" t="s">
        <v>25</v>
      </c>
      <c r="R68" s="344" t="s">
        <v>173</v>
      </c>
    </row>
    <row r="69" spans="1:18" x14ac:dyDescent="0.15">
      <c r="A69" s="344" t="s">
        <v>57</v>
      </c>
      <c r="B69" s="344" t="s">
        <v>62</v>
      </c>
      <c r="C69" s="344" t="s">
        <v>306</v>
      </c>
      <c r="D69" s="335">
        <v>2118942.6799999997</v>
      </c>
      <c r="E69" s="335">
        <v>5197676.62</v>
      </c>
      <c r="F69" s="335">
        <f t="shared" si="4"/>
        <v>3305550.5807999996</v>
      </c>
      <c r="G69" s="337">
        <f t="shared" si="5"/>
        <v>8108375.5272000004</v>
      </c>
      <c r="H69" s="344" t="s">
        <v>179</v>
      </c>
      <c r="I69" s="344" t="s">
        <v>185</v>
      </c>
      <c r="J69" s="344" t="s">
        <v>185</v>
      </c>
      <c r="K69" s="344" t="s">
        <v>306</v>
      </c>
      <c r="L69" s="344" t="s">
        <v>182</v>
      </c>
      <c r="M69" s="344" t="s">
        <v>280</v>
      </c>
      <c r="N69" s="344" t="s">
        <v>175</v>
      </c>
      <c r="O69" s="344" t="s">
        <v>173</v>
      </c>
      <c r="P69" s="344" t="s">
        <v>180</v>
      </c>
      <c r="Q69" s="344" t="s">
        <v>215</v>
      </c>
      <c r="R69" s="344" t="s">
        <v>173</v>
      </c>
    </row>
    <row r="70" spans="1:18" x14ac:dyDescent="0.15">
      <c r="A70" s="344" t="s">
        <v>62</v>
      </c>
      <c r="B70" s="344" t="s">
        <v>62</v>
      </c>
      <c r="C70" s="344" t="s">
        <v>305</v>
      </c>
      <c r="D70" s="335">
        <v>2090947.2200000002</v>
      </c>
      <c r="E70" s="335">
        <v>0</v>
      </c>
      <c r="F70" s="335">
        <f t="shared" si="4"/>
        <v>3261877.6632000003</v>
      </c>
      <c r="G70" s="335">
        <f t="shared" si="5"/>
        <v>0</v>
      </c>
      <c r="H70" s="344" t="s">
        <v>179</v>
      </c>
      <c r="I70" s="344">
        <v>3</v>
      </c>
      <c r="J70" s="344">
        <v>3</v>
      </c>
      <c r="K70" s="344" t="s">
        <v>305</v>
      </c>
      <c r="L70" s="344" t="s">
        <v>182</v>
      </c>
      <c r="M70" s="344" t="s">
        <v>280</v>
      </c>
      <c r="N70" s="344" t="s">
        <v>175</v>
      </c>
      <c r="O70" s="344" t="s">
        <v>173</v>
      </c>
      <c r="P70" s="344" t="s">
        <v>180</v>
      </c>
      <c r="Q70" s="344" t="s">
        <v>25</v>
      </c>
      <c r="R70" s="344" t="s">
        <v>173</v>
      </c>
    </row>
    <row r="71" spans="1:18" x14ac:dyDescent="0.15">
      <c r="A71" s="344" t="s">
        <v>66</v>
      </c>
      <c r="B71" s="344" t="s">
        <v>62</v>
      </c>
      <c r="C71" s="344" t="s">
        <v>304</v>
      </c>
      <c r="D71" s="335">
        <v>648965.80359999998</v>
      </c>
      <c r="E71" s="335">
        <v>1068690.686</v>
      </c>
      <c r="F71" s="335">
        <f t="shared" si="4"/>
        <v>1012386.653616</v>
      </c>
      <c r="G71" s="337">
        <f t="shared" si="5"/>
        <v>1667157.47016</v>
      </c>
      <c r="H71" s="344" t="s">
        <v>179</v>
      </c>
      <c r="I71" s="344">
        <v>1</v>
      </c>
      <c r="J71" s="344">
        <v>1</v>
      </c>
      <c r="K71" s="344" t="s">
        <v>304</v>
      </c>
      <c r="L71" s="344" t="s">
        <v>182</v>
      </c>
      <c r="M71" s="344" t="s">
        <v>280</v>
      </c>
      <c r="N71" s="344" t="s">
        <v>186</v>
      </c>
      <c r="O71" s="344" t="s">
        <v>173</v>
      </c>
      <c r="P71" s="344" t="s">
        <v>237</v>
      </c>
      <c r="Q71" s="344" t="s">
        <v>25</v>
      </c>
      <c r="R71" s="344" t="s">
        <v>173</v>
      </c>
    </row>
    <row r="72" spans="1:18" x14ac:dyDescent="0.15">
      <c r="A72" s="344" t="s">
        <v>66</v>
      </c>
      <c r="B72" s="344" t="s">
        <v>62</v>
      </c>
      <c r="C72" s="344" t="s">
        <v>303</v>
      </c>
      <c r="D72" s="335">
        <v>1482692.25</v>
      </c>
      <c r="E72" s="335">
        <v>3925887.3</v>
      </c>
      <c r="F72" s="335">
        <f t="shared" si="4"/>
        <v>2312999.91</v>
      </c>
      <c r="G72" s="337">
        <f t="shared" si="5"/>
        <v>6124384.1880000001</v>
      </c>
      <c r="H72" s="344" t="s">
        <v>179</v>
      </c>
      <c r="I72" s="344">
        <v>1</v>
      </c>
      <c r="J72" s="344">
        <v>1</v>
      </c>
      <c r="K72" s="344" t="s">
        <v>303</v>
      </c>
      <c r="L72" s="344" t="s">
        <v>182</v>
      </c>
      <c r="M72" s="344" t="s">
        <v>280</v>
      </c>
      <c r="N72" s="344" t="s">
        <v>186</v>
      </c>
      <c r="O72" s="344" t="s">
        <v>173</v>
      </c>
      <c r="P72" s="344" t="s">
        <v>237</v>
      </c>
      <c r="Q72" s="344" t="s">
        <v>25</v>
      </c>
      <c r="R72" s="344" t="s">
        <v>173</v>
      </c>
    </row>
    <row r="73" spans="1:18" x14ac:dyDescent="0.15">
      <c r="A73" s="344" t="s">
        <v>66</v>
      </c>
      <c r="B73" s="344" t="s">
        <v>62</v>
      </c>
      <c r="C73" s="344" t="s">
        <v>302</v>
      </c>
      <c r="D73" s="335">
        <v>56064.259999999995</v>
      </c>
      <c r="E73" s="335">
        <v>1178270.4518759998</v>
      </c>
      <c r="F73" s="335">
        <f t="shared" si="4"/>
        <v>87460.245599999995</v>
      </c>
      <c r="G73" s="337">
        <f t="shared" si="5"/>
        <v>1838101.9049265597</v>
      </c>
      <c r="H73" s="344" t="s">
        <v>179</v>
      </c>
      <c r="I73" s="344">
        <v>1</v>
      </c>
      <c r="J73" s="344">
        <v>1</v>
      </c>
      <c r="K73" s="344" t="s">
        <v>302</v>
      </c>
      <c r="L73" s="344" t="s">
        <v>182</v>
      </c>
      <c r="M73" s="344" t="s">
        <v>280</v>
      </c>
      <c r="N73" s="344" t="s">
        <v>186</v>
      </c>
      <c r="O73" s="344" t="s">
        <v>173</v>
      </c>
      <c r="P73" s="344" t="s">
        <v>237</v>
      </c>
      <c r="Q73" s="344" t="s">
        <v>25</v>
      </c>
      <c r="R73" s="344" t="s">
        <v>173</v>
      </c>
    </row>
    <row r="74" spans="1:18" x14ac:dyDescent="0.15">
      <c r="A74" s="344" t="s">
        <v>64</v>
      </c>
      <c r="B74" s="344" t="s">
        <v>62</v>
      </c>
      <c r="C74" s="344" t="s">
        <v>301</v>
      </c>
      <c r="D74" s="335">
        <v>111282.68</v>
      </c>
      <c r="E74" s="335">
        <v>4297200.16</v>
      </c>
      <c r="F74" s="335">
        <f t="shared" si="4"/>
        <v>173600.98079999999</v>
      </c>
      <c r="G74" s="335">
        <f t="shared" si="5"/>
        <v>6703632.2496000007</v>
      </c>
      <c r="H74" s="344" t="s">
        <v>179</v>
      </c>
      <c r="I74" s="344">
        <v>2</v>
      </c>
      <c r="J74" s="344">
        <v>2</v>
      </c>
      <c r="K74" s="344" t="s">
        <v>301</v>
      </c>
      <c r="L74" s="344" t="s">
        <v>182</v>
      </c>
      <c r="M74" s="344" t="s">
        <v>285</v>
      </c>
      <c r="N74" s="344" t="s">
        <v>175</v>
      </c>
      <c r="O74" s="344" t="s">
        <v>173</v>
      </c>
      <c r="P74" s="344" t="s">
        <v>300</v>
      </c>
      <c r="Q74" s="344" t="s">
        <v>215</v>
      </c>
      <c r="R74" s="344" t="s">
        <v>173</v>
      </c>
    </row>
    <row r="75" spans="1:18" x14ac:dyDescent="0.15">
      <c r="A75" s="344" t="s">
        <v>62</v>
      </c>
      <c r="B75" s="344" t="s">
        <v>62</v>
      </c>
      <c r="C75" s="344" t="s">
        <v>299</v>
      </c>
      <c r="D75" s="335">
        <v>4237489.2505099997</v>
      </c>
      <c r="E75" s="335">
        <v>14139775.70482401</v>
      </c>
      <c r="F75" s="335">
        <f t="shared" si="4"/>
        <v>6610483.2307955995</v>
      </c>
      <c r="G75" s="335">
        <f t="shared" si="5"/>
        <v>22058050.099525455</v>
      </c>
      <c r="H75" s="344" t="s">
        <v>179</v>
      </c>
      <c r="I75" s="344" t="s">
        <v>185</v>
      </c>
      <c r="J75" s="344" t="s">
        <v>185</v>
      </c>
      <c r="K75" s="344" t="s">
        <v>299</v>
      </c>
      <c r="L75" s="344" t="s">
        <v>182</v>
      </c>
      <c r="M75" s="344" t="s">
        <v>285</v>
      </c>
      <c r="N75" s="344" t="s">
        <v>175</v>
      </c>
      <c r="O75" s="344" t="s">
        <v>207</v>
      </c>
      <c r="P75" s="344" t="s">
        <v>180</v>
      </c>
      <c r="Q75" s="344" t="s">
        <v>215</v>
      </c>
      <c r="R75" s="344" t="s">
        <v>173</v>
      </c>
    </row>
    <row r="76" spans="1:18" x14ac:dyDescent="0.15">
      <c r="A76" s="344" t="s">
        <v>62</v>
      </c>
      <c r="B76" s="344" t="s">
        <v>62</v>
      </c>
      <c r="C76" s="344" t="s">
        <v>298</v>
      </c>
      <c r="D76" s="335">
        <v>737264.08</v>
      </c>
      <c r="E76" s="335">
        <v>15784756.085767999</v>
      </c>
      <c r="F76" s="335">
        <f t="shared" si="4"/>
        <v>1150131.9648</v>
      </c>
      <c r="G76" s="339">
        <f t="shared" si="5"/>
        <v>24624219.493798081</v>
      </c>
      <c r="H76" s="344" t="s">
        <v>179</v>
      </c>
      <c r="I76" s="344" t="s">
        <v>185</v>
      </c>
      <c r="J76" s="344" t="s">
        <v>185</v>
      </c>
      <c r="K76" s="344" t="s">
        <v>298</v>
      </c>
      <c r="L76" s="344" t="s">
        <v>182</v>
      </c>
      <c r="M76" s="344" t="s">
        <v>285</v>
      </c>
      <c r="N76" s="344" t="s">
        <v>186</v>
      </c>
      <c r="O76" s="344" t="s">
        <v>173</v>
      </c>
      <c r="P76" s="344" t="s">
        <v>237</v>
      </c>
      <c r="Q76" s="344" t="s">
        <v>215</v>
      </c>
      <c r="R76" s="344" t="s">
        <v>173</v>
      </c>
    </row>
    <row r="77" spans="1:18" x14ac:dyDescent="0.15">
      <c r="A77" s="344" t="s">
        <v>66</v>
      </c>
      <c r="B77" s="344" t="s">
        <v>62</v>
      </c>
      <c r="C77" s="344" t="s">
        <v>297</v>
      </c>
      <c r="D77" s="335">
        <v>91750</v>
      </c>
      <c r="E77" s="335">
        <v>1499675.8</v>
      </c>
      <c r="F77" s="335">
        <f t="shared" si="4"/>
        <v>143130</v>
      </c>
      <c r="G77" s="335">
        <f t="shared" si="5"/>
        <v>2339494.2480000001</v>
      </c>
      <c r="H77" s="344" t="s">
        <v>179</v>
      </c>
      <c r="I77" s="344">
        <v>3</v>
      </c>
      <c r="J77" s="344">
        <v>3</v>
      </c>
      <c r="K77" s="344" t="s">
        <v>297</v>
      </c>
      <c r="L77" s="344" t="s">
        <v>182</v>
      </c>
      <c r="M77" s="344" t="s">
        <v>283</v>
      </c>
      <c r="N77" s="344" t="s">
        <v>175</v>
      </c>
      <c r="O77" s="344" t="s">
        <v>173</v>
      </c>
      <c r="P77" s="344" t="s">
        <v>180</v>
      </c>
      <c r="Q77" s="344" t="s">
        <v>25</v>
      </c>
      <c r="R77" s="344" t="s">
        <v>173</v>
      </c>
    </row>
    <row r="78" spans="1:18" x14ac:dyDescent="0.15">
      <c r="A78" s="344" t="s">
        <v>64</v>
      </c>
      <c r="B78" s="344" t="s">
        <v>62</v>
      </c>
      <c r="C78" s="344" t="s">
        <v>296</v>
      </c>
      <c r="D78" s="335">
        <v>8579934.5</v>
      </c>
      <c r="E78" s="335">
        <v>7133331.929800001</v>
      </c>
      <c r="F78" s="335">
        <f t="shared" si="4"/>
        <v>13384697.82</v>
      </c>
      <c r="G78" s="335">
        <f t="shared" si="5"/>
        <v>11127997.810488002</v>
      </c>
      <c r="H78" s="344" t="s">
        <v>179</v>
      </c>
      <c r="I78" s="344" t="s">
        <v>185</v>
      </c>
      <c r="J78" s="344" t="s">
        <v>185</v>
      </c>
      <c r="K78" s="344" t="s">
        <v>296</v>
      </c>
      <c r="L78" s="344" t="s">
        <v>182</v>
      </c>
      <c r="M78" s="344" t="s">
        <v>280</v>
      </c>
      <c r="N78" s="344" t="s">
        <v>175</v>
      </c>
      <c r="O78" s="344" t="s">
        <v>207</v>
      </c>
      <c r="P78" s="344" t="s">
        <v>180</v>
      </c>
      <c r="Q78" s="344" t="s">
        <v>215</v>
      </c>
      <c r="R78" s="344" t="s">
        <v>173</v>
      </c>
    </row>
    <row r="79" spans="1:18" x14ac:dyDescent="0.15">
      <c r="A79" s="344" t="s">
        <v>64</v>
      </c>
      <c r="B79" s="344" t="s">
        <v>62</v>
      </c>
      <c r="C79" s="344" t="s">
        <v>295</v>
      </c>
      <c r="D79" s="335">
        <v>1694129.9391000001</v>
      </c>
      <c r="E79" s="335">
        <v>44664.440040000001</v>
      </c>
      <c r="F79" s="335">
        <f t="shared" si="4"/>
        <v>2642842.704996</v>
      </c>
      <c r="G79" s="335">
        <f t="shared" si="5"/>
        <v>69676.526462399997</v>
      </c>
      <c r="H79" s="344" t="s">
        <v>179</v>
      </c>
      <c r="I79" s="344">
        <v>2</v>
      </c>
      <c r="J79" s="344">
        <v>2</v>
      </c>
      <c r="K79" s="344" t="s">
        <v>295</v>
      </c>
      <c r="L79" s="344" t="s">
        <v>294</v>
      </c>
      <c r="M79" s="344" t="s">
        <v>293</v>
      </c>
      <c r="N79" s="344" t="s">
        <v>186</v>
      </c>
      <c r="O79" s="344" t="s">
        <v>173</v>
      </c>
      <c r="P79" s="344" t="s">
        <v>180</v>
      </c>
      <c r="Q79" s="344" t="s">
        <v>25</v>
      </c>
      <c r="R79" s="344" t="s">
        <v>173</v>
      </c>
    </row>
    <row r="80" spans="1:18" x14ac:dyDescent="0.15">
      <c r="A80" s="346" t="s">
        <v>62</v>
      </c>
      <c r="B80" s="346" t="s">
        <v>62</v>
      </c>
      <c r="C80" s="346" t="s">
        <v>292</v>
      </c>
      <c r="D80" s="336">
        <v>3948574.4895000001</v>
      </c>
      <c r="E80" s="336">
        <v>8595427.5299999993</v>
      </c>
      <c r="F80" s="335">
        <f t="shared" si="4"/>
        <v>6159776.2036200007</v>
      </c>
      <c r="G80" s="335">
        <f t="shared" si="5"/>
        <v>13408866.946799999</v>
      </c>
      <c r="H80" s="346" t="s">
        <v>179</v>
      </c>
      <c r="I80" s="346" t="s">
        <v>185</v>
      </c>
      <c r="J80" s="346" t="s">
        <v>185</v>
      </c>
      <c r="K80" s="346" t="s">
        <v>292</v>
      </c>
      <c r="L80" s="344" t="s">
        <v>182</v>
      </c>
      <c r="M80" s="344" t="s">
        <v>280</v>
      </c>
      <c r="N80" s="344" t="s">
        <v>175</v>
      </c>
      <c r="O80" s="344" t="s">
        <v>173</v>
      </c>
      <c r="P80" s="344" t="s">
        <v>180</v>
      </c>
      <c r="Q80" s="344" t="s">
        <v>25</v>
      </c>
      <c r="R80" s="344" t="s">
        <v>173</v>
      </c>
    </row>
    <row r="81" spans="1:18" x14ac:dyDescent="0.15">
      <c r="A81" s="344" t="s">
        <v>57</v>
      </c>
      <c r="B81" s="344" t="s">
        <v>62</v>
      </c>
      <c r="C81" s="344" t="s">
        <v>291</v>
      </c>
      <c r="D81" s="335">
        <v>1192818.8900000001</v>
      </c>
      <c r="E81" s="335">
        <v>3887907.08</v>
      </c>
      <c r="F81" s="335">
        <f t="shared" si="4"/>
        <v>1860797.4684000004</v>
      </c>
      <c r="G81" s="335">
        <f t="shared" si="5"/>
        <v>6065135.0448000003</v>
      </c>
      <c r="H81" s="344" t="s">
        <v>179</v>
      </c>
      <c r="I81" s="344">
        <v>2</v>
      </c>
      <c r="J81" s="344">
        <v>2</v>
      </c>
      <c r="K81" s="344" t="s">
        <v>291</v>
      </c>
      <c r="L81" s="344" t="s">
        <v>182</v>
      </c>
      <c r="M81" s="344" t="s">
        <v>283</v>
      </c>
      <c r="N81" s="344" t="s">
        <v>175</v>
      </c>
      <c r="O81" s="344" t="s">
        <v>173</v>
      </c>
      <c r="P81" s="344" t="s">
        <v>180</v>
      </c>
      <c r="Q81" s="344" t="s">
        <v>25</v>
      </c>
      <c r="R81" s="344" t="s">
        <v>173</v>
      </c>
    </row>
    <row r="82" spans="1:18" x14ac:dyDescent="0.15">
      <c r="A82" s="344" t="s">
        <v>62</v>
      </c>
      <c r="B82" s="344" t="s">
        <v>62</v>
      </c>
      <c r="C82" s="344" t="s">
        <v>290</v>
      </c>
      <c r="D82" s="335">
        <v>2857256.83</v>
      </c>
      <c r="E82" s="335">
        <v>3244345.6</v>
      </c>
      <c r="F82" s="335">
        <f t="shared" si="4"/>
        <v>4457320.6548000006</v>
      </c>
      <c r="G82" s="335">
        <f t="shared" si="5"/>
        <v>5061179.1359999999</v>
      </c>
      <c r="H82" s="344" t="s">
        <v>179</v>
      </c>
      <c r="I82" s="344">
        <v>2</v>
      </c>
      <c r="J82" s="344">
        <v>2</v>
      </c>
      <c r="K82" s="344" t="s">
        <v>290</v>
      </c>
      <c r="L82" s="344" t="s">
        <v>182</v>
      </c>
      <c r="M82" s="344" t="s">
        <v>280</v>
      </c>
      <c r="N82" s="344" t="s">
        <v>175</v>
      </c>
      <c r="O82" s="344" t="s">
        <v>173</v>
      </c>
      <c r="P82" s="344" t="s">
        <v>218</v>
      </c>
      <c r="Q82" s="344" t="s">
        <v>215</v>
      </c>
      <c r="R82" s="344" t="s">
        <v>173</v>
      </c>
    </row>
    <row r="83" spans="1:18" x14ac:dyDescent="0.15">
      <c r="A83" s="346" t="s">
        <v>62</v>
      </c>
      <c r="B83" s="344" t="s">
        <v>62</v>
      </c>
      <c r="C83" s="346" t="s">
        <v>289</v>
      </c>
      <c r="D83" s="336"/>
      <c r="E83" s="336">
        <v>979799.75</v>
      </c>
      <c r="F83" s="335">
        <f t="shared" si="4"/>
        <v>0</v>
      </c>
      <c r="G83" s="335">
        <f t="shared" si="5"/>
        <v>1528487.61</v>
      </c>
      <c r="H83" s="346" t="s">
        <v>179</v>
      </c>
      <c r="I83" s="346">
        <v>2</v>
      </c>
      <c r="J83" s="346">
        <v>2</v>
      </c>
      <c r="K83" s="346" t="s">
        <v>289</v>
      </c>
      <c r="L83" s="344" t="s">
        <v>182</v>
      </c>
      <c r="M83" s="344" t="s">
        <v>283</v>
      </c>
      <c r="N83" s="344" t="s">
        <v>175</v>
      </c>
      <c r="O83" s="344" t="s">
        <v>173</v>
      </c>
      <c r="P83" s="344" t="s">
        <v>180</v>
      </c>
      <c r="Q83" s="344" t="s">
        <v>25</v>
      </c>
      <c r="R83" s="344" t="s">
        <v>173</v>
      </c>
    </row>
    <row r="84" spans="1:18" x14ac:dyDescent="0.15">
      <c r="A84" s="344" t="s">
        <v>57</v>
      </c>
      <c r="B84" s="344" t="s">
        <v>62</v>
      </c>
      <c r="C84" s="344" t="s">
        <v>288</v>
      </c>
      <c r="D84" s="335">
        <v>2773248.0931879999</v>
      </c>
      <c r="E84" s="335">
        <v>76631.89</v>
      </c>
      <c r="F84" s="335">
        <f t="shared" si="4"/>
        <v>4326267.02537328</v>
      </c>
      <c r="G84" s="335">
        <f t="shared" si="5"/>
        <v>119545.7484</v>
      </c>
      <c r="H84" s="344" t="s">
        <v>179</v>
      </c>
      <c r="I84" s="344">
        <v>3</v>
      </c>
      <c r="J84" s="344">
        <v>3</v>
      </c>
      <c r="K84" s="344" t="s">
        <v>288</v>
      </c>
      <c r="L84" s="344" t="s">
        <v>182</v>
      </c>
      <c r="M84" s="344" t="s">
        <v>287</v>
      </c>
      <c r="N84" s="344" t="s">
        <v>175</v>
      </c>
      <c r="O84" s="344" t="s">
        <v>173</v>
      </c>
      <c r="P84" s="344" t="s">
        <v>180</v>
      </c>
      <c r="Q84" s="344" t="s">
        <v>25</v>
      </c>
      <c r="R84" s="344" t="s">
        <v>173</v>
      </c>
    </row>
    <row r="85" spans="1:18" x14ac:dyDescent="0.15">
      <c r="A85" s="346" t="s">
        <v>64</v>
      </c>
      <c r="B85" s="344" t="s">
        <v>62</v>
      </c>
      <c r="C85" s="346" t="s">
        <v>286</v>
      </c>
      <c r="D85" s="336"/>
      <c r="E85" s="336">
        <v>2300000.2000000002</v>
      </c>
      <c r="F85" s="335">
        <f t="shared" si="4"/>
        <v>0</v>
      </c>
      <c r="G85" s="335">
        <f t="shared" si="5"/>
        <v>3588000.3120000004</v>
      </c>
      <c r="H85" s="346" t="s">
        <v>179</v>
      </c>
      <c r="I85" s="346">
        <v>3</v>
      </c>
      <c r="J85" s="346">
        <v>3</v>
      </c>
      <c r="K85" s="346" t="s">
        <v>286</v>
      </c>
      <c r="L85" s="344" t="s">
        <v>182</v>
      </c>
      <c r="M85" s="344" t="s">
        <v>285</v>
      </c>
      <c r="N85" s="344" t="s">
        <v>186</v>
      </c>
      <c r="O85" s="344" t="s">
        <v>173</v>
      </c>
      <c r="P85" s="344" t="s">
        <v>180</v>
      </c>
      <c r="Q85" s="344" t="s">
        <v>25</v>
      </c>
      <c r="R85" s="344" t="s">
        <v>173</v>
      </c>
    </row>
    <row r="86" spans="1:18" x14ac:dyDescent="0.15">
      <c r="A86" s="344" t="s">
        <v>66</v>
      </c>
      <c r="B86" s="344" t="s">
        <v>62</v>
      </c>
      <c r="C86" s="344" t="s">
        <v>284</v>
      </c>
      <c r="D86" s="335">
        <v>4560475.9790000003</v>
      </c>
      <c r="E86" s="335">
        <v>5555128.540000001</v>
      </c>
      <c r="F86" s="335">
        <f t="shared" si="4"/>
        <v>7114342.5272400007</v>
      </c>
      <c r="G86" s="335">
        <f t="shared" si="5"/>
        <v>8666000.5224000011</v>
      </c>
      <c r="H86" s="344" t="s">
        <v>179</v>
      </c>
      <c r="I86" s="344" t="s">
        <v>185</v>
      </c>
      <c r="J86" s="344" t="s">
        <v>185</v>
      </c>
      <c r="K86" s="344" t="s">
        <v>284</v>
      </c>
      <c r="L86" s="344" t="s">
        <v>182</v>
      </c>
      <c r="M86" s="344" t="s">
        <v>283</v>
      </c>
      <c r="N86" s="344" t="s">
        <v>175</v>
      </c>
      <c r="O86" s="344" t="s">
        <v>207</v>
      </c>
      <c r="P86" s="344" t="s">
        <v>282</v>
      </c>
      <c r="Q86" s="344" t="s">
        <v>215</v>
      </c>
      <c r="R86" s="344" t="s">
        <v>173</v>
      </c>
    </row>
    <row r="87" spans="1:18" x14ac:dyDescent="0.15">
      <c r="A87" s="344" t="s">
        <v>57</v>
      </c>
      <c r="B87" s="344" t="s">
        <v>62</v>
      </c>
      <c r="C87" s="344" t="s">
        <v>281</v>
      </c>
      <c r="D87" s="335">
        <v>1255074.7054999999</v>
      </c>
      <c r="E87" s="335">
        <v>393748.66</v>
      </c>
      <c r="F87" s="335">
        <f t="shared" si="4"/>
        <v>1957916.54058</v>
      </c>
      <c r="G87" s="335">
        <f t="shared" si="5"/>
        <v>614247.90960000001</v>
      </c>
      <c r="H87" s="344" t="s">
        <v>179</v>
      </c>
      <c r="I87" s="344">
        <v>2</v>
      </c>
      <c r="J87" s="344">
        <v>2</v>
      </c>
      <c r="K87" s="344" t="s">
        <v>281</v>
      </c>
      <c r="L87" s="344" t="s">
        <v>182</v>
      </c>
      <c r="M87" s="344" t="s">
        <v>280</v>
      </c>
      <c r="N87" s="344" t="s">
        <v>175</v>
      </c>
      <c r="O87" s="344" t="s">
        <v>173</v>
      </c>
      <c r="P87" s="344" t="s">
        <v>180</v>
      </c>
      <c r="Q87" s="344" t="s">
        <v>25</v>
      </c>
      <c r="R87" s="344" t="s">
        <v>173</v>
      </c>
    </row>
    <row r="88" spans="1:18" x14ac:dyDescent="0.15">
      <c r="A88" s="344" t="s">
        <v>66</v>
      </c>
      <c r="B88" s="344" t="s">
        <v>82</v>
      </c>
      <c r="C88" s="344" t="s">
        <v>279</v>
      </c>
      <c r="D88" s="335">
        <v>1059650</v>
      </c>
      <c r="E88" s="335">
        <v>1210754.99</v>
      </c>
      <c r="F88" s="335">
        <f t="shared" si="4"/>
        <v>1653054</v>
      </c>
      <c r="G88" s="335">
        <f t="shared" si="5"/>
        <v>1888777.7844</v>
      </c>
      <c r="H88" s="344" t="s">
        <v>179</v>
      </c>
      <c r="I88" s="344">
        <v>3</v>
      </c>
      <c r="J88" s="344">
        <v>3</v>
      </c>
      <c r="K88" s="344" t="s">
        <v>279</v>
      </c>
      <c r="L88" s="344" t="s">
        <v>182</v>
      </c>
      <c r="M88" s="344" t="s">
        <v>251</v>
      </c>
      <c r="N88" s="344" t="s">
        <v>175</v>
      </c>
      <c r="O88" s="344" t="s">
        <v>173</v>
      </c>
      <c r="P88" s="344" t="s">
        <v>180</v>
      </c>
      <c r="Q88" s="344" t="s">
        <v>25</v>
      </c>
      <c r="R88" s="344" t="s">
        <v>207</v>
      </c>
    </row>
    <row r="89" spans="1:18" x14ac:dyDescent="0.15">
      <c r="A89" s="344" t="s">
        <v>62</v>
      </c>
      <c r="B89" s="344" t="s">
        <v>82</v>
      </c>
      <c r="C89" s="344" t="s">
        <v>278</v>
      </c>
      <c r="D89" s="335"/>
      <c r="E89" s="335">
        <v>250600</v>
      </c>
      <c r="F89" s="335">
        <f t="shared" si="4"/>
        <v>0</v>
      </c>
      <c r="G89" s="335">
        <f t="shared" si="5"/>
        <v>390936</v>
      </c>
      <c r="H89" s="344" t="s">
        <v>179</v>
      </c>
      <c r="I89" s="344">
        <v>4</v>
      </c>
      <c r="J89" s="344">
        <v>4</v>
      </c>
      <c r="K89" s="344" t="s">
        <v>278</v>
      </c>
      <c r="L89" s="344" t="s">
        <v>242</v>
      </c>
      <c r="M89" s="344" t="s">
        <v>277</v>
      </c>
      <c r="N89" s="344" t="s">
        <v>186</v>
      </c>
      <c r="O89" s="344" t="s">
        <v>173</v>
      </c>
      <c r="P89" s="344" t="s">
        <v>218</v>
      </c>
      <c r="Q89" s="344" t="s">
        <v>29</v>
      </c>
      <c r="R89" s="344" t="s">
        <v>173</v>
      </c>
    </row>
    <row r="90" spans="1:18" x14ac:dyDescent="0.15">
      <c r="A90" s="344" t="s">
        <v>64</v>
      </c>
      <c r="B90" s="344" t="s">
        <v>82</v>
      </c>
      <c r="C90" s="344" t="s">
        <v>276</v>
      </c>
      <c r="D90" s="335">
        <v>19000</v>
      </c>
      <c r="E90" s="335">
        <v>836915.28</v>
      </c>
      <c r="F90" s="335">
        <f t="shared" si="4"/>
        <v>29640</v>
      </c>
      <c r="G90" s="335">
        <f t="shared" si="5"/>
        <v>1305587.8368000002</v>
      </c>
      <c r="H90" s="344" t="s">
        <v>179</v>
      </c>
      <c r="I90" s="344">
        <v>3</v>
      </c>
      <c r="J90" s="344">
        <v>3</v>
      </c>
      <c r="K90" s="344" t="s">
        <v>276</v>
      </c>
      <c r="L90" s="344" t="s">
        <v>182</v>
      </c>
      <c r="M90" s="344" t="s">
        <v>212</v>
      </c>
      <c r="N90" s="344" t="s">
        <v>175</v>
      </c>
      <c r="O90" s="344" t="s">
        <v>173</v>
      </c>
      <c r="P90" s="344" t="s">
        <v>180</v>
      </c>
      <c r="Q90" s="344" t="s">
        <v>25</v>
      </c>
      <c r="R90" s="344" t="s">
        <v>207</v>
      </c>
    </row>
    <row r="91" spans="1:18" x14ac:dyDescent="0.15">
      <c r="A91" s="344" t="s">
        <v>62</v>
      </c>
      <c r="B91" s="344" t="s">
        <v>82</v>
      </c>
      <c r="C91" s="344" t="s">
        <v>275</v>
      </c>
      <c r="D91" s="335"/>
      <c r="E91" s="335">
        <v>114961.65</v>
      </c>
      <c r="F91" s="335">
        <f t="shared" ref="F91:F122" si="6">D91*(1+56%)</f>
        <v>0</v>
      </c>
      <c r="G91" s="335">
        <f t="shared" ref="G91:G122" si="7">E91*(1+56%)</f>
        <v>179340.174</v>
      </c>
      <c r="H91" s="344" t="s">
        <v>179</v>
      </c>
      <c r="I91" s="344">
        <v>4</v>
      </c>
      <c r="J91" s="344">
        <v>4</v>
      </c>
      <c r="K91" s="344" t="s">
        <v>275</v>
      </c>
      <c r="L91" s="344" t="s">
        <v>182</v>
      </c>
      <c r="M91" s="344" t="s">
        <v>212</v>
      </c>
      <c r="N91" s="344" t="s">
        <v>175</v>
      </c>
      <c r="O91" s="344" t="s">
        <v>173</v>
      </c>
      <c r="P91" s="344" t="s">
        <v>218</v>
      </c>
      <c r="Q91" s="344" t="s">
        <v>29</v>
      </c>
      <c r="R91" s="344" t="s">
        <v>173</v>
      </c>
    </row>
    <row r="92" spans="1:18" x14ac:dyDescent="0.15">
      <c r="A92" s="344" t="s">
        <v>57</v>
      </c>
      <c r="B92" s="344" t="s">
        <v>82</v>
      </c>
      <c r="C92" s="344" t="s">
        <v>274</v>
      </c>
      <c r="D92" s="337"/>
      <c r="E92" s="337">
        <v>404352</v>
      </c>
      <c r="F92" s="335">
        <f t="shared" si="6"/>
        <v>0</v>
      </c>
      <c r="G92" s="337">
        <f t="shared" si="7"/>
        <v>630789.12</v>
      </c>
      <c r="H92" s="349" t="s">
        <v>244</v>
      </c>
      <c r="I92" s="344">
        <v>4</v>
      </c>
      <c r="J92" s="344">
        <v>4</v>
      </c>
      <c r="K92" s="344" t="s">
        <v>273</v>
      </c>
      <c r="L92" s="344" t="s">
        <v>242</v>
      </c>
      <c r="M92" s="344" t="s">
        <v>272</v>
      </c>
      <c r="N92" s="344" t="s">
        <v>175</v>
      </c>
      <c r="O92" s="344" t="s">
        <v>173</v>
      </c>
      <c r="P92" s="344" t="s">
        <v>180</v>
      </c>
      <c r="Q92" s="344" t="s">
        <v>271</v>
      </c>
      <c r="R92" s="344" t="s">
        <v>207</v>
      </c>
    </row>
    <row r="93" spans="1:18" x14ac:dyDescent="0.15">
      <c r="A93" s="344" t="s">
        <v>64</v>
      </c>
      <c r="B93" s="344" t="s">
        <v>82</v>
      </c>
      <c r="C93" s="344" t="s">
        <v>270</v>
      </c>
      <c r="D93" s="337">
        <v>4423417.5</v>
      </c>
      <c r="E93" s="337">
        <f>1918239.79+3277245</f>
        <v>5195484.79</v>
      </c>
      <c r="F93" s="335">
        <f t="shared" si="6"/>
        <v>6900531.2999999998</v>
      </c>
      <c r="G93" s="338">
        <f t="shared" si="7"/>
        <v>8104956.2724000001</v>
      </c>
      <c r="H93" s="344" t="s">
        <v>179</v>
      </c>
      <c r="I93" s="344">
        <v>2</v>
      </c>
      <c r="J93" s="344" t="s">
        <v>185</v>
      </c>
      <c r="K93" s="344" t="s">
        <v>270</v>
      </c>
      <c r="L93" s="344" t="s">
        <v>182</v>
      </c>
      <c r="M93" s="344" t="s">
        <v>238</v>
      </c>
      <c r="N93" s="344" t="s">
        <v>175</v>
      </c>
      <c r="O93" s="344" t="s">
        <v>207</v>
      </c>
      <c r="P93" s="344" t="s">
        <v>180</v>
      </c>
      <c r="Q93" s="344" t="s">
        <v>25</v>
      </c>
      <c r="R93" s="344" t="s">
        <v>173</v>
      </c>
    </row>
    <row r="94" spans="1:18" x14ac:dyDescent="0.15">
      <c r="A94" s="344" t="s">
        <v>64</v>
      </c>
      <c r="B94" s="344" t="s">
        <v>82</v>
      </c>
      <c r="C94" s="344" t="s">
        <v>269</v>
      </c>
      <c r="D94" s="335">
        <v>170700</v>
      </c>
      <c r="E94" s="335">
        <v>1901920</v>
      </c>
      <c r="F94" s="335">
        <f t="shared" si="6"/>
        <v>266292</v>
      </c>
      <c r="G94" s="335">
        <f t="shared" si="7"/>
        <v>2966995.2</v>
      </c>
      <c r="H94" s="344" t="s">
        <v>179</v>
      </c>
      <c r="I94" s="344">
        <v>2</v>
      </c>
      <c r="J94" s="344">
        <v>2</v>
      </c>
      <c r="K94" s="344" t="s">
        <v>269</v>
      </c>
      <c r="L94" s="344" t="s">
        <v>182</v>
      </c>
      <c r="M94" s="344" t="s">
        <v>212</v>
      </c>
      <c r="N94" s="344" t="s">
        <v>175</v>
      </c>
      <c r="O94" s="344" t="s">
        <v>173</v>
      </c>
      <c r="P94" s="344" t="s">
        <v>180</v>
      </c>
      <c r="Q94" s="344" t="s">
        <v>25</v>
      </c>
      <c r="R94" s="344" t="s">
        <v>207</v>
      </c>
    </row>
    <row r="95" spans="1:18" x14ac:dyDescent="0.15">
      <c r="A95" s="344" t="s">
        <v>62</v>
      </c>
      <c r="B95" s="344" t="s">
        <v>82</v>
      </c>
      <c r="C95" s="344" t="s">
        <v>268</v>
      </c>
      <c r="D95" s="335"/>
      <c r="E95" s="335">
        <v>247579.2</v>
      </c>
      <c r="F95" s="335">
        <f t="shared" si="6"/>
        <v>0</v>
      </c>
      <c r="G95" s="335">
        <f t="shared" si="7"/>
        <v>386223.55200000003</v>
      </c>
      <c r="H95" s="344" t="s">
        <v>179</v>
      </c>
      <c r="I95" s="344">
        <v>4</v>
      </c>
      <c r="J95" s="344">
        <v>4</v>
      </c>
      <c r="K95" s="344" t="s">
        <v>268</v>
      </c>
      <c r="L95" s="344" t="s">
        <v>242</v>
      </c>
      <c r="M95" s="344" t="s">
        <v>267</v>
      </c>
      <c r="N95" s="344" t="s">
        <v>186</v>
      </c>
      <c r="O95" s="344" t="s">
        <v>173</v>
      </c>
      <c r="P95" s="344" t="s">
        <v>218</v>
      </c>
      <c r="Q95" s="344" t="s">
        <v>29</v>
      </c>
      <c r="R95" s="344" t="s">
        <v>173</v>
      </c>
    </row>
    <row r="96" spans="1:18" x14ac:dyDescent="0.15">
      <c r="A96" s="344" t="s">
        <v>64</v>
      </c>
      <c r="B96" s="344" t="s">
        <v>82</v>
      </c>
      <c r="C96" s="344" t="s">
        <v>266</v>
      </c>
      <c r="D96" s="335"/>
      <c r="E96" s="335">
        <v>1060002.0900000001</v>
      </c>
      <c r="F96" s="335">
        <f t="shared" si="6"/>
        <v>0</v>
      </c>
      <c r="G96" s="335">
        <f t="shared" si="7"/>
        <v>1653603.2604000003</v>
      </c>
      <c r="H96" s="344" t="s">
        <v>179</v>
      </c>
      <c r="I96" s="344">
        <v>4</v>
      </c>
      <c r="J96" s="344">
        <v>4</v>
      </c>
      <c r="K96" s="344" t="s">
        <v>266</v>
      </c>
      <c r="L96" s="344" t="s">
        <v>182</v>
      </c>
      <c r="M96" s="344" t="s">
        <v>212</v>
      </c>
      <c r="N96" s="344" t="s">
        <v>175</v>
      </c>
      <c r="O96" s="344" t="s">
        <v>173</v>
      </c>
      <c r="P96" s="344" t="s">
        <v>180</v>
      </c>
      <c r="Q96" s="344" t="s">
        <v>25</v>
      </c>
      <c r="R96" s="344" t="s">
        <v>173</v>
      </c>
    </row>
    <row r="97" spans="1:18" x14ac:dyDescent="0.15">
      <c r="A97" s="344" t="s">
        <v>66</v>
      </c>
      <c r="B97" s="344" t="s">
        <v>82</v>
      </c>
      <c r="C97" s="344" t="s">
        <v>265</v>
      </c>
      <c r="D97" s="335">
        <v>45566.59</v>
      </c>
      <c r="E97" s="335">
        <v>273332.71999999997</v>
      </c>
      <c r="F97" s="335">
        <f t="shared" si="6"/>
        <v>71083.880399999995</v>
      </c>
      <c r="G97" s="335">
        <f t="shared" si="7"/>
        <v>426399.04319999996</v>
      </c>
      <c r="H97" s="344" t="s">
        <v>179</v>
      </c>
      <c r="I97" s="344">
        <v>4</v>
      </c>
      <c r="J97" s="344">
        <v>4</v>
      </c>
      <c r="K97" s="344" t="s">
        <v>265</v>
      </c>
      <c r="L97" s="344" t="s">
        <v>182</v>
      </c>
      <c r="M97" s="344" t="s">
        <v>212</v>
      </c>
      <c r="N97" s="344" t="s">
        <v>175</v>
      </c>
      <c r="O97" s="344" t="s">
        <v>173</v>
      </c>
      <c r="P97" s="344" t="s">
        <v>180</v>
      </c>
      <c r="Q97" s="344" t="s">
        <v>25</v>
      </c>
      <c r="R97" s="344" t="s">
        <v>207</v>
      </c>
    </row>
    <row r="98" spans="1:18" x14ac:dyDescent="0.15">
      <c r="A98" s="344" t="s">
        <v>66</v>
      </c>
      <c r="B98" s="344" t="s">
        <v>82</v>
      </c>
      <c r="C98" s="344" t="s">
        <v>264</v>
      </c>
      <c r="D98" s="335">
        <v>55881</v>
      </c>
      <c r="E98" s="335">
        <v>457776.12</v>
      </c>
      <c r="F98" s="335">
        <f t="shared" si="6"/>
        <v>87174.36</v>
      </c>
      <c r="G98" s="335">
        <f t="shared" si="7"/>
        <v>714130.74719999998</v>
      </c>
      <c r="H98" s="344" t="s">
        <v>179</v>
      </c>
      <c r="I98" s="344">
        <v>3</v>
      </c>
      <c r="J98" s="344">
        <v>3</v>
      </c>
      <c r="K98" s="344" t="s">
        <v>264</v>
      </c>
      <c r="L98" s="344" t="s">
        <v>182</v>
      </c>
      <c r="M98" s="344" t="s">
        <v>238</v>
      </c>
      <c r="N98" s="344" t="s">
        <v>175</v>
      </c>
      <c r="O98" s="344" t="s">
        <v>173</v>
      </c>
      <c r="P98" s="344" t="s">
        <v>180</v>
      </c>
      <c r="Q98" s="344" t="s">
        <v>25</v>
      </c>
      <c r="R98" s="344" t="s">
        <v>173</v>
      </c>
    </row>
    <row r="99" spans="1:18" x14ac:dyDescent="0.15">
      <c r="A99" s="344" t="s">
        <v>62</v>
      </c>
      <c r="B99" s="344" t="s">
        <v>82</v>
      </c>
      <c r="C99" s="344" t="s">
        <v>263</v>
      </c>
      <c r="D99" s="335">
        <v>187425</v>
      </c>
      <c r="E99" s="335">
        <v>4715360.8</v>
      </c>
      <c r="F99" s="335">
        <f t="shared" si="6"/>
        <v>292383</v>
      </c>
      <c r="G99" s="335">
        <f t="shared" si="7"/>
        <v>7355962.8480000002</v>
      </c>
      <c r="H99" s="344" t="s">
        <v>179</v>
      </c>
      <c r="I99" s="344">
        <v>2</v>
      </c>
      <c r="J99" s="344">
        <v>2</v>
      </c>
      <c r="K99" s="344" t="s">
        <v>259</v>
      </c>
      <c r="L99" s="344" t="s">
        <v>182</v>
      </c>
      <c r="M99" s="344" t="s">
        <v>212</v>
      </c>
      <c r="N99" s="344" t="s">
        <v>175</v>
      </c>
      <c r="O99" s="344" t="s">
        <v>173</v>
      </c>
      <c r="P99" s="344" t="s">
        <v>180</v>
      </c>
      <c r="Q99" s="344" t="s">
        <v>215</v>
      </c>
      <c r="R99" s="344" t="s">
        <v>173</v>
      </c>
    </row>
    <row r="100" spans="1:18" x14ac:dyDescent="0.15">
      <c r="A100" s="344" t="s">
        <v>62</v>
      </c>
      <c r="B100" s="344" t="s">
        <v>82</v>
      </c>
      <c r="C100" s="344" t="s">
        <v>262</v>
      </c>
      <c r="D100" s="335">
        <v>0</v>
      </c>
      <c r="E100" s="335"/>
      <c r="F100" s="335">
        <f t="shared" si="6"/>
        <v>0</v>
      </c>
      <c r="G100" s="335">
        <f t="shared" si="7"/>
        <v>0</v>
      </c>
      <c r="H100" s="344" t="s">
        <v>179</v>
      </c>
      <c r="I100" s="344">
        <v>2</v>
      </c>
      <c r="J100" s="344">
        <v>2</v>
      </c>
      <c r="K100" s="344" t="s">
        <v>259</v>
      </c>
      <c r="L100" s="344" t="s">
        <v>182</v>
      </c>
      <c r="M100" s="344" t="s">
        <v>212</v>
      </c>
      <c r="N100" s="344" t="s">
        <v>175</v>
      </c>
      <c r="O100" s="344" t="s">
        <v>173</v>
      </c>
      <c r="P100" s="344" t="s">
        <v>180</v>
      </c>
      <c r="Q100" s="344" t="s">
        <v>215</v>
      </c>
      <c r="R100" s="344" t="s">
        <v>173</v>
      </c>
    </row>
    <row r="101" spans="1:18" x14ac:dyDescent="0.15">
      <c r="A101" s="344" t="s">
        <v>62</v>
      </c>
      <c r="B101" s="344" t="s">
        <v>82</v>
      </c>
      <c r="C101" s="344" t="s">
        <v>261</v>
      </c>
      <c r="D101" s="335">
        <v>735075</v>
      </c>
      <c r="E101" s="335">
        <v>1098622</v>
      </c>
      <c r="F101" s="335">
        <f t="shared" si="6"/>
        <v>1146717</v>
      </c>
      <c r="G101" s="335">
        <f t="shared" si="7"/>
        <v>1713850.32</v>
      </c>
      <c r="H101" s="344" t="s">
        <v>179</v>
      </c>
      <c r="I101" s="344">
        <v>2</v>
      </c>
      <c r="J101" s="344">
        <v>2</v>
      </c>
      <c r="K101" s="344" t="s">
        <v>259</v>
      </c>
      <c r="L101" s="344" t="s">
        <v>182</v>
      </c>
      <c r="M101" s="344" t="s">
        <v>212</v>
      </c>
      <c r="N101" s="344" t="s">
        <v>175</v>
      </c>
      <c r="O101" s="344" t="s">
        <v>173</v>
      </c>
      <c r="P101" s="344" t="s">
        <v>180</v>
      </c>
      <c r="Q101" s="344" t="s">
        <v>27</v>
      </c>
      <c r="R101" s="344" t="s">
        <v>173</v>
      </c>
    </row>
    <row r="102" spans="1:18" x14ac:dyDescent="0.15">
      <c r="A102" s="344" t="s">
        <v>62</v>
      </c>
      <c r="B102" s="344" t="s">
        <v>82</v>
      </c>
      <c r="C102" s="344" t="s">
        <v>260</v>
      </c>
      <c r="D102" s="335">
        <v>52062.5</v>
      </c>
      <c r="E102" s="335"/>
      <c r="F102" s="335">
        <f t="shared" si="6"/>
        <v>81217.5</v>
      </c>
      <c r="G102" s="335">
        <f t="shared" si="7"/>
        <v>0</v>
      </c>
      <c r="H102" s="344" t="s">
        <v>179</v>
      </c>
      <c r="I102" s="344">
        <v>2</v>
      </c>
      <c r="J102" s="344">
        <v>2</v>
      </c>
      <c r="K102" s="344" t="s">
        <v>259</v>
      </c>
      <c r="L102" s="344" t="s">
        <v>182</v>
      </c>
      <c r="M102" s="344" t="s">
        <v>212</v>
      </c>
      <c r="N102" s="344" t="s">
        <v>175</v>
      </c>
      <c r="O102" s="344" t="s">
        <v>173</v>
      </c>
      <c r="P102" s="344" t="s">
        <v>180</v>
      </c>
      <c r="Q102" s="344" t="s">
        <v>215</v>
      </c>
      <c r="R102" s="344" t="s">
        <v>173</v>
      </c>
    </row>
    <row r="103" spans="1:18" x14ac:dyDescent="0.15">
      <c r="A103" s="344" t="s">
        <v>66</v>
      </c>
      <c r="B103" s="344" t="s">
        <v>82</v>
      </c>
      <c r="C103" s="344" t="s">
        <v>258</v>
      </c>
      <c r="D103" s="335"/>
      <c r="E103" s="335"/>
      <c r="F103" s="335">
        <f t="shared" si="6"/>
        <v>0</v>
      </c>
      <c r="G103" s="335">
        <f t="shared" si="7"/>
        <v>0</v>
      </c>
      <c r="H103" s="344" t="s">
        <v>179</v>
      </c>
      <c r="I103" s="344">
        <v>4</v>
      </c>
      <c r="J103" s="344">
        <v>4</v>
      </c>
      <c r="K103" s="344" t="s">
        <v>258</v>
      </c>
      <c r="L103" s="344" t="s">
        <v>182</v>
      </c>
      <c r="M103" s="344" t="s">
        <v>238</v>
      </c>
      <c r="N103" s="344" t="s">
        <v>175</v>
      </c>
      <c r="O103" s="344" t="s">
        <v>173</v>
      </c>
      <c r="P103" s="344" t="s">
        <v>180</v>
      </c>
      <c r="Q103" s="344" t="s">
        <v>25</v>
      </c>
      <c r="R103" s="344" t="s">
        <v>173</v>
      </c>
    </row>
    <row r="104" spans="1:18" x14ac:dyDescent="0.15">
      <c r="A104" s="344" t="s">
        <v>64</v>
      </c>
      <c r="B104" s="344" t="s">
        <v>82</v>
      </c>
      <c r="C104" s="344" t="s">
        <v>257</v>
      </c>
      <c r="D104" s="335"/>
      <c r="E104" s="335">
        <v>1729291.7749999999</v>
      </c>
      <c r="F104" s="335">
        <f t="shared" si="6"/>
        <v>0</v>
      </c>
      <c r="G104" s="335">
        <f t="shared" si="7"/>
        <v>2697695.1689999998</v>
      </c>
      <c r="H104" s="344" t="s">
        <v>179</v>
      </c>
      <c r="I104" s="344">
        <v>3</v>
      </c>
      <c r="J104" s="344">
        <v>3</v>
      </c>
      <c r="K104" s="344" t="s">
        <v>257</v>
      </c>
      <c r="L104" s="344" t="s">
        <v>182</v>
      </c>
      <c r="M104" s="344" t="s">
        <v>212</v>
      </c>
      <c r="N104" s="344" t="s">
        <v>175</v>
      </c>
      <c r="O104" s="344" t="s">
        <v>173</v>
      </c>
      <c r="P104" s="344" t="s">
        <v>180</v>
      </c>
      <c r="Q104" s="344" t="s">
        <v>25</v>
      </c>
      <c r="R104" s="344" t="s">
        <v>173</v>
      </c>
    </row>
    <row r="105" spans="1:18" x14ac:dyDescent="0.15">
      <c r="A105" s="344" t="s">
        <v>64</v>
      </c>
      <c r="B105" s="344" t="s">
        <v>82</v>
      </c>
      <c r="C105" s="344" t="s">
        <v>256</v>
      </c>
      <c r="D105" s="335"/>
      <c r="E105" s="335">
        <v>392500.72</v>
      </c>
      <c r="F105" s="335">
        <f t="shared" si="6"/>
        <v>0</v>
      </c>
      <c r="G105" s="335">
        <f t="shared" si="7"/>
        <v>612301.12320000003</v>
      </c>
      <c r="H105" s="344" t="s">
        <v>179</v>
      </c>
      <c r="I105" s="344">
        <v>4</v>
      </c>
      <c r="J105" s="344">
        <v>4</v>
      </c>
      <c r="K105" s="344" t="s">
        <v>256</v>
      </c>
      <c r="L105" s="344" t="s">
        <v>255</v>
      </c>
      <c r="M105" s="344" t="s">
        <v>254</v>
      </c>
      <c r="N105" s="344" t="s">
        <v>186</v>
      </c>
      <c r="O105" s="344" t="s">
        <v>173</v>
      </c>
      <c r="P105" s="344" t="s">
        <v>180</v>
      </c>
      <c r="Q105" s="344" t="s">
        <v>32</v>
      </c>
      <c r="R105" s="344" t="s">
        <v>173</v>
      </c>
    </row>
    <row r="106" spans="1:18" x14ac:dyDescent="0.15">
      <c r="A106" s="344" t="s">
        <v>66</v>
      </c>
      <c r="B106" s="344" t="s">
        <v>82</v>
      </c>
      <c r="C106" s="344" t="s">
        <v>253</v>
      </c>
      <c r="D106" s="335">
        <v>349707.5</v>
      </c>
      <c r="E106" s="335">
        <v>1558483.8655999999</v>
      </c>
      <c r="F106" s="335">
        <f t="shared" si="6"/>
        <v>545543.70000000007</v>
      </c>
      <c r="G106" s="335">
        <f t="shared" si="7"/>
        <v>2431234.8303359998</v>
      </c>
      <c r="H106" s="344" t="s">
        <v>179</v>
      </c>
      <c r="I106" s="344">
        <v>3</v>
      </c>
      <c r="J106" s="344">
        <v>3</v>
      </c>
      <c r="K106" s="344" t="s">
        <v>253</v>
      </c>
      <c r="L106" s="344" t="s">
        <v>182</v>
      </c>
      <c r="M106" s="344" t="s">
        <v>212</v>
      </c>
      <c r="N106" s="344" t="s">
        <v>175</v>
      </c>
      <c r="O106" s="344" t="s">
        <v>173</v>
      </c>
      <c r="P106" s="344" t="s">
        <v>180</v>
      </c>
      <c r="Q106" s="344" t="s">
        <v>25</v>
      </c>
      <c r="R106" s="344" t="s">
        <v>173</v>
      </c>
    </row>
    <row r="107" spans="1:18" x14ac:dyDescent="0.15">
      <c r="A107" s="344" t="s">
        <v>57</v>
      </c>
      <c r="B107" s="344" t="s">
        <v>82</v>
      </c>
      <c r="C107" s="344" t="s">
        <v>252</v>
      </c>
      <c r="D107" s="335">
        <v>734125.05</v>
      </c>
      <c r="E107" s="335">
        <v>3244599.47</v>
      </c>
      <c r="F107" s="335">
        <f t="shared" si="6"/>
        <v>1145235.0780000002</v>
      </c>
      <c r="G107" s="335">
        <f t="shared" si="7"/>
        <v>5061575.1732000001</v>
      </c>
      <c r="H107" s="344" t="s">
        <v>179</v>
      </c>
      <c r="I107" s="344">
        <v>3</v>
      </c>
      <c r="J107" s="344">
        <v>3</v>
      </c>
      <c r="K107" s="344" t="s">
        <v>252</v>
      </c>
      <c r="L107" s="344" t="s">
        <v>182</v>
      </c>
      <c r="M107" s="344" t="s">
        <v>251</v>
      </c>
      <c r="N107" s="344" t="s">
        <v>175</v>
      </c>
      <c r="O107" s="344" t="s">
        <v>173</v>
      </c>
      <c r="P107" s="344" t="s">
        <v>180</v>
      </c>
      <c r="Q107" s="344" t="s">
        <v>25</v>
      </c>
      <c r="R107" s="344" t="s">
        <v>173</v>
      </c>
    </row>
    <row r="108" spans="1:18" x14ac:dyDescent="0.15">
      <c r="A108" s="344" t="s">
        <v>64</v>
      </c>
      <c r="B108" s="344" t="s">
        <v>82</v>
      </c>
      <c r="C108" s="344" t="s">
        <v>250</v>
      </c>
      <c r="D108" s="335"/>
      <c r="E108" s="335">
        <v>668940</v>
      </c>
      <c r="F108" s="335">
        <f t="shared" si="6"/>
        <v>0</v>
      </c>
      <c r="G108" s="335">
        <f t="shared" si="7"/>
        <v>1043546.4</v>
      </c>
      <c r="H108" s="344" t="s">
        <v>179</v>
      </c>
      <c r="I108" s="344">
        <v>4</v>
      </c>
      <c r="J108" s="344">
        <v>4</v>
      </c>
      <c r="K108" s="344" t="s">
        <v>250</v>
      </c>
      <c r="L108" s="344" t="s">
        <v>242</v>
      </c>
      <c r="M108" s="344" t="s">
        <v>249</v>
      </c>
      <c r="N108" s="344" t="s">
        <v>175</v>
      </c>
      <c r="O108" s="344" t="s">
        <v>173</v>
      </c>
      <c r="P108" s="344" t="s">
        <v>248</v>
      </c>
      <c r="Q108" s="344" t="s">
        <v>29</v>
      </c>
      <c r="R108" s="344" t="s">
        <v>173</v>
      </c>
    </row>
    <row r="109" spans="1:18" x14ac:dyDescent="0.15">
      <c r="A109" s="346" t="s">
        <v>62</v>
      </c>
      <c r="B109" s="344" t="s">
        <v>82</v>
      </c>
      <c r="C109" s="346" t="s">
        <v>247</v>
      </c>
      <c r="D109" s="336">
        <v>0</v>
      </c>
      <c r="E109" s="336">
        <v>589201.91999999993</v>
      </c>
      <c r="F109" s="335">
        <f t="shared" si="6"/>
        <v>0</v>
      </c>
      <c r="G109" s="335">
        <f t="shared" si="7"/>
        <v>919154.99519999989</v>
      </c>
      <c r="H109" s="346" t="s">
        <v>244</v>
      </c>
      <c r="I109" s="346">
        <v>2</v>
      </c>
      <c r="J109" s="346">
        <v>2</v>
      </c>
      <c r="K109" s="346" t="s">
        <v>247</v>
      </c>
      <c r="L109" s="344" t="s">
        <v>242</v>
      </c>
      <c r="M109" s="344" t="s">
        <v>246</v>
      </c>
      <c r="N109" s="344" t="s">
        <v>186</v>
      </c>
      <c r="O109" s="344" t="s">
        <v>173</v>
      </c>
      <c r="P109" s="344" t="s">
        <v>245</v>
      </c>
      <c r="Q109" s="344" t="s">
        <v>29</v>
      </c>
      <c r="R109" s="344" t="s">
        <v>244</v>
      </c>
    </row>
    <row r="110" spans="1:18" x14ac:dyDescent="0.15">
      <c r="A110" s="344" t="s">
        <v>64</v>
      </c>
      <c r="B110" s="344" t="s">
        <v>82</v>
      </c>
      <c r="C110" s="344" t="s">
        <v>243</v>
      </c>
      <c r="D110" s="335">
        <v>24500</v>
      </c>
      <c r="E110" s="335">
        <v>658751</v>
      </c>
      <c r="F110" s="335">
        <f t="shared" si="6"/>
        <v>38220</v>
      </c>
      <c r="G110" s="335">
        <f t="shared" si="7"/>
        <v>1027651.56</v>
      </c>
      <c r="H110" s="344" t="s">
        <v>179</v>
      </c>
      <c r="I110" s="344">
        <v>4</v>
      </c>
      <c r="J110" s="344">
        <v>4</v>
      </c>
      <c r="K110" s="344" t="s">
        <v>243</v>
      </c>
      <c r="L110" s="344" t="s">
        <v>242</v>
      </c>
      <c r="M110" s="344" t="s">
        <v>241</v>
      </c>
      <c r="N110" s="344" t="s">
        <v>175</v>
      </c>
      <c r="O110" s="344" t="s">
        <v>173</v>
      </c>
      <c r="P110" s="344" t="s">
        <v>180</v>
      </c>
      <c r="Q110" s="344" t="s">
        <v>29</v>
      </c>
      <c r="R110" s="344" t="s">
        <v>173</v>
      </c>
    </row>
    <row r="111" spans="1:18" x14ac:dyDescent="0.15">
      <c r="A111" s="344" t="s">
        <v>66</v>
      </c>
      <c r="B111" s="344" t="s">
        <v>82</v>
      </c>
      <c r="C111" s="344" t="s">
        <v>240</v>
      </c>
      <c r="D111" s="335">
        <v>611907.38959999999</v>
      </c>
      <c r="E111" s="335">
        <v>950145</v>
      </c>
      <c r="F111" s="335">
        <f t="shared" si="6"/>
        <v>954575.52777599997</v>
      </c>
      <c r="G111" s="335">
        <f t="shared" si="7"/>
        <v>1482226.2</v>
      </c>
      <c r="H111" s="344" t="s">
        <v>179</v>
      </c>
      <c r="I111" s="344">
        <v>1</v>
      </c>
      <c r="J111" s="344">
        <v>1</v>
      </c>
      <c r="K111" s="344" t="s">
        <v>239</v>
      </c>
      <c r="L111" s="344" t="s">
        <v>182</v>
      </c>
      <c r="M111" s="344" t="s">
        <v>238</v>
      </c>
      <c r="N111" s="344" t="s">
        <v>175</v>
      </c>
      <c r="O111" s="344" t="s">
        <v>173</v>
      </c>
      <c r="P111" s="344" t="s">
        <v>237</v>
      </c>
      <c r="Q111" s="344" t="s">
        <v>25</v>
      </c>
      <c r="R111" s="344" t="s">
        <v>173</v>
      </c>
    </row>
    <row r="112" spans="1:18" x14ac:dyDescent="0.15">
      <c r="A112" s="344" t="s">
        <v>66</v>
      </c>
      <c r="B112" s="344" t="s">
        <v>82</v>
      </c>
      <c r="C112" s="344" t="s">
        <v>236</v>
      </c>
      <c r="D112" s="335">
        <v>156000</v>
      </c>
      <c r="E112" s="335">
        <v>460913.37</v>
      </c>
      <c r="F112" s="335">
        <f t="shared" si="6"/>
        <v>243360</v>
      </c>
      <c r="G112" s="335">
        <f t="shared" si="7"/>
        <v>719024.85719999997</v>
      </c>
      <c r="H112" s="344" t="s">
        <v>179</v>
      </c>
      <c r="I112" s="344">
        <v>3</v>
      </c>
      <c r="J112" s="344">
        <v>3</v>
      </c>
      <c r="K112" s="344" t="s">
        <v>236</v>
      </c>
      <c r="L112" s="344" t="s">
        <v>235</v>
      </c>
      <c r="M112" s="344" t="s">
        <v>234</v>
      </c>
      <c r="N112" s="344" t="s">
        <v>175</v>
      </c>
      <c r="O112" s="344" t="s">
        <v>173</v>
      </c>
      <c r="P112" s="344" t="s">
        <v>180</v>
      </c>
      <c r="Q112" s="344" t="s">
        <v>25</v>
      </c>
      <c r="R112" s="344" t="s">
        <v>173</v>
      </c>
    </row>
    <row r="113" spans="1:18" x14ac:dyDescent="0.15">
      <c r="A113" s="344" t="s">
        <v>64</v>
      </c>
      <c r="B113" s="344" t="s">
        <v>66</v>
      </c>
      <c r="C113" s="344" t="s">
        <v>233</v>
      </c>
      <c r="D113" s="335">
        <v>0</v>
      </c>
      <c r="E113" s="335">
        <v>324120.69</v>
      </c>
      <c r="F113" s="335">
        <f t="shared" si="6"/>
        <v>0</v>
      </c>
      <c r="G113" s="335">
        <f t="shared" si="7"/>
        <v>505628.27640000003</v>
      </c>
      <c r="H113" s="344" t="s">
        <v>179</v>
      </c>
      <c r="I113" s="344">
        <v>2</v>
      </c>
      <c r="J113" s="344">
        <v>2</v>
      </c>
      <c r="K113" s="344" t="s">
        <v>233</v>
      </c>
      <c r="L113" s="344" t="s">
        <v>177</v>
      </c>
      <c r="M113" s="344" t="s">
        <v>176</v>
      </c>
      <c r="N113" s="344" t="s">
        <v>186</v>
      </c>
      <c r="O113" s="344" t="s">
        <v>173</v>
      </c>
      <c r="P113" s="344" t="s">
        <v>180</v>
      </c>
      <c r="Q113" s="344" t="s">
        <v>29</v>
      </c>
      <c r="R113" s="344" t="s">
        <v>173</v>
      </c>
    </row>
    <row r="114" spans="1:18" x14ac:dyDescent="0.15">
      <c r="A114" s="344" t="s">
        <v>57</v>
      </c>
      <c r="B114" s="344" t="s">
        <v>66</v>
      </c>
      <c r="C114" s="344" t="s">
        <v>232</v>
      </c>
      <c r="D114" s="335">
        <v>675855</v>
      </c>
      <c r="E114" s="335">
        <v>0</v>
      </c>
      <c r="F114" s="335">
        <f t="shared" si="6"/>
        <v>1054333.8</v>
      </c>
      <c r="G114" s="335">
        <f t="shared" si="7"/>
        <v>0</v>
      </c>
      <c r="H114" s="344" t="s">
        <v>179</v>
      </c>
      <c r="I114" s="344">
        <v>2</v>
      </c>
      <c r="J114" s="344">
        <v>2</v>
      </c>
      <c r="K114" s="344" t="s">
        <v>232</v>
      </c>
      <c r="L114" s="344" t="s">
        <v>182</v>
      </c>
      <c r="M114" s="344" t="s">
        <v>181</v>
      </c>
      <c r="N114" s="344" t="s">
        <v>175</v>
      </c>
      <c r="O114" s="344" t="s">
        <v>173</v>
      </c>
      <c r="P114" s="344" t="s">
        <v>180</v>
      </c>
      <c r="Q114" s="344" t="s">
        <v>25</v>
      </c>
      <c r="R114" s="344" t="s">
        <v>173</v>
      </c>
    </row>
    <row r="115" spans="1:18" x14ac:dyDescent="0.15">
      <c r="A115" s="346" t="s">
        <v>62</v>
      </c>
      <c r="B115" s="346" t="s">
        <v>66</v>
      </c>
      <c r="C115" s="346" t="s">
        <v>231</v>
      </c>
      <c r="D115" s="336">
        <v>1760378.25</v>
      </c>
      <c r="E115" s="336">
        <v>3049615.63</v>
      </c>
      <c r="F115" s="335">
        <f t="shared" si="6"/>
        <v>2746190.0700000003</v>
      </c>
      <c r="G115" s="335">
        <f t="shared" si="7"/>
        <v>4757400.3827999998</v>
      </c>
      <c r="H115" s="346" t="s">
        <v>179</v>
      </c>
      <c r="I115" s="346" t="s">
        <v>185</v>
      </c>
      <c r="J115" s="346" t="s">
        <v>185</v>
      </c>
      <c r="K115" s="346" t="s">
        <v>231</v>
      </c>
      <c r="L115" s="344" t="s">
        <v>177</v>
      </c>
      <c r="M115" s="344" t="s">
        <v>197</v>
      </c>
      <c r="N115" s="344" t="s">
        <v>186</v>
      </c>
      <c r="O115" s="344" t="s">
        <v>207</v>
      </c>
      <c r="P115" s="344" t="s">
        <v>218</v>
      </c>
      <c r="Q115" s="344" t="s">
        <v>230</v>
      </c>
      <c r="R115" s="344" t="s">
        <v>173</v>
      </c>
    </row>
    <row r="116" spans="1:18" x14ac:dyDescent="0.15">
      <c r="A116" s="344" t="s">
        <v>62</v>
      </c>
      <c r="B116" s="344" t="s">
        <v>66</v>
      </c>
      <c r="C116" s="344" t="s">
        <v>229</v>
      </c>
      <c r="D116" s="335">
        <v>395369.39999999997</v>
      </c>
      <c r="E116" s="335">
        <v>5958777.4799999995</v>
      </c>
      <c r="F116" s="335">
        <f t="shared" si="6"/>
        <v>616776.26399999997</v>
      </c>
      <c r="G116" s="335">
        <f t="shared" si="7"/>
        <v>9295692.8687999994</v>
      </c>
      <c r="H116" s="344" t="s">
        <v>179</v>
      </c>
      <c r="I116" s="344" t="s">
        <v>185</v>
      </c>
      <c r="J116" s="344" t="s">
        <v>185</v>
      </c>
      <c r="K116" s="344" t="s">
        <v>229</v>
      </c>
      <c r="L116" s="344" t="s">
        <v>177</v>
      </c>
      <c r="M116" s="344" t="s">
        <v>228</v>
      </c>
      <c r="N116" s="344" t="s">
        <v>175</v>
      </c>
      <c r="O116" s="344" t="s">
        <v>207</v>
      </c>
      <c r="P116" s="344" t="s">
        <v>180</v>
      </c>
      <c r="Q116" s="344" t="s">
        <v>25</v>
      </c>
      <c r="R116" s="344" t="s">
        <v>173</v>
      </c>
    </row>
    <row r="117" spans="1:18" x14ac:dyDescent="0.15">
      <c r="A117" s="344" t="s">
        <v>66</v>
      </c>
      <c r="B117" s="344" t="s">
        <v>66</v>
      </c>
      <c r="C117" s="344" t="s">
        <v>227</v>
      </c>
      <c r="D117" s="335">
        <v>2393700</v>
      </c>
      <c r="E117" s="335">
        <v>1694789.4199999997</v>
      </c>
      <c r="F117" s="335">
        <f t="shared" si="6"/>
        <v>3734172</v>
      </c>
      <c r="G117" s="335">
        <f t="shared" si="7"/>
        <v>2643871.4951999998</v>
      </c>
      <c r="H117" s="344" t="s">
        <v>179</v>
      </c>
      <c r="I117" s="344">
        <v>2</v>
      </c>
      <c r="J117" s="344" t="s">
        <v>185</v>
      </c>
      <c r="K117" s="344" t="s">
        <v>222</v>
      </c>
      <c r="L117" s="344" t="s">
        <v>182</v>
      </c>
      <c r="M117" s="344" t="s">
        <v>181</v>
      </c>
      <c r="N117" s="344" t="s">
        <v>175</v>
      </c>
      <c r="O117" s="344" t="s">
        <v>173</v>
      </c>
      <c r="P117" s="344" t="s">
        <v>180</v>
      </c>
      <c r="Q117" s="344" t="s">
        <v>25</v>
      </c>
      <c r="R117" s="344" t="s">
        <v>173</v>
      </c>
    </row>
    <row r="118" spans="1:18" x14ac:dyDescent="0.15">
      <c r="A118" s="346" t="s">
        <v>62</v>
      </c>
      <c r="B118" s="346" t="s">
        <v>66</v>
      </c>
      <c r="C118" s="346" t="s">
        <v>226</v>
      </c>
      <c r="D118" s="336">
        <v>155925</v>
      </c>
      <c r="E118" s="336">
        <v>3000000</v>
      </c>
      <c r="F118" s="335">
        <f t="shared" si="6"/>
        <v>243243</v>
      </c>
      <c r="G118" s="335">
        <f t="shared" si="7"/>
        <v>4680000</v>
      </c>
      <c r="H118" s="346" t="s">
        <v>179</v>
      </c>
      <c r="I118" s="346">
        <v>3</v>
      </c>
      <c r="J118" s="344" t="s">
        <v>185</v>
      </c>
      <c r="K118" s="344" t="s">
        <v>222</v>
      </c>
      <c r="L118" s="344" t="s">
        <v>225</v>
      </c>
      <c r="M118" s="344" t="s">
        <v>224</v>
      </c>
      <c r="N118" s="344" t="s">
        <v>175</v>
      </c>
      <c r="O118" s="344" t="s">
        <v>173</v>
      </c>
      <c r="P118" s="344" t="s">
        <v>180</v>
      </c>
      <c r="Q118" s="344" t="s">
        <v>25</v>
      </c>
      <c r="R118" s="344" t="s">
        <v>207</v>
      </c>
    </row>
    <row r="119" spans="1:18" x14ac:dyDescent="0.15">
      <c r="A119" s="344" t="s">
        <v>66</v>
      </c>
      <c r="B119" s="344" t="s">
        <v>66</v>
      </c>
      <c r="C119" s="344" t="s">
        <v>223</v>
      </c>
      <c r="D119" s="335">
        <v>406076.67</v>
      </c>
      <c r="E119" s="335">
        <v>990433.58</v>
      </c>
      <c r="F119" s="335">
        <f t="shared" si="6"/>
        <v>633479.60519999999</v>
      </c>
      <c r="G119" s="337">
        <f t="shared" si="7"/>
        <v>1545076.3847999999</v>
      </c>
      <c r="H119" s="344" t="s">
        <v>179</v>
      </c>
      <c r="I119" s="344">
        <v>2</v>
      </c>
      <c r="J119" s="344" t="s">
        <v>185</v>
      </c>
      <c r="K119" s="344" t="s">
        <v>222</v>
      </c>
      <c r="L119" s="344" t="s">
        <v>182</v>
      </c>
      <c r="M119" s="344" t="s">
        <v>181</v>
      </c>
      <c r="N119" s="344" t="s">
        <v>175</v>
      </c>
      <c r="O119" s="344" t="s">
        <v>173</v>
      </c>
      <c r="P119" s="344" t="s">
        <v>180</v>
      </c>
      <c r="Q119" s="344" t="s">
        <v>25</v>
      </c>
      <c r="R119" s="344" t="s">
        <v>173</v>
      </c>
    </row>
    <row r="120" spans="1:18" x14ac:dyDescent="0.15">
      <c r="A120" s="344" t="s">
        <v>66</v>
      </c>
      <c r="B120" s="344" t="s">
        <v>66</v>
      </c>
      <c r="C120" s="344" t="s">
        <v>221</v>
      </c>
      <c r="D120" s="335">
        <v>73000</v>
      </c>
      <c r="E120" s="335">
        <v>387000</v>
      </c>
      <c r="F120" s="335">
        <f t="shared" si="6"/>
        <v>113880</v>
      </c>
      <c r="G120" s="335">
        <f t="shared" si="7"/>
        <v>603720</v>
      </c>
      <c r="H120" s="344" t="s">
        <v>179</v>
      </c>
      <c r="I120" s="344">
        <v>4</v>
      </c>
      <c r="J120" s="344">
        <v>4</v>
      </c>
      <c r="K120" s="344" t="s">
        <v>221</v>
      </c>
      <c r="L120" s="344" t="s">
        <v>220</v>
      </c>
      <c r="M120" s="344" t="s">
        <v>219</v>
      </c>
      <c r="N120" s="344" t="s">
        <v>175</v>
      </c>
      <c r="O120" s="344" t="s">
        <v>173</v>
      </c>
      <c r="P120" s="344" t="s">
        <v>218</v>
      </c>
      <c r="Q120" s="344" t="s">
        <v>29</v>
      </c>
      <c r="R120" s="344" t="s">
        <v>173</v>
      </c>
    </row>
    <row r="121" spans="1:18" x14ac:dyDescent="0.15">
      <c r="A121" s="344" t="s">
        <v>62</v>
      </c>
      <c r="B121" s="344" t="s">
        <v>66</v>
      </c>
      <c r="C121" s="344" t="s">
        <v>217</v>
      </c>
      <c r="D121" s="335">
        <v>79365</v>
      </c>
      <c r="E121" s="335">
        <v>1567630.06</v>
      </c>
      <c r="F121" s="335">
        <f t="shared" si="6"/>
        <v>123809.40000000001</v>
      </c>
      <c r="G121" s="335">
        <f t="shared" si="7"/>
        <v>2445502.8936000001</v>
      </c>
      <c r="H121" s="344" t="s">
        <v>179</v>
      </c>
      <c r="I121" s="344">
        <v>1</v>
      </c>
      <c r="J121" s="344">
        <v>1</v>
      </c>
      <c r="K121" s="344" t="s">
        <v>217</v>
      </c>
      <c r="L121" s="344" t="s">
        <v>182</v>
      </c>
      <c r="M121" s="344" t="s">
        <v>181</v>
      </c>
      <c r="N121" s="344" t="s">
        <v>175</v>
      </c>
      <c r="O121" s="344" t="s">
        <v>173</v>
      </c>
      <c r="P121" s="344" t="s">
        <v>216</v>
      </c>
      <c r="Q121" s="344" t="s">
        <v>215</v>
      </c>
      <c r="R121" s="344" t="s">
        <v>173</v>
      </c>
    </row>
    <row r="122" spans="1:18" x14ac:dyDescent="0.15">
      <c r="A122" s="344" t="s">
        <v>66</v>
      </c>
      <c r="B122" s="350" t="s">
        <v>66</v>
      </c>
      <c r="C122" s="351" t="s">
        <v>214</v>
      </c>
      <c r="D122" s="335">
        <v>850400</v>
      </c>
      <c r="E122" s="335">
        <v>0</v>
      </c>
      <c r="F122" s="335">
        <f t="shared" si="6"/>
        <v>1326624</v>
      </c>
      <c r="G122" s="335">
        <f t="shared" si="7"/>
        <v>0</v>
      </c>
      <c r="H122" s="344" t="s">
        <v>211</v>
      </c>
      <c r="I122" s="350"/>
      <c r="J122" s="350"/>
      <c r="K122" s="344" t="s">
        <v>213</v>
      </c>
      <c r="L122" s="344" t="s">
        <v>182</v>
      </c>
      <c r="M122" s="344" t="s">
        <v>212</v>
      </c>
      <c r="N122" s="350"/>
      <c r="O122" s="350"/>
      <c r="P122" s="350" t="s">
        <v>180</v>
      </c>
      <c r="Q122" s="344" t="s">
        <v>25</v>
      </c>
      <c r="R122" s="350"/>
    </row>
    <row r="123" spans="1:18" x14ac:dyDescent="0.15">
      <c r="A123" s="344" t="s">
        <v>57</v>
      </c>
      <c r="B123" s="344" t="s">
        <v>66</v>
      </c>
      <c r="C123" s="344" t="s">
        <v>210</v>
      </c>
      <c r="D123" s="335">
        <v>680114.63</v>
      </c>
      <c r="E123" s="335">
        <v>836064</v>
      </c>
      <c r="F123" s="335">
        <f t="shared" ref="F123:F136" si="8">D123*(1+56%)</f>
        <v>1060978.8228</v>
      </c>
      <c r="G123" s="335">
        <f t="shared" ref="G123:G136" si="9">E123*(1+56%)</f>
        <v>1304259.8400000001</v>
      </c>
      <c r="H123" s="344" t="s">
        <v>211</v>
      </c>
      <c r="I123" s="344">
        <v>3</v>
      </c>
      <c r="J123" s="344">
        <v>3</v>
      </c>
      <c r="K123" s="344" t="s">
        <v>210</v>
      </c>
      <c r="L123" s="344" t="s">
        <v>177</v>
      </c>
      <c r="M123" s="344" t="s">
        <v>209</v>
      </c>
      <c r="N123" s="344" t="s">
        <v>175</v>
      </c>
      <c r="O123" s="344" t="s">
        <v>173</v>
      </c>
      <c r="P123" s="344" t="s">
        <v>180</v>
      </c>
      <c r="Q123" s="344" t="s">
        <v>52</v>
      </c>
      <c r="R123" s="344" t="s">
        <v>173</v>
      </c>
    </row>
    <row r="124" spans="1:18" x14ac:dyDescent="0.15">
      <c r="A124" s="346" t="s">
        <v>66</v>
      </c>
      <c r="B124" s="344" t="s">
        <v>66</v>
      </c>
      <c r="C124" s="346" t="s">
        <v>208</v>
      </c>
      <c r="D124" s="336">
        <v>82687.5</v>
      </c>
      <c r="E124" s="336">
        <v>3145105.2620000001</v>
      </c>
      <c r="F124" s="335">
        <f t="shared" si="8"/>
        <v>128992.5</v>
      </c>
      <c r="G124" s="335">
        <f t="shared" si="9"/>
        <v>4906364.2087200005</v>
      </c>
      <c r="H124" s="346" t="s">
        <v>179</v>
      </c>
      <c r="I124" s="346" t="s">
        <v>185</v>
      </c>
      <c r="J124" s="346" t="s">
        <v>185</v>
      </c>
      <c r="K124" s="346" t="s">
        <v>208</v>
      </c>
      <c r="L124" s="344" t="s">
        <v>182</v>
      </c>
      <c r="M124" s="344" t="s">
        <v>181</v>
      </c>
      <c r="N124" s="344" t="s">
        <v>175</v>
      </c>
      <c r="O124" s="344" t="s">
        <v>173</v>
      </c>
      <c r="P124" s="344" t="s">
        <v>180</v>
      </c>
      <c r="Q124" s="344" t="s">
        <v>25</v>
      </c>
      <c r="R124" s="344" t="s">
        <v>207</v>
      </c>
    </row>
    <row r="125" spans="1:18" x14ac:dyDescent="0.15">
      <c r="A125" s="344" t="s">
        <v>66</v>
      </c>
      <c r="B125" s="344" t="s">
        <v>66</v>
      </c>
      <c r="C125" s="344" t="s">
        <v>206</v>
      </c>
      <c r="D125" s="335">
        <v>1582500</v>
      </c>
      <c r="E125" s="335">
        <v>46200</v>
      </c>
      <c r="F125" s="335">
        <f t="shared" si="8"/>
        <v>2468700</v>
      </c>
      <c r="G125" s="335">
        <f t="shared" si="9"/>
        <v>72072</v>
      </c>
      <c r="H125" s="344" t="s">
        <v>179</v>
      </c>
      <c r="I125" s="344">
        <v>3</v>
      </c>
      <c r="J125" s="344">
        <v>3</v>
      </c>
      <c r="K125" s="344" t="s">
        <v>206</v>
      </c>
      <c r="L125" s="344" t="s">
        <v>177</v>
      </c>
      <c r="M125" s="344" t="s">
        <v>205</v>
      </c>
      <c r="N125" s="344" t="s">
        <v>175</v>
      </c>
      <c r="O125" s="344" t="s">
        <v>173</v>
      </c>
      <c r="P125" s="344" t="s">
        <v>180</v>
      </c>
      <c r="Q125" s="344" t="s">
        <v>52</v>
      </c>
      <c r="R125" s="344" t="s">
        <v>173</v>
      </c>
    </row>
    <row r="126" spans="1:18" x14ac:dyDescent="0.15">
      <c r="A126" s="344" t="s">
        <v>66</v>
      </c>
      <c r="B126" s="344" t="s">
        <v>66</v>
      </c>
      <c r="C126" s="344" t="s">
        <v>204</v>
      </c>
      <c r="D126" s="335">
        <v>64085</v>
      </c>
      <c r="E126" s="335">
        <v>1220727.5699999998</v>
      </c>
      <c r="F126" s="335">
        <f t="shared" si="8"/>
        <v>99972.6</v>
      </c>
      <c r="G126" s="335">
        <f t="shared" si="9"/>
        <v>1904335.0091999997</v>
      </c>
      <c r="H126" s="344" t="s">
        <v>179</v>
      </c>
      <c r="I126" s="344">
        <v>4</v>
      </c>
      <c r="J126" s="344">
        <v>4</v>
      </c>
      <c r="K126" s="344" t="s">
        <v>204</v>
      </c>
      <c r="L126" s="344" t="s">
        <v>182</v>
      </c>
      <c r="M126" s="344" t="s">
        <v>181</v>
      </c>
      <c r="N126" s="344" t="s">
        <v>175</v>
      </c>
      <c r="O126" s="344" t="s">
        <v>173</v>
      </c>
      <c r="P126" s="344" t="s">
        <v>180</v>
      </c>
      <c r="Q126" s="344" t="s">
        <v>25</v>
      </c>
      <c r="R126" s="344" t="s">
        <v>173</v>
      </c>
    </row>
    <row r="127" spans="1:18" x14ac:dyDescent="0.15">
      <c r="A127" s="344" t="s">
        <v>66</v>
      </c>
      <c r="B127" s="344" t="s">
        <v>66</v>
      </c>
      <c r="C127" s="344" t="s">
        <v>203</v>
      </c>
      <c r="D127" s="335">
        <v>35910</v>
      </c>
      <c r="E127" s="335">
        <v>1149500</v>
      </c>
      <c r="F127" s="335">
        <f t="shared" si="8"/>
        <v>56019.6</v>
      </c>
      <c r="G127" s="335">
        <f t="shared" si="9"/>
        <v>1793220</v>
      </c>
      <c r="H127" s="344" t="s">
        <v>179</v>
      </c>
      <c r="I127" s="344">
        <v>3</v>
      </c>
      <c r="J127" s="344">
        <v>3</v>
      </c>
      <c r="K127" s="344" t="s">
        <v>203</v>
      </c>
      <c r="L127" s="344" t="s">
        <v>182</v>
      </c>
      <c r="M127" s="344" t="s">
        <v>181</v>
      </c>
      <c r="N127" s="344" t="s">
        <v>175</v>
      </c>
      <c r="O127" s="344" t="s">
        <v>173</v>
      </c>
      <c r="P127" s="344" t="s">
        <v>180</v>
      </c>
      <c r="Q127" s="344" t="s">
        <v>25</v>
      </c>
      <c r="R127" s="344" t="s">
        <v>173</v>
      </c>
    </row>
    <row r="128" spans="1:18" x14ac:dyDescent="0.15">
      <c r="A128" s="344" t="s">
        <v>57</v>
      </c>
      <c r="B128" s="344" t="s">
        <v>66</v>
      </c>
      <c r="C128" s="344" t="s">
        <v>202</v>
      </c>
      <c r="D128" s="335">
        <v>750000</v>
      </c>
      <c r="E128" s="335"/>
      <c r="F128" s="335">
        <f t="shared" si="8"/>
        <v>1170000</v>
      </c>
      <c r="G128" s="335">
        <f t="shared" si="9"/>
        <v>0</v>
      </c>
      <c r="H128" s="344" t="s">
        <v>179</v>
      </c>
      <c r="I128" s="344">
        <v>4</v>
      </c>
      <c r="J128" s="344">
        <v>4</v>
      </c>
      <c r="K128" s="344" t="s">
        <v>202</v>
      </c>
      <c r="L128" s="344" t="s">
        <v>201</v>
      </c>
      <c r="M128" s="344" t="s">
        <v>200</v>
      </c>
      <c r="N128" s="344" t="s">
        <v>186</v>
      </c>
      <c r="O128" s="344" t="s">
        <v>173</v>
      </c>
      <c r="P128" s="344" t="s">
        <v>199</v>
      </c>
      <c r="Q128" s="344" t="s">
        <v>29</v>
      </c>
      <c r="R128" s="344" t="s">
        <v>173</v>
      </c>
    </row>
    <row r="129" spans="1:18" x14ac:dyDescent="0.15">
      <c r="A129" s="344" t="s">
        <v>62</v>
      </c>
      <c r="B129" s="344" t="s">
        <v>66</v>
      </c>
      <c r="C129" s="344" t="s">
        <v>198</v>
      </c>
      <c r="D129" s="335">
        <v>126526</v>
      </c>
      <c r="E129" s="335">
        <v>450246.62</v>
      </c>
      <c r="F129" s="335">
        <f t="shared" si="8"/>
        <v>197380.56</v>
      </c>
      <c r="G129" s="335">
        <f t="shared" si="9"/>
        <v>702384.72719999996</v>
      </c>
      <c r="H129" s="344" t="s">
        <v>179</v>
      </c>
      <c r="I129" s="344">
        <v>3</v>
      </c>
      <c r="J129" s="344">
        <v>3</v>
      </c>
      <c r="K129" s="344" t="s">
        <v>198</v>
      </c>
      <c r="L129" s="344" t="s">
        <v>177</v>
      </c>
      <c r="M129" s="344" t="s">
        <v>197</v>
      </c>
      <c r="N129" s="344" t="s">
        <v>175</v>
      </c>
      <c r="O129" s="344" t="s">
        <v>173</v>
      </c>
      <c r="P129" s="344" t="s">
        <v>196</v>
      </c>
      <c r="Q129" s="344" t="s">
        <v>52</v>
      </c>
      <c r="R129" s="344" t="s">
        <v>173</v>
      </c>
    </row>
    <row r="130" spans="1:18" x14ac:dyDescent="0.15">
      <c r="A130" s="344" t="s">
        <v>64</v>
      </c>
      <c r="B130" s="344" t="s">
        <v>66</v>
      </c>
      <c r="C130" s="344" t="s">
        <v>195</v>
      </c>
      <c r="D130" s="335"/>
      <c r="E130" s="335">
        <v>867897</v>
      </c>
      <c r="F130" s="335">
        <f t="shared" si="8"/>
        <v>0</v>
      </c>
      <c r="G130" s="335">
        <f t="shared" si="9"/>
        <v>1353919.32</v>
      </c>
      <c r="H130" s="344" t="s">
        <v>179</v>
      </c>
      <c r="I130" s="344">
        <v>2</v>
      </c>
      <c r="J130" s="344">
        <v>2</v>
      </c>
      <c r="K130" s="344" t="s">
        <v>189</v>
      </c>
      <c r="L130" s="344" t="s">
        <v>188</v>
      </c>
      <c r="M130" s="344" t="s">
        <v>187</v>
      </c>
      <c r="N130" s="344" t="s">
        <v>186</v>
      </c>
      <c r="O130" s="344" t="s">
        <v>173</v>
      </c>
      <c r="P130" s="344" t="s">
        <v>180</v>
      </c>
      <c r="Q130" s="344" t="s">
        <v>25</v>
      </c>
      <c r="R130" s="344" t="s">
        <v>173</v>
      </c>
    </row>
    <row r="131" spans="1:18" x14ac:dyDescent="0.15">
      <c r="A131" s="344" t="s">
        <v>66</v>
      </c>
      <c r="B131" s="344" t="s">
        <v>66</v>
      </c>
      <c r="C131" s="344" t="s">
        <v>194</v>
      </c>
      <c r="D131" s="335">
        <v>3124650</v>
      </c>
      <c r="E131" s="335">
        <v>2512152.27</v>
      </c>
      <c r="F131" s="335">
        <f t="shared" si="8"/>
        <v>4874454</v>
      </c>
      <c r="G131" s="335">
        <f t="shared" si="9"/>
        <v>3918957.5412000003</v>
      </c>
      <c r="H131" s="344" t="s">
        <v>179</v>
      </c>
      <c r="I131" s="344">
        <v>2</v>
      </c>
      <c r="J131" s="344">
        <v>2</v>
      </c>
      <c r="K131" s="344" t="s">
        <v>194</v>
      </c>
      <c r="L131" s="344" t="s">
        <v>182</v>
      </c>
      <c r="M131" s="344" t="s">
        <v>181</v>
      </c>
      <c r="N131" s="344" t="s">
        <v>175</v>
      </c>
      <c r="O131" s="344" t="s">
        <v>173</v>
      </c>
      <c r="P131" s="344" t="s">
        <v>180</v>
      </c>
      <c r="Q131" s="344" t="s">
        <v>193</v>
      </c>
      <c r="R131" s="344" t="s">
        <v>173</v>
      </c>
    </row>
    <row r="132" spans="1:18" x14ac:dyDescent="0.15">
      <c r="A132" s="344" t="s">
        <v>57</v>
      </c>
      <c r="B132" s="344" t="s">
        <v>66</v>
      </c>
      <c r="C132" s="344" t="s">
        <v>192</v>
      </c>
      <c r="D132" s="335">
        <v>1706531.25</v>
      </c>
      <c r="E132" s="335">
        <v>669756.82000000007</v>
      </c>
      <c r="F132" s="335">
        <f t="shared" si="8"/>
        <v>2662188.75</v>
      </c>
      <c r="G132" s="335">
        <f t="shared" si="9"/>
        <v>1044820.6392000001</v>
      </c>
      <c r="H132" s="344" t="s">
        <v>179</v>
      </c>
      <c r="I132" s="344" t="s">
        <v>185</v>
      </c>
      <c r="J132" s="344" t="s">
        <v>185</v>
      </c>
      <c r="K132" s="344" t="s">
        <v>192</v>
      </c>
      <c r="L132" s="344" t="s">
        <v>177</v>
      </c>
      <c r="M132" s="344" t="s">
        <v>191</v>
      </c>
      <c r="N132" s="344" t="s">
        <v>175</v>
      </c>
      <c r="O132" s="344" t="s">
        <v>173</v>
      </c>
      <c r="P132" s="344" t="s">
        <v>180</v>
      </c>
      <c r="Q132" s="344" t="s">
        <v>52</v>
      </c>
      <c r="R132" s="344" t="s">
        <v>173</v>
      </c>
    </row>
    <row r="133" spans="1:18" x14ac:dyDescent="0.15">
      <c r="A133" s="344" t="s">
        <v>64</v>
      </c>
      <c r="B133" s="344" t="s">
        <v>66</v>
      </c>
      <c r="C133" s="344" t="s">
        <v>190</v>
      </c>
      <c r="D133" s="335"/>
      <c r="E133" s="335">
        <f>1119258.52+867897</f>
        <v>1987155.52</v>
      </c>
      <c r="F133" s="335">
        <f t="shared" si="8"/>
        <v>0</v>
      </c>
      <c r="G133" s="335">
        <f t="shared" si="9"/>
        <v>3099962.6112000002</v>
      </c>
      <c r="H133" s="344" t="s">
        <v>179</v>
      </c>
      <c r="I133" s="344">
        <v>2</v>
      </c>
      <c r="J133" s="344">
        <v>2</v>
      </c>
      <c r="K133" s="344" t="s">
        <v>189</v>
      </c>
      <c r="L133" s="344" t="s">
        <v>188</v>
      </c>
      <c r="M133" s="344" t="s">
        <v>187</v>
      </c>
      <c r="N133" s="344" t="s">
        <v>186</v>
      </c>
      <c r="O133" s="344" t="s">
        <v>173</v>
      </c>
      <c r="P133" s="344" t="s">
        <v>180</v>
      </c>
      <c r="Q133" s="344" t="s">
        <v>25</v>
      </c>
      <c r="R133" s="344" t="s">
        <v>173</v>
      </c>
    </row>
    <row r="134" spans="1:18" x14ac:dyDescent="0.15">
      <c r="A134" s="344" t="s">
        <v>62</v>
      </c>
      <c r="B134" s="344" t="s">
        <v>66</v>
      </c>
      <c r="C134" s="344" t="s">
        <v>184</v>
      </c>
      <c r="D134" s="335">
        <v>6685506.5</v>
      </c>
      <c r="E134" s="335">
        <v>2467529.3331999998</v>
      </c>
      <c r="F134" s="335">
        <f t="shared" si="8"/>
        <v>10429390.140000001</v>
      </c>
      <c r="G134" s="335">
        <f t="shared" si="9"/>
        <v>3849345.7597919996</v>
      </c>
      <c r="H134" s="344" t="s">
        <v>179</v>
      </c>
      <c r="I134" s="344">
        <v>1</v>
      </c>
      <c r="J134" s="344" t="s">
        <v>185</v>
      </c>
      <c r="K134" s="344" t="s">
        <v>184</v>
      </c>
      <c r="L134" s="344" t="s">
        <v>182</v>
      </c>
      <c r="M134" s="344" t="s">
        <v>181</v>
      </c>
      <c r="N134" s="344" t="s">
        <v>175</v>
      </c>
      <c r="O134" s="344" t="s">
        <v>173</v>
      </c>
      <c r="P134" s="344" t="s">
        <v>180</v>
      </c>
      <c r="Q134" s="344" t="s">
        <v>29</v>
      </c>
      <c r="R134" s="344" t="s">
        <v>173</v>
      </c>
    </row>
    <row r="135" spans="1:18" x14ac:dyDescent="0.15">
      <c r="A135" s="344" t="s">
        <v>64</v>
      </c>
      <c r="B135" s="344" t="s">
        <v>66</v>
      </c>
      <c r="C135" s="344" t="s">
        <v>183</v>
      </c>
      <c r="D135" s="335"/>
      <c r="E135" s="335">
        <v>283334.33</v>
      </c>
      <c r="F135" s="335">
        <f t="shared" si="8"/>
        <v>0</v>
      </c>
      <c r="G135" s="335">
        <f t="shared" si="9"/>
        <v>442001.55480000004</v>
      </c>
      <c r="H135" s="344" t="s">
        <v>179</v>
      </c>
      <c r="I135" s="344">
        <v>4</v>
      </c>
      <c r="J135" s="344">
        <v>4</v>
      </c>
      <c r="K135" s="344" t="s">
        <v>183</v>
      </c>
      <c r="L135" s="344" t="s">
        <v>182</v>
      </c>
      <c r="M135" s="344" t="s">
        <v>181</v>
      </c>
      <c r="N135" s="344" t="s">
        <v>175</v>
      </c>
      <c r="O135" s="344" t="s">
        <v>173</v>
      </c>
      <c r="P135" s="344" t="s">
        <v>180</v>
      </c>
      <c r="Q135" s="344" t="s">
        <v>27</v>
      </c>
      <c r="R135" s="344" t="s">
        <v>173</v>
      </c>
    </row>
    <row r="136" spans="1:18" x14ac:dyDescent="0.15">
      <c r="A136" s="344" t="s">
        <v>57</v>
      </c>
      <c r="B136" s="344" t="s">
        <v>66</v>
      </c>
      <c r="C136" s="344" t="s">
        <v>178</v>
      </c>
      <c r="D136" s="335"/>
      <c r="E136" s="335">
        <v>293581.46000000002</v>
      </c>
      <c r="F136" s="335">
        <f t="shared" si="8"/>
        <v>0</v>
      </c>
      <c r="G136" s="335">
        <f t="shared" si="9"/>
        <v>457987.07760000008</v>
      </c>
      <c r="H136" s="344" t="s">
        <v>179</v>
      </c>
      <c r="I136" s="344">
        <v>3</v>
      </c>
      <c r="J136" s="344">
        <v>3</v>
      </c>
      <c r="K136" s="344" t="s">
        <v>178</v>
      </c>
      <c r="L136" s="344" t="s">
        <v>177</v>
      </c>
      <c r="M136" s="344" t="s">
        <v>176</v>
      </c>
      <c r="N136" s="344" t="s">
        <v>175</v>
      </c>
      <c r="O136" s="344" t="s">
        <v>173</v>
      </c>
      <c r="P136" s="344" t="s">
        <v>174</v>
      </c>
      <c r="Q136" s="344" t="s">
        <v>29</v>
      </c>
      <c r="R136" s="344" t="s">
        <v>173</v>
      </c>
    </row>
    <row r="137" spans="1:18" x14ac:dyDescent="0.15">
      <c r="C137" s="352" t="s">
        <v>172</v>
      </c>
      <c r="D137" s="353">
        <f>SUBTOTAL(9,D2:D136)</f>
        <v>162701774.36429805</v>
      </c>
      <c r="E137" s="353">
        <f>SUBTOTAL(9,E2:E136)</f>
        <v>227384299.40797499</v>
      </c>
      <c r="F137" s="353">
        <f>SUBTOTAL(9,F2:F136)</f>
        <v>269355437.53968889</v>
      </c>
      <c r="G137" s="353">
        <f>SUBTOTAL(9,G2:G136)</f>
        <v>362285916.57644081</v>
      </c>
    </row>
    <row r="139" spans="1:18" x14ac:dyDescent="0.15">
      <c r="C139" s="354"/>
      <c r="D139" s="355"/>
      <c r="E139" s="356">
        <f>D137+E137</f>
        <v>390086073.77227306</v>
      </c>
      <c r="G139" s="356">
        <f>F137+G137</f>
        <v>631641354.11612964</v>
      </c>
    </row>
    <row r="145" spans="4:4" x14ac:dyDescent="0.15">
      <c r="D145" s="35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C326-3FB8-F040-9406-BACDD76B2B19}">
  <dimension ref="A3:K87"/>
  <sheetViews>
    <sheetView showGridLines="0" topLeftCell="A5" workbookViewId="0">
      <selection activeCell="N34" sqref="N34"/>
    </sheetView>
  </sheetViews>
  <sheetFormatPr baseColWidth="10" defaultRowHeight="14" x14ac:dyDescent="0.15"/>
  <cols>
    <col min="1" max="1" width="20.1640625" style="262" bestFit="1" customWidth="1"/>
    <col min="2" max="2" width="11.33203125" style="357" customWidth="1"/>
    <col min="3" max="3" width="10.1640625" style="357" bestFit="1" customWidth="1"/>
    <col min="4" max="5" width="8.33203125" style="357" bestFit="1" customWidth="1"/>
    <col min="6" max="6" width="6" style="357" bestFit="1" customWidth="1"/>
    <col min="7" max="7" width="6.33203125" style="357" bestFit="1" customWidth="1"/>
    <col min="8" max="8" width="8.6640625" style="357" customWidth="1"/>
    <col min="9" max="9" width="10.1640625" style="262" bestFit="1" customWidth="1"/>
    <col min="10" max="10" width="6.33203125" style="262" bestFit="1" customWidth="1"/>
    <col min="11" max="11" width="6.6640625" style="262" bestFit="1" customWidth="1"/>
    <col min="12" max="16384" width="10.83203125" style="262"/>
  </cols>
  <sheetData>
    <row r="3" spans="1:11" ht="30" x14ac:dyDescent="0.2">
      <c r="A3" s="368" t="s">
        <v>420</v>
      </c>
      <c r="B3" s="367" t="s">
        <v>50</v>
      </c>
      <c r="J3"/>
      <c r="K3"/>
    </row>
    <row r="4" spans="1:11" s="358" customFormat="1" ht="30" x14ac:dyDescent="0.2">
      <c r="A4" s="366" t="s">
        <v>51</v>
      </c>
      <c r="B4" s="357" t="s">
        <v>57</v>
      </c>
      <c r="C4" s="357" t="s">
        <v>62</v>
      </c>
      <c r="D4" s="357" t="s">
        <v>66</v>
      </c>
      <c r="E4" s="357" t="s">
        <v>83</v>
      </c>
      <c r="F4" s="357" t="s">
        <v>82</v>
      </c>
      <c r="G4" s="357" t="s">
        <v>169</v>
      </c>
      <c r="H4" s="357" t="s">
        <v>56</v>
      </c>
      <c r="J4"/>
      <c r="K4"/>
    </row>
    <row r="5" spans="1:11" ht="16" x14ac:dyDescent="0.2">
      <c r="A5" s="359" t="s">
        <v>294</v>
      </c>
      <c r="C5" s="357">
        <v>2</v>
      </c>
      <c r="H5" s="357">
        <v>2</v>
      </c>
      <c r="J5"/>
      <c r="K5"/>
    </row>
    <row r="6" spans="1:11" ht="16" x14ac:dyDescent="0.2">
      <c r="A6" s="359" t="s">
        <v>316</v>
      </c>
      <c r="E6" s="357">
        <v>1</v>
      </c>
      <c r="H6" s="357">
        <v>1</v>
      </c>
      <c r="J6"/>
      <c r="K6"/>
    </row>
    <row r="7" spans="1:11" ht="16" x14ac:dyDescent="0.2">
      <c r="A7" s="359" t="s">
        <v>188</v>
      </c>
      <c r="D7" s="357">
        <v>2</v>
      </c>
      <c r="H7" s="357">
        <v>2</v>
      </c>
      <c r="J7"/>
      <c r="K7"/>
    </row>
    <row r="8" spans="1:11" ht="16" x14ac:dyDescent="0.2">
      <c r="A8" s="359" t="s">
        <v>312</v>
      </c>
      <c r="E8" s="357">
        <v>2</v>
      </c>
      <c r="H8" s="357">
        <v>2</v>
      </c>
      <c r="J8"/>
      <c r="K8"/>
    </row>
    <row r="9" spans="1:11" ht="16" x14ac:dyDescent="0.2">
      <c r="A9" s="359" t="s">
        <v>320</v>
      </c>
      <c r="E9" s="357">
        <v>2</v>
      </c>
      <c r="H9" s="357">
        <v>2</v>
      </c>
      <c r="J9"/>
      <c r="K9"/>
    </row>
    <row r="10" spans="1:11" ht="16" x14ac:dyDescent="0.2">
      <c r="A10" s="359" t="s">
        <v>182</v>
      </c>
      <c r="B10" s="357">
        <v>24</v>
      </c>
      <c r="C10" s="357">
        <v>19</v>
      </c>
      <c r="D10" s="357">
        <v>11</v>
      </c>
      <c r="F10" s="357">
        <v>17</v>
      </c>
      <c r="H10" s="357">
        <v>71</v>
      </c>
      <c r="J10"/>
      <c r="K10"/>
    </row>
    <row r="11" spans="1:11" ht="16" x14ac:dyDescent="0.2">
      <c r="A11" s="359" t="s">
        <v>255</v>
      </c>
      <c r="F11" s="357">
        <v>1</v>
      </c>
      <c r="H11" s="357">
        <v>1</v>
      </c>
      <c r="J11"/>
      <c r="K11"/>
    </row>
    <row r="12" spans="1:11" ht="16" x14ac:dyDescent="0.2">
      <c r="A12" s="359" t="s">
        <v>225</v>
      </c>
      <c r="D12" s="357">
        <v>1</v>
      </c>
      <c r="H12" s="357">
        <v>1</v>
      </c>
      <c r="J12"/>
      <c r="K12"/>
    </row>
    <row r="13" spans="1:11" ht="16" x14ac:dyDescent="0.2">
      <c r="A13" s="359" t="s">
        <v>220</v>
      </c>
      <c r="D13" s="357">
        <v>1</v>
      </c>
      <c r="H13" s="357">
        <v>1</v>
      </c>
      <c r="J13"/>
      <c r="K13"/>
    </row>
    <row r="14" spans="1:11" ht="16" x14ac:dyDescent="0.2">
      <c r="A14" s="359" t="s">
        <v>177</v>
      </c>
      <c r="D14" s="357">
        <v>8</v>
      </c>
      <c r="H14" s="357">
        <v>8</v>
      </c>
      <c r="J14"/>
      <c r="K14"/>
    </row>
    <row r="15" spans="1:11" ht="16" x14ac:dyDescent="0.2">
      <c r="A15" s="359" t="s">
        <v>310</v>
      </c>
      <c r="E15" s="357">
        <v>2</v>
      </c>
      <c r="H15" s="357">
        <v>2</v>
      </c>
      <c r="J15"/>
      <c r="K15"/>
    </row>
    <row r="16" spans="1:11" ht="16" x14ac:dyDescent="0.2">
      <c r="A16" s="359" t="s">
        <v>324</v>
      </c>
      <c r="E16" s="357">
        <v>1</v>
      </c>
      <c r="H16" s="357">
        <v>1</v>
      </c>
      <c r="J16"/>
      <c r="K16"/>
    </row>
    <row r="17" spans="1:11" ht="16" x14ac:dyDescent="0.2">
      <c r="A17" s="359" t="s">
        <v>201</v>
      </c>
      <c r="D17" s="357">
        <v>1</v>
      </c>
      <c r="H17" s="357">
        <v>1</v>
      </c>
      <c r="J17"/>
      <c r="K17"/>
    </row>
    <row r="18" spans="1:11" ht="16" x14ac:dyDescent="0.2">
      <c r="A18" s="359" t="s">
        <v>235</v>
      </c>
      <c r="F18" s="357">
        <v>1</v>
      </c>
      <c r="H18" s="357">
        <v>1</v>
      </c>
      <c r="J18"/>
      <c r="K18"/>
    </row>
    <row r="19" spans="1:11" ht="16" x14ac:dyDescent="0.2">
      <c r="A19" s="359" t="s">
        <v>242</v>
      </c>
      <c r="F19" s="357">
        <v>6</v>
      </c>
      <c r="H19" s="357">
        <v>6</v>
      </c>
      <c r="J19"/>
      <c r="K19"/>
    </row>
    <row r="20" spans="1:11" ht="16" x14ac:dyDescent="0.2">
      <c r="A20" s="359" t="s">
        <v>372</v>
      </c>
      <c r="J20"/>
      <c r="K20"/>
    </row>
    <row r="21" spans="1:11" ht="16" x14ac:dyDescent="0.2">
      <c r="A21" s="359" t="s">
        <v>56</v>
      </c>
      <c r="B21" s="357">
        <v>24</v>
      </c>
      <c r="C21" s="357">
        <v>21</v>
      </c>
      <c r="D21" s="357">
        <v>24</v>
      </c>
      <c r="E21" s="357">
        <v>8</v>
      </c>
      <c r="F21" s="357">
        <v>25</v>
      </c>
      <c r="H21" s="357">
        <v>102</v>
      </c>
      <c r="J21"/>
      <c r="K21"/>
    </row>
    <row r="22" spans="1:11" ht="16" x14ac:dyDescent="0.2">
      <c r="A22"/>
      <c r="B22"/>
      <c r="C22"/>
      <c r="D22"/>
      <c r="E22"/>
      <c r="F22"/>
      <c r="G22"/>
      <c r="H22"/>
      <c r="J22"/>
      <c r="K22"/>
    </row>
    <row r="23" spans="1:11" ht="16" x14ac:dyDescent="0.2">
      <c r="B23" s="262"/>
      <c r="C23" s="262"/>
      <c r="D23" s="262"/>
      <c r="E23" s="262"/>
      <c r="F23" s="262"/>
      <c r="G23" s="262"/>
      <c r="H23" s="262"/>
      <c r="J23"/>
      <c r="K23"/>
    </row>
    <row r="24" spans="1:11" s="269" customFormat="1" ht="30" x14ac:dyDescent="0.2">
      <c r="A24" s="360" t="s">
        <v>421</v>
      </c>
      <c r="B24" s="361" t="s">
        <v>57</v>
      </c>
      <c r="C24" s="361" t="s">
        <v>62</v>
      </c>
      <c r="D24" s="361" t="s">
        <v>66</v>
      </c>
      <c r="E24" s="361" t="s">
        <v>83</v>
      </c>
      <c r="F24" s="361" t="s">
        <v>82</v>
      </c>
      <c r="G24" s="361" t="s">
        <v>169</v>
      </c>
      <c r="H24" s="362" t="s">
        <v>30</v>
      </c>
      <c r="J24" s="363"/>
      <c r="K24" s="363"/>
    </row>
    <row r="25" spans="1:11" ht="16" x14ac:dyDescent="0.2">
      <c r="A25" s="262" t="s">
        <v>294</v>
      </c>
      <c r="B25" s="262"/>
      <c r="C25" s="262">
        <v>2</v>
      </c>
      <c r="D25" s="262"/>
      <c r="E25" s="262"/>
      <c r="F25" s="262"/>
      <c r="G25" s="262"/>
      <c r="H25" s="364">
        <v>2</v>
      </c>
      <c r="J25"/>
      <c r="K25"/>
    </row>
    <row r="26" spans="1:11" ht="16" x14ac:dyDescent="0.2">
      <c r="A26" s="262" t="s">
        <v>316</v>
      </c>
      <c r="B26" s="262"/>
      <c r="C26" s="262"/>
      <c r="D26" s="262"/>
      <c r="E26" s="262">
        <v>1</v>
      </c>
      <c r="F26" s="262"/>
      <c r="G26" s="262"/>
      <c r="H26" s="364">
        <v>1</v>
      </c>
      <c r="J26"/>
      <c r="K26"/>
    </row>
    <row r="27" spans="1:11" ht="16" x14ac:dyDescent="0.2">
      <c r="A27" s="262" t="s">
        <v>188</v>
      </c>
      <c r="B27" s="262"/>
      <c r="C27" s="262"/>
      <c r="D27" s="262">
        <v>2</v>
      </c>
      <c r="E27" s="262"/>
      <c r="F27" s="262"/>
      <c r="G27" s="262"/>
      <c r="H27" s="364">
        <v>2</v>
      </c>
      <c r="J27"/>
      <c r="K27"/>
    </row>
    <row r="28" spans="1:11" ht="16" x14ac:dyDescent="0.2">
      <c r="A28" s="262" t="s">
        <v>312</v>
      </c>
      <c r="B28" s="262"/>
      <c r="C28" s="262"/>
      <c r="D28" s="262"/>
      <c r="E28" s="262">
        <v>2</v>
      </c>
      <c r="F28" s="262"/>
      <c r="G28" s="262"/>
      <c r="H28" s="364">
        <v>2</v>
      </c>
      <c r="J28"/>
      <c r="K28"/>
    </row>
    <row r="29" spans="1:11" ht="16" x14ac:dyDescent="0.2">
      <c r="A29" s="262" t="s">
        <v>320</v>
      </c>
      <c r="B29" s="262"/>
      <c r="C29" s="262"/>
      <c r="D29" s="262"/>
      <c r="E29" s="262">
        <v>2</v>
      </c>
      <c r="F29" s="262"/>
      <c r="G29" s="262"/>
      <c r="H29" s="364">
        <v>2</v>
      </c>
      <c r="J29"/>
      <c r="K29"/>
    </row>
    <row r="30" spans="1:11" ht="16" x14ac:dyDescent="0.2">
      <c r="A30" s="262" t="s">
        <v>182</v>
      </c>
      <c r="B30" s="262">
        <v>24</v>
      </c>
      <c r="C30" s="262">
        <v>19</v>
      </c>
      <c r="D30" s="262">
        <v>11</v>
      </c>
      <c r="E30" s="262"/>
      <c r="F30" s="262">
        <v>17</v>
      </c>
      <c r="G30" s="262"/>
      <c r="H30" s="364">
        <v>71</v>
      </c>
      <c r="J30"/>
      <c r="K30"/>
    </row>
    <row r="31" spans="1:11" ht="16" x14ac:dyDescent="0.2">
      <c r="A31" s="262" t="s">
        <v>255</v>
      </c>
      <c r="B31" s="262"/>
      <c r="C31" s="262"/>
      <c r="D31" s="262"/>
      <c r="E31" s="262"/>
      <c r="F31" s="262">
        <v>1</v>
      </c>
      <c r="G31" s="262"/>
      <c r="H31" s="364">
        <v>1</v>
      </c>
      <c r="J31"/>
      <c r="K31"/>
    </row>
    <row r="32" spans="1:11" ht="16" x14ac:dyDescent="0.2">
      <c r="A32" s="262" t="s">
        <v>225</v>
      </c>
      <c r="B32" s="262"/>
      <c r="C32" s="262"/>
      <c r="D32" s="262">
        <v>1</v>
      </c>
      <c r="E32" s="262"/>
      <c r="F32" s="262"/>
      <c r="G32" s="262"/>
      <c r="H32" s="364">
        <v>1</v>
      </c>
      <c r="J32"/>
      <c r="K32"/>
    </row>
    <row r="33" spans="1:11" ht="16" x14ac:dyDescent="0.2">
      <c r="A33" s="262" t="s">
        <v>220</v>
      </c>
      <c r="B33" s="262"/>
      <c r="C33" s="262"/>
      <c r="D33" s="262">
        <v>1</v>
      </c>
      <c r="E33" s="262"/>
      <c r="F33" s="262"/>
      <c r="G33" s="262"/>
      <c r="H33" s="364">
        <v>1</v>
      </c>
      <c r="J33"/>
      <c r="K33"/>
    </row>
    <row r="34" spans="1:11" ht="16" x14ac:dyDescent="0.2">
      <c r="A34" s="262" t="s">
        <v>177</v>
      </c>
      <c r="B34" s="262"/>
      <c r="C34" s="262"/>
      <c r="D34" s="262">
        <v>8</v>
      </c>
      <c r="E34" s="262"/>
      <c r="F34" s="262"/>
      <c r="G34" s="262"/>
      <c r="H34" s="364">
        <v>8</v>
      </c>
      <c r="J34"/>
      <c r="K34"/>
    </row>
    <row r="35" spans="1:11" ht="16" x14ac:dyDescent="0.2">
      <c r="A35" s="262" t="s">
        <v>310</v>
      </c>
      <c r="B35" s="262"/>
      <c r="C35" s="262"/>
      <c r="D35" s="262"/>
      <c r="E35" s="262">
        <v>2</v>
      </c>
      <c r="F35" s="262"/>
      <c r="G35" s="262"/>
      <c r="H35" s="364">
        <v>2</v>
      </c>
      <c r="J35"/>
      <c r="K35"/>
    </row>
    <row r="36" spans="1:11" ht="16" x14ac:dyDescent="0.2">
      <c r="A36" s="262" t="s">
        <v>324</v>
      </c>
      <c r="B36" s="262"/>
      <c r="C36" s="262"/>
      <c r="D36" s="262"/>
      <c r="E36" s="262">
        <v>1</v>
      </c>
      <c r="F36" s="262"/>
      <c r="G36" s="262"/>
      <c r="H36" s="364">
        <v>1</v>
      </c>
      <c r="J36"/>
      <c r="K36"/>
    </row>
    <row r="37" spans="1:11" ht="16" x14ac:dyDescent="0.2">
      <c r="A37" s="262" t="s">
        <v>201</v>
      </c>
      <c r="D37" s="357">
        <v>1</v>
      </c>
      <c r="H37" s="364">
        <v>1</v>
      </c>
      <c r="J37"/>
      <c r="K37"/>
    </row>
    <row r="38" spans="1:11" ht="16" x14ac:dyDescent="0.2">
      <c r="A38" s="262" t="s">
        <v>235</v>
      </c>
      <c r="F38" s="357">
        <v>1</v>
      </c>
      <c r="H38" s="364">
        <v>1</v>
      </c>
      <c r="J38"/>
      <c r="K38"/>
    </row>
    <row r="39" spans="1:11" ht="16" x14ac:dyDescent="0.2">
      <c r="A39" s="262" t="s">
        <v>242</v>
      </c>
      <c r="F39" s="357">
        <v>6</v>
      </c>
      <c r="H39" s="364">
        <v>6</v>
      </c>
      <c r="J39"/>
      <c r="K39"/>
    </row>
    <row r="40" spans="1:11" ht="16" x14ac:dyDescent="0.2">
      <c r="A40" s="262" t="s">
        <v>372</v>
      </c>
      <c r="G40" s="357">
        <v>4</v>
      </c>
      <c r="H40" s="364">
        <v>6</v>
      </c>
      <c r="J40"/>
      <c r="K40"/>
    </row>
    <row r="41" spans="1:11" s="265" customFormat="1" ht="15" x14ac:dyDescent="0.2">
      <c r="A41" s="265" t="s">
        <v>30</v>
      </c>
      <c r="B41" s="364">
        <f>SUM(B25:B40)</f>
        <v>24</v>
      </c>
      <c r="C41" s="364">
        <f t="shared" ref="C41:G41" si="0">SUM(C25:C40)</f>
        <v>21</v>
      </c>
      <c r="D41" s="364">
        <f t="shared" si="0"/>
        <v>24</v>
      </c>
      <c r="E41" s="364">
        <f t="shared" si="0"/>
        <v>8</v>
      </c>
      <c r="F41" s="364">
        <f t="shared" si="0"/>
        <v>25</v>
      </c>
      <c r="G41" s="364">
        <f t="shared" si="0"/>
        <v>4</v>
      </c>
      <c r="H41" s="364">
        <f>SUM(H25:H40)</f>
        <v>108</v>
      </c>
      <c r="J41" s="365"/>
      <c r="K41" s="365"/>
    </row>
    <row r="42" spans="1:11" ht="16" x14ac:dyDescent="0.2">
      <c r="J42"/>
      <c r="K42"/>
    </row>
    <row r="43" spans="1:11" ht="16" x14ac:dyDescent="0.2">
      <c r="J43"/>
      <c r="K43"/>
    </row>
    <row r="44" spans="1:11" ht="16" x14ac:dyDescent="0.2">
      <c r="J44"/>
      <c r="K44"/>
    </row>
    <row r="45" spans="1:11" ht="16" x14ac:dyDescent="0.2">
      <c r="J45"/>
      <c r="K45"/>
    </row>
    <row r="46" spans="1:11" ht="16" x14ac:dyDescent="0.2">
      <c r="J46"/>
      <c r="K46"/>
    </row>
    <row r="47" spans="1:11" ht="16" x14ac:dyDescent="0.2">
      <c r="J47"/>
      <c r="K47"/>
    </row>
    <row r="48" spans="1:11" ht="16" x14ac:dyDescent="0.2">
      <c r="J48"/>
      <c r="K48"/>
    </row>
    <row r="49" spans="10:11" ht="16" x14ac:dyDescent="0.2">
      <c r="J49"/>
      <c r="K49"/>
    </row>
    <row r="50" spans="10:11" ht="16" x14ac:dyDescent="0.2">
      <c r="J50"/>
      <c r="K50"/>
    </row>
    <row r="51" spans="10:11" ht="16" x14ac:dyDescent="0.2">
      <c r="J51"/>
      <c r="K51"/>
    </row>
    <row r="52" spans="10:11" ht="16" x14ac:dyDescent="0.2">
      <c r="J52"/>
      <c r="K52"/>
    </row>
    <row r="53" spans="10:11" ht="16" x14ac:dyDescent="0.2">
      <c r="J53"/>
      <c r="K53"/>
    </row>
    <row r="54" spans="10:11" ht="16" x14ac:dyDescent="0.2">
      <c r="J54"/>
      <c r="K54"/>
    </row>
    <row r="55" spans="10:11" ht="16" x14ac:dyDescent="0.2">
      <c r="J55"/>
      <c r="K55"/>
    </row>
    <row r="56" spans="10:11" ht="16" x14ac:dyDescent="0.2">
      <c r="J56"/>
      <c r="K56"/>
    </row>
    <row r="57" spans="10:11" ht="16" x14ac:dyDescent="0.2">
      <c r="J57"/>
      <c r="K57"/>
    </row>
    <row r="58" spans="10:11" ht="16" x14ac:dyDescent="0.2">
      <c r="J58"/>
      <c r="K58"/>
    </row>
    <row r="59" spans="10:11" ht="16" x14ac:dyDescent="0.2">
      <c r="J59"/>
      <c r="K59"/>
    </row>
    <row r="60" spans="10:11" ht="16" x14ac:dyDescent="0.2">
      <c r="J60"/>
      <c r="K60"/>
    </row>
    <row r="61" spans="10:11" ht="16" x14ac:dyDescent="0.2">
      <c r="J61"/>
      <c r="K61"/>
    </row>
    <row r="62" spans="10:11" ht="16" x14ac:dyDescent="0.2">
      <c r="J62"/>
      <c r="K62"/>
    </row>
    <row r="63" spans="10:11" ht="16" x14ac:dyDescent="0.2">
      <c r="J63"/>
      <c r="K63"/>
    </row>
    <row r="64" spans="10:11" ht="16" x14ac:dyDescent="0.2">
      <c r="J64"/>
      <c r="K64"/>
    </row>
    <row r="65" spans="10:11" ht="16" x14ac:dyDescent="0.2">
      <c r="J65"/>
      <c r="K65"/>
    </row>
    <row r="66" spans="10:11" ht="16" x14ac:dyDescent="0.2">
      <c r="J66"/>
      <c r="K66"/>
    </row>
    <row r="67" spans="10:11" ht="16" x14ac:dyDescent="0.2">
      <c r="J67"/>
      <c r="K67"/>
    </row>
    <row r="68" spans="10:11" ht="16" x14ac:dyDescent="0.2">
      <c r="J68"/>
      <c r="K68"/>
    </row>
    <row r="69" spans="10:11" ht="16" x14ac:dyDescent="0.2">
      <c r="J69"/>
      <c r="K69"/>
    </row>
    <row r="70" spans="10:11" ht="16" x14ac:dyDescent="0.2">
      <c r="J70"/>
      <c r="K70"/>
    </row>
    <row r="71" spans="10:11" ht="16" x14ac:dyDescent="0.2">
      <c r="J71"/>
      <c r="K71"/>
    </row>
    <row r="72" spans="10:11" ht="16" x14ac:dyDescent="0.2">
      <c r="J72"/>
      <c r="K72"/>
    </row>
    <row r="73" spans="10:11" ht="16" x14ac:dyDescent="0.2">
      <c r="J73"/>
      <c r="K73"/>
    </row>
    <row r="74" spans="10:11" ht="16" x14ac:dyDescent="0.2">
      <c r="J74"/>
      <c r="K74"/>
    </row>
    <row r="75" spans="10:11" ht="16" x14ac:dyDescent="0.2">
      <c r="J75"/>
      <c r="K75"/>
    </row>
    <row r="76" spans="10:11" ht="16" x14ac:dyDescent="0.2">
      <c r="J76"/>
      <c r="K76"/>
    </row>
    <row r="77" spans="10:11" ht="16" x14ac:dyDescent="0.2">
      <c r="J77"/>
      <c r="K77"/>
    </row>
    <row r="78" spans="10:11" ht="16" x14ac:dyDescent="0.2">
      <c r="J78"/>
      <c r="K78"/>
    </row>
    <row r="79" spans="10:11" ht="16" x14ac:dyDescent="0.2">
      <c r="J79"/>
      <c r="K79"/>
    </row>
    <row r="80" spans="10:11" ht="16" x14ac:dyDescent="0.2">
      <c r="J80"/>
      <c r="K80"/>
    </row>
    <row r="81" spans="10:11" ht="16" x14ac:dyDescent="0.2">
      <c r="J81"/>
      <c r="K81"/>
    </row>
    <row r="82" spans="10:11" ht="16" x14ac:dyDescent="0.2">
      <c r="J82"/>
      <c r="K82"/>
    </row>
    <row r="83" spans="10:11" ht="16" x14ac:dyDescent="0.2">
      <c r="J83"/>
      <c r="K83"/>
    </row>
    <row r="84" spans="10:11" ht="16" x14ac:dyDescent="0.2">
      <c r="J84"/>
      <c r="K84"/>
    </row>
    <row r="85" spans="10:11" ht="16" x14ac:dyDescent="0.2">
      <c r="J85"/>
      <c r="K85"/>
    </row>
    <row r="86" spans="10:11" ht="16" x14ac:dyDescent="0.2">
      <c r="J86"/>
      <c r="K86"/>
    </row>
    <row r="87" spans="10:11" ht="16" x14ac:dyDescent="0.2">
      <c r="J87"/>
      <c r="K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8B56-A6ED-AC42-8844-5B872F8F4FAF}">
  <dimension ref="B2:AH145"/>
  <sheetViews>
    <sheetView showGridLines="0" zoomScale="130" zoomScaleNormal="130" workbookViewId="0">
      <selection activeCell="F63" sqref="F63"/>
    </sheetView>
  </sheetViews>
  <sheetFormatPr baseColWidth="10" defaultColWidth="10.83203125" defaultRowHeight="16" x14ac:dyDescent="0.2"/>
  <cols>
    <col min="1" max="1" width="10.83203125" style="1"/>
    <col min="2" max="2" width="4" style="1" customWidth="1"/>
    <col min="3" max="3" width="22.6640625" style="1" bestFit="1" customWidth="1"/>
    <col min="4" max="14" width="10.1640625" style="1" customWidth="1"/>
    <col min="15" max="16" width="3.6640625" style="1" customWidth="1"/>
    <col min="17" max="18" width="12.6640625" style="1" bestFit="1" customWidth="1"/>
    <col min="19" max="19" width="6.83203125" style="1" bestFit="1" customWidth="1"/>
    <col min="20" max="20" width="12.6640625" style="1" bestFit="1" customWidth="1"/>
    <col min="21" max="21" width="8.83203125" style="1" bestFit="1" customWidth="1"/>
    <col min="22" max="22" width="12.83203125" style="1" bestFit="1" customWidth="1"/>
    <col min="23" max="23" width="12.6640625" style="1" bestFit="1" customWidth="1"/>
    <col min="24" max="24" width="8.33203125" style="1" customWidth="1"/>
    <col min="25" max="26" width="12.5" style="1" bestFit="1" customWidth="1"/>
    <col min="27" max="27" width="8.6640625" style="1" bestFit="1" customWidth="1"/>
    <col min="28" max="28" width="10.83203125" style="1"/>
    <col min="29" max="32" width="8.6640625" style="1" bestFit="1" customWidth="1"/>
    <col min="33" max="33" width="9.6640625" style="1" bestFit="1" customWidth="1"/>
    <col min="34" max="37" width="8.6640625" style="1" bestFit="1" customWidth="1"/>
    <col min="38" max="38" width="9.6640625" style="1" bestFit="1" customWidth="1"/>
    <col min="39" max="16384" width="10.83203125" style="1"/>
  </cols>
  <sheetData>
    <row r="2" spans="2:30" x14ac:dyDescent="0.2">
      <c r="I2" s="2" t="s">
        <v>0</v>
      </c>
      <c r="T2" s="370" t="s">
        <v>1</v>
      </c>
      <c r="U2" s="370"/>
      <c r="V2" s="370"/>
      <c r="W2" s="370"/>
      <c r="X2" s="370"/>
      <c r="Y2" s="370"/>
      <c r="Z2" s="370"/>
      <c r="AA2" s="370"/>
      <c r="AB2" s="370"/>
      <c r="AC2" s="370"/>
      <c r="AD2" s="370"/>
    </row>
    <row r="3" spans="2:30" ht="17" customHeight="1" x14ac:dyDescent="0.2">
      <c r="B3" s="70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130"/>
      <c r="R3" s="3" t="s">
        <v>2</v>
      </c>
    </row>
    <row r="4" spans="2:30" x14ac:dyDescent="0.2">
      <c r="B4" s="369">
        <v>1</v>
      </c>
      <c r="C4" s="373" t="s">
        <v>3</v>
      </c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131"/>
      <c r="P4" s="4"/>
      <c r="Q4" s="5" t="s">
        <v>4</v>
      </c>
      <c r="R4" s="6" t="s">
        <v>4</v>
      </c>
      <c r="T4" s="372" t="s">
        <v>5</v>
      </c>
      <c r="U4" s="372"/>
      <c r="V4" s="372"/>
      <c r="W4" s="372"/>
    </row>
    <row r="5" spans="2:30" s="4" customFormat="1" ht="56" x14ac:dyDescent="0.2">
      <c r="B5" s="369"/>
      <c r="C5" s="7" t="s">
        <v>6</v>
      </c>
      <c r="D5" s="8">
        <v>2024</v>
      </c>
      <c r="E5" s="8" t="s">
        <v>7</v>
      </c>
      <c r="F5" s="8" t="s">
        <v>8</v>
      </c>
      <c r="G5" s="9" t="s">
        <v>9</v>
      </c>
      <c r="H5" s="8" t="s">
        <v>10</v>
      </c>
      <c r="I5" s="321" t="s">
        <v>11</v>
      </c>
      <c r="J5" s="8" t="s">
        <v>12</v>
      </c>
      <c r="K5" s="8" t="s">
        <v>13</v>
      </c>
      <c r="L5" s="8" t="s">
        <v>14</v>
      </c>
      <c r="M5" s="321" t="s">
        <v>15</v>
      </c>
      <c r="N5" s="144" t="s">
        <v>16</v>
      </c>
      <c r="O5" s="131"/>
      <c r="Q5" s="8" t="s">
        <v>17</v>
      </c>
      <c r="R5" s="10" t="s">
        <v>18</v>
      </c>
      <c r="T5" s="11" t="s">
        <v>23</v>
      </c>
      <c r="U5" s="8">
        <v>2025</v>
      </c>
      <c r="V5" s="8" t="s">
        <v>20</v>
      </c>
      <c r="W5" s="8" t="s">
        <v>24</v>
      </c>
    </row>
    <row r="6" spans="2:30" x14ac:dyDescent="0.2">
      <c r="B6" s="369"/>
      <c r="C6" s="12" t="s">
        <v>25</v>
      </c>
      <c r="D6" s="132">
        <v>140500</v>
      </c>
      <c r="E6" s="132">
        <v>70053.607000000004</v>
      </c>
      <c r="F6" s="132">
        <v>143242.81299999999</v>
      </c>
      <c r="G6" s="133">
        <f t="shared" ref="G6:G13" si="0">SUM(E6:F6)</f>
        <v>213296.41999999998</v>
      </c>
      <c r="H6" s="77">
        <v>0.5</v>
      </c>
      <c r="I6" s="322">
        <f t="shared" ref="I6:I13" si="1">E6*(1+H6)</f>
        <v>105080.4105</v>
      </c>
      <c r="J6" s="132">
        <v>9000</v>
      </c>
      <c r="K6" s="132">
        <f t="shared" ref="K6:K13" si="2">F6-J6</f>
        <v>134242.81299999999</v>
      </c>
      <c r="L6" s="134">
        <v>0.32500000000000001</v>
      </c>
      <c r="M6" s="322">
        <f t="shared" ref="M6:M13" si="3">K6*(1+L6)</f>
        <v>177871.72722499998</v>
      </c>
      <c r="N6" s="145">
        <f t="shared" ref="N6:N13" si="4">I6+M6</f>
        <v>282952.13772499998</v>
      </c>
      <c r="O6" s="75"/>
      <c r="Q6" s="13">
        <f>N6</f>
        <v>282952.13772499998</v>
      </c>
      <c r="R6" s="13">
        <v>355556878</v>
      </c>
      <c r="T6" s="12" t="s">
        <v>26</v>
      </c>
      <c r="U6" s="17">
        <f>E14/1000</f>
        <v>152.04433599999999</v>
      </c>
      <c r="V6" s="17">
        <f>I14/1000</f>
        <v>278.85596990000005</v>
      </c>
      <c r="W6" s="16">
        <f>V6/U6-1</f>
        <v>0.83404378772781174</v>
      </c>
    </row>
    <row r="7" spans="2:30" x14ac:dyDescent="0.2">
      <c r="B7" s="369"/>
      <c r="C7" s="12" t="s">
        <v>27</v>
      </c>
      <c r="D7" s="132">
        <v>16100.000000000002</v>
      </c>
      <c r="E7" s="132">
        <v>13752.678</v>
      </c>
      <c r="F7" s="132">
        <v>13930.924000000001</v>
      </c>
      <c r="G7" s="133">
        <f t="shared" si="0"/>
        <v>27683.601999999999</v>
      </c>
      <c r="H7" s="135">
        <v>2</v>
      </c>
      <c r="I7" s="322">
        <f t="shared" si="1"/>
        <v>41258.034</v>
      </c>
      <c r="J7" s="132">
        <v>1515</v>
      </c>
      <c r="K7" s="132">
        <f t="shared" si="2"/>
        <v>12415.924000000001</v>
      </c>
      <c r="L7" s="134">
        <f t="shared" ref="L7:L13" si="5">L6</f>
        <v>0.32500000000000001</v>
      </c>
      <c r="M7" s="322">
        <f t="shared" si="3"/>
        <v>16451.099300000002</v>
      </c>
      <c r="N7" s="145">
        <f t="shared" si="4"/>
        <v>57709.133300000001</v>
      </c>
      <c r="O7" s="75"/>
      <c r="Q7" s="13">
        <v>100000000</v>
      </c>
      <c r="R7" s="13">
        <v>102262500</v>
      </c>
      <c r="T7" s="12" t="s">
        <v>28</v>
      </c>
      <c r="U7" s="17">
        <f>F14/1000</f>
        <v>232.74367299999997</v>
      </c>
      <c r="V7" s="17">
        <f>M14/1000</f>
        <v>321.27624172499998</v>
      </c>
      <c r="W7" s="16">
        <f t="shared" ref="W7:W8" si="6">V7/U7-1</f>
        <v>0.38038657542798182</v>
      </c>
    </row>
    <row r="8" spans="2:30" x14ac:dyDescent="0.2">
      <c r="B8" s="369"/>
      <c r="C8" s="12" t="s">
        <v>29</v>
      </c>
      <c r="D8" s="132">
        <v>17900</v>
      </c>
      <c r="E8" s="132">
        <v>25018.01</v>
      </c>
      <c r="F8" s="132">
        <v>19223.724999999999</v>
      </c>
      <c r="G8" s="133">
        <f t="shared" si="0"/>
        <v>44241.735000000001</v>
      </c>
      <c r="H8" s="135">
        <v>0.5</v>
      </c>
      <c r="I8" s="322">
        <f t="shared" si="1"/>
        <v>37527.014999999999</v>
      </c>
      <c r="J8" s="132">
        <v>2310</v>
      </c>
      <c r="K8" s="132">
        <f t="shared" si="2"/>
        <v>16913.724999999999</v>
      </c>
      <c r="L8" s="134">
        <f t="shared" si="5"/>
        <v>0.32500000000000001</v>
      </c>
      <c r="M8" s="322">
        <f t="shared" si="3"/>
        <v>22410.685624999998</v>
      </c>
      <c r="N8" s="145">
        <f t="shared" si="4"/>
        <v>59937.700624999998</v>
      </c>
      <c r="O8" s="75"/>
      <c r="Q8" s="13">
        <f>N8</f>
        <v>59937.700624999998</v>
      </c>
      <c r="R8" s="13">
        <v>95747000</v>
      </c>
      <c r="T8" s="19" t="s">
        <v>30</v>
      </c>
      <c r="U8" s="19">
        <f>U6+U7</f>
        <v>384.78800899999999</v>
      </c>
      <c r="V8" s="19">
        <f>V6+V7</f>
        <v>600.13221162500008</v>
      </c>
      <c r="W8" s="20">
        <f t="shared" si="6"/>
        <v>0.55964374561630392</v>
      </c>
    </row>
    <row r="9" spans="2:30" x14ac:dyDescent="0.2">
      <c r="B9" s="369"/>
      <c r="C9" s="12" t="s">
        <v>69</v>
      </c>
      <c r="D9" s="132">
        <v>6000</v>
      </c>
      <c r="E9" s="132">
        <v>8415.7360000000008</v>
      </c>
      <c r="F9" s="132">
        <v>4773.9409999999998</v>
      </c>
      <c r="G9" s="133">
        <f t="shared" si="0"/>
        <v>13189.677</v>
      </c>
      <c r="H9" s="135">
        <v>2</v>
      </c>
      <c r="I9" s="322">
        <f t="shared" si="1"/>
        <v>25247.208000000002</v>
      </c>
      <c r="J9" s="132">
        <v>4500</v>
      </c>
      <c r="K9" s="132">
        <f t="shared" si="2"/>
        <v>273.9409999999998</v>
      </c>
      <c r="L9" s="134">
        <f t="shared" si="5"/>
        <v>0.32500000000000001</v>
      </c>
      <c r="M9" s="322">
        <f t="shared" si="3"/>
        <v>362.97182499999974</v>
      </c>
      <c r="N9" s="145">
        <f t="shared" si="4"/>
        <v>25610.179825000003</v>
      </c>
      <c r="O9" s="75"/>
      <c r="Q9" s="13">
        <v>43000000</v>
      </c>
      <c r="R9" s="13">
        <v>34635137</v>
      </c>
    </row>
    <row r="10" spans="2:30" x14ac:dyDescent="0.2">
      <c r="B10" s="369"/>
      <c r="C10" s="12" t="s">
        <v>32</v>
      </c>
      <c r="D10" s="132">
        <v>100</v>
      </c>
      <c r="E10" s="132">
        <v>3806.4450000000002</v>
      </c>
      <c r="F10" s="132">
        <v>2987.1750000000002</v>
      </c>
      <c r="G10" s="133">
        <f t="shared" si="0"/>
        <v>6793.6200000000008</v>
      </c>
      <c r="H10" s="135">
        <v>0.5</v>
      </c>
      <c r="I10" s="322">
        <f t="shared" si="1"/>
        <v>5709.6675000000005</v>
      </c>
      <c r="J10" s="132">
        <v>100</v>
      </c>
      <c r="K10" s="132">
        <f t="shared" si="2"/>
        <v>2887.1750000000002</v>
      </c>
      <c r="L10" s="134">
        <f t="shared" si="5"/>
        <v>0.32500000000000001</v>
      </c>
      <c r="M10" s="322">
        <f t="shared" si="3"/>
        <v>3825.506875</v>
      </c>
      <c r="N10" s="145">
        <f t="shared" si="4"/>
        <v>9535.1743750000005</v>
      </c>
      <c r="O10" s="75"/>
      <c r="Q10" s="13">
        <v>16000000</v>
      </c>
      <c r="R10" s="13">
        <v>16146000</v>
      </c>
    </row>
    <row r="11" spans="2:30" x14ac:dyDescent="0.2">
      <c r="B11" s="369"/>
      <c r="C11" s="12" t="s">
        <v>33</v>
      </c>
      <c r="D11" s="132">
        <v>14000</v>
      </c>
      <c r="E11" s="132">
        <v>25326.464</v>
      </c>
      <c r="F11" s="132">
        <v>0</v>
      </c>
      <c r="G11" s="133">
        <f t="shared" si="0"/>
        <v>25326.464</v>
      </c>
      <c r="H11" s="135">
        <v>2</v>
      </c>
      <c r="I11" s="322">
        <v>40000</v>
      </c>
      <c r="J11" s="132"/>
      <c r="K11" s="132">
        <f t="shared" si="2"/>
        <v>0</v>
      </c>
      <c r="L11" s="134">
        <f t="shared" si="5"/>
        <v>0.32500000000000001</v>
      </c>
      <c r="M11" s="322">
        <v>35979</v>
      </c>
      <c r="N11" s="145">
        <f t="shared" si="4"/>
        <v>75979</v>
      </c>
      <c r="O11" s="75"/>
      <c r="Q11" s="13">
        <f>N11</f>
        <v>75979</v>
      </c>
      <c r="R11" s="13">
        <f>N11</f>
        <v>75979</v>
      </c>
    </row>
    <row r="12" spans="2:30" x14ac:dyDescent="0.2">
      <c r="B12" s="369"/>
      <c r="C12" s="12" t="s">
        <v>34</v>
      </c>
      <c r="D12" s="132">
        <v>35000</v>
      </c>
      <c r="E12" s="132">
        <v>690.65300000000002</v>
      </c>
      <c r="F12" s="132">
        <v>48585.095000000001</v>
      </c>
      <c r="G12" s="133">
        <f t="shared" si="0"/>
        <v>49275.748</v>
      </c>
      <c r="H12" s="77">
        <v>10</v>
      </c>
      <c r="I12" s="322">
        <f t="shared" si="1"/>
        <v>7597.183</v>
      </c>
      <c r="J12" s="132"/>
      <c r="K12" s="132">
        <f t="shared" si="2"/>
        <v>48585.095000000001</v>
      </c>
      <c r="L12" s="134">
        <f t="shared" si="5"/>
        <v>0.32500000000000001</v>
      </c>
      <c r="M12" s="322">
        <f t="shared" si="3"/>
        <v>64375.250874999998</v>
      </c>
      <c r="N12" s="145">
        <f t="shared" si="4"/>
        <v>71972.433875000002</v>
      </c>
      <c r="O12" s="75"/>
      <c r="Q12" s="13">
        <f>N12</f>
        <v>71972.433875000002</v>
      </c>
      <c r="R12" s="13">
        <f>N12</f>
        <v>71972.433875000002</v>
      </c>
    </row>
    <row r="13" spans="2:30" x14ac:dyDescent="0.2">
      <c r="B13" s="369"/>
      <c r="C13" s="12" t="s">
        <v>35</v>
      </c>
      <c r="D13" s="132">
        <v>0</v>
      </c>
      <c r="E13" s="132">
        <v>4980.7430000000004</v>
      </c>
      <c r="F13" s="132">
        <v>0</v>
      </c>
      <c r="G13" s="133">
        <f t="shared" si="0"/>
        <v>4980.7430000000004</v>
      </c>
      <c r="H13" s="77">
        <v>2.2999999999999998</v>
      </c>
      <c r="I13" s="322">
        <f t="shared" si="1"/>
        <v>16436.4519</v>
      </c>
      <c r="J13" s="132"/>
      <c r="K13" s="132">
        <f t="shared" si="2"/>
        <v>0</v>
      </c>
      <c r="L13" s="134">
        <f t="shared" si="5"/>
        <v>0.32500000000000001</v>
      </c>
      <c r="M13" s="322">
        <f t="shared" si="3"/>
        <v>0</v>
      </c>
      <c r="N13" s="145">
        <f t="shared" si="4"/>
        <v>16436.4519</v>
      </c>
      <c r="O13" s="75"/>
      <c r="Q13" s="13">
        <f>N13</f>
        <v>16436.4519</v>
      </c>
      <c r="R13" s="13">
        <f>N13</f>
        <v>16436.4519</v>
      </c>
    </row>
    <row r="14" spans="2:30" s="23" customFormat="1" x14ac:dyDescent="0.2">
      <c r="B14" s="369"/>
      <c r="C14" s="21" t="s">
        <v>30</v>
      </c>
      <c r="D14" s="136">
        <f>SUM(D6:D13)</f>
        <v>229600</v>
      </c>
      <c r="E14" s="136">
        <f>SUM(E6:E13)</f>
        <v>152044.33599999998</v>
      </c>
      <c r="F14" s="136">
        <f>SUM(F6:F13)</f>
        <v>232743.67299999998</v>
      </c>
      <c r="G14" s="136">
        <f>SUM(G6:G13)</f>
        <v>384788.00900000002</v>
      </c>
      <c r="H14" s="136"/>
      <c r="I14" s="322">
        <f>SUM(I6:I13)</f>
        <v>278855.96990000003</v>
      </c>
      <c r="J14" s="136">
        <f>SUM(J6:J13)</f>
        <v>17425</v>
      </c>
      <c r="K14" s="136">
        <f>SUM(K6:K13)</f>
        <v>215318.67299999998</v>
      </c>
      <c r="L14" s="136"/>
      <c r="M14" s="322">
        <f>SUM(M6:M13)</f>
        <v>321276.24172499997</v>
      </c>
      <c r="N14" s="306">
        <f>SUM(N6:N13)</f>
        <v>600132.211625</v>
      </c>
      <c r="O14" s="137"/>
      <c r="Q14" s="22">
        <f>SUM(Q6:Q13)</f>
        <v>159507277.724125</v>
      </c>
      <c r="R14" s="22">
        <f>SUM(R6:R13)</f>
        <v>604511902.88577497</v>
      </c>
    </row>
    <row r="15" spans="2:30" s="28" customFormat="1" x14ac:dyDescent="0.2">
      <c r="B15" s="138"/>
      <c r="C15" s="139"/>
      <c r="D15" s="140"/>
      <c r="E15" s="140"/>
      <c r="F15" s="140"/>
      <c r="G15" s="141"/>
      <c r="H15" s="141"/>
      <c r="I15" s="141"/>
      <c r="J15" s="141"/>
      <c r="K15" s="141"/>
      <c r="L15" s="141"/>
      <c r="M15" s="141"/>
      <c r="N15" s="141"/>
      <c r="O15" s="142"/>
      <c r="P15" s="334"/>
      <c r="Q15" s="27"/>
      <c r="R15" s="27"/>
      <c r="S15" s="27"/>
      <c r="Z15" s="1"/>
    </row>
    <row r="16" spans="2:30" x14ac:dyDescent="0.2">
      <c r="M16" s="29"/>
      <c r="N16" s="29"/>
      <c r="O16" s="29"/>
      <c r="P16" s="29"/>
      <c r="Q16" s="29"/>
      <c r="R16" s="29"/>
      <c r="S16" s="29"/>
      <c r="T16" s="29"/>
      <c r="U16" s="29"/>
      <c r="V16" s="30"/>
      <c r="W16" s="29"/>
    </row>
    <row r="17" spans="2:34" ht="11.5" customHeight="1" x14ac:dyDescent="0.2">
      <c r="J17" s="31"/>
      <c r="K17" s="31"/>
      <c r="L17" s="31"/>
      <c r="M17" s="31"/>
      <c r="N17" s="31"/>
      <c r="O17" s="32"/>
      <c r="P17" s="32"/>
      <c r="Q17" s="32"/>
      <c r="R17" s="32"/>
      <c r="S17" s="29"/>
      <c r="T17" s="29"/>
      <c r="U17" s="32"/>
      <c r="V17" s="32"/>
      <c r="W17" s="32"/>
    </row>
    <row r="18" spans="2:34" s="33" customFormat="1" ht="23" hidden="1" x14ac:dyDescent="0.2">
      <c r="B18" s="307">
        <v>2</v>
      </c>
      <c r="C18" s="311" t="s">
        <v>45</v>
      </c>
      <c r="D18" s="311"/>
      <c r="E18" s="311"/>
      <c r="F18" s="311"/>
      <c r="G18" s="311"/>
      <c r="H18" s="311"/>
      <c r="I18" s="311"/>
      <c r="J18" s="311"/>
      <c r="K18" s="311"/>
      <c r="L18" s="311"/>
      <c r="T18" s="371" t="s">
        <v>3</v>
      </c>
      <c r="U18" s="371"/>
      <c r="V18" s="371"/>
      <c r="W18" s="371"/>
      <c r="X18" s="371"/>
      <c r="Y18" s="371"/>
    </row>
    <row r="19" spans="2:34" ht="42" hidden="1" x14ac:dyDescent="0.2">
      <c r="B19" s="307"/>
      <c r="C19" s="308" t="s">
        <v>19</v>
      </c>
      <c r="D19" s="310">
        <v>2025</v>
      </c>
      <c r="E19" s="310"/>
      <c r="F19" s="309"/>
      <c r="G19" s="310" t="s">
        <v>20</v>
      </c>
      <c r="H19" s="310" t="s">
        <v>21</v>
      </c>
      <c r="I19" s="309" t="s">
        <v>22</v>
      </c>
      <c r="J19" s="310" t="s">
        <v>43</v>
      </c>
      <c r="K19" s="310" t="s">
        <v>21</v>
      </c>
      <c r="L19" s="310" t="s">
        <v>22</v>
      </c>
      <c r="T19" s="8" t="s">
        <v>19</v>
      </c>
      <c r="U19" s="8">
        <v>2024</v>
      </c>
      <c r="V19" s="8">
        <v>2025</v>
      </c>
      <c r="W19" s="8" t="s">
        <v>20</v>
      </c>
      <c r="X19" s="8" t="s">
        <v>21</v>
      </c>
      <c r="Y19" s="8" t="s">
        <v>22</v>
      </c>
    </row>
    <row r="20" spans="2:34" ht="23" hidden="1" x14ac:dyDescent="0.2">
      <c r="B20" s="307"/>
      <c r="C20" s="309"/>
      <c r="D20" s="56" t="s">
        <v>26</v>
      </c>
      <c r="E20" s="56" t="s">
        <v>37</v>
      </c>
      <c r="F20" s="57" t="s">
        <v>30</v>
      </c>
      <c r="G20" s="56" t="s">
        <v>26</v>
      </c>
      <c r="H20" s="56" t="s">
        <v>37</v>
      </c>
      <c r="I20" s="57" t="s">
        <v>30</v>
      </c>
      <c r="J20" s="56" t="s">
        <v>26</v>
      </c>
      <c r="K20" s="56" t="s">
        <v>37</v>
      </c>
      <c r="L20" s="56" t="s">
        <v>30</v>
      </c>
      <c r="T20" s="12" t="s">
        <v>25</v>
      </c>
      <c r="U20" s="17">
        <v>140500</v>
      </c>
      <c r="V20" s="17">
        <v>213296.42</v>
      </c>
      <c r="W20" s="17">
        <f t="shared" ref="W20:W27" si="7">N6/1000</f>
        <v>282.952137725</v>
      </c>
      <c r="X20" s="16">
        <f>V20/U20-1</f>
        <v>0.51812398576512475</v>
      </c>
      <c r="Y20" s="16">
        <f>W20/V20-1</f>
        <v>-0.99867343231674965</v>
      </c>
    </row>
    <row r="21" spans="2:34" ht="23" hidden="1" x14ac:dyDescent="0.2">
      <c r="B21" s="307"/>
      <c r="C21" s="58" t="s">
        <v>25</v>
      </c>
      <c r="D21" s="59">
        <v>70053.607000000004</v>
      </c>
      <c r="E21" s="59">
        <v>143242.81299999999</v>
      </c>
      <c r="F21" s="60">
        <f>SUM(D21:E21)</f>
        <v>213296.41999999998</v>
      </c>
      <c r="G21" s="59">
        <v>105080.4105</v>
      </c>
      <c r="H21" s="59">
        <v>177871.72722499998</v>
      </c>
      <c r="I21" s="60">
        <f>SUM(G21:H21)</f>
        <v>282952.13772499998</v>
      </c>
      <c r="J21" s="61">
        <f>G21/D21-1</f>
        <v>0.5</v>
      </c>
      <c r="K21" s="61">
        <f t="shared" ref="K21:K27" si="8">H21/E21-1</f>
        <v>0.24174974995080545</v>
      </c>
      <c r="L21" s="61">
        <f t="shared" ref="L21:L28" si="9">I21/F21-1</f>
        <v>0.32656768325037988</v>
      </c>
      <c r="T21" s="12" t="s">
        <v>27</v>
      </c>
      <c r="U21" s="17">
        <v>16100.000000000002</v>
      </c>
      <c r="V21" s="17">
        <v>27683.601999999999</v>
      </c>
      <c r="W21" s="17">
        <f t="shared" si="7"/>
        <v>57.709133300000005</v>
      </c>
      <c r="X21" s="16">
        <f t="shared" ref="X21:Y27" si="10">V21/U21-1</f>
        <v>0.71947838509316742</v>
      </c>
      <c r="Y21" s="16">
        <f t="shared" si="10"/>
        <v>-0.99791540373611787</v>
      </c>
    </row>
    <row r="22" spans="2:34" ht="23" hidden="1" x14ac:dyDescent="0.2">
      <c r="B22" s="307"/>
      <c r="C22" s="58" t="s">
        <v>27</v>
      </c>
      <c r="D22" s="59">
        <v>13752.678</v>
      </c>
      <c r="E22" s="59">
        <v>13930.924000000001</v>
      </c>
      <c r="F22" s="60">
        <f t="shared" ref="F22:F28" si="11">SUM(D22:E22)</f>
        <v>27683.601999999999</v>
      </c>
      <c r="G22" s="59">
        <v>41258.034</v>
      </c>
      <c r="H22" s="59">
        <v>16451.099300000002</v>
      </c>
      <c r="I22" s="60">
        <f t="shared" ref="I22:I28" si="12">SUM(G22:H22)</f>
        <v>57709.133300000001</v>
      </c>
      <c r="J22" s="61">
        <f>G22/D23-1</f>
        <v>0.64913332435313609</v>
      </c>
      <c r="K22" s="61">
        <f t="shared" si="8"/>
        <v>0.18090510722763264</v>
      </c>
      <c r="L22" s="61">
        <f t="shared" si="9"/>
        <v>1.0845962638821351</v>
      </c>
      <c r="T22" s="12" t="s">
        <v>29</v>
      </c>
      <c r="U22" s="17">
        <v>17900</v>
      </c>
      <c r="V22" s="17">
        <v>44241.735000000001</v>
      </c>
      <c r="W22" s="17">
        <f t="shared" si="7"/>
        <v>59.937700624999998</v>
      </c>
      <c r="X22" s="16">
        <f t="shared" si="10"/>
        <v>1.4716053072625699</v>
      </c>
      <c r="Y22" s="16">
        <f t="shared" si="10"/>
        <v>-0.99864522264723565</v>
      </c>
    </row>
    <row r="23" spans="2:34" ht="23" hidden="1" x14ac:dyDescent="0.2">
      <c r="B23" s="307"/>
      <c r="C23" s="58" t="s">
        <v>29</v>
      </c>
      <c r="D23" s="59">
        <v>25018.01</v>
      </c>
      <c r="E23" s="59">
        <v>19223.724999999999</v>
      </c>
      <c r="F23" s="60">
        <f>SUM(D23:E23)</f>
        <v>44241.735000000001</v>
      </c>
      <c r="G23" s="59">
        <v>37527.014999999999</v>
      </c>
      <c r="H23" s="59">
        <v>22410.685624999998</v>
      </c>
      <c r="I23" s="60">
        <f t="shared" si="12"/>
        <v>59937.700624999998</v>
      </c>
      <c r="J23" s="61">
        <f t="shared" ref="J23:J24" si="13">G23/D24-1</f>
        <v>3.4591483145383837</v>
      </c>
      <c r="K23" s="61">
        <f t="shared" si="8"/>
        <v>0.16578267869520613</v>
      </c>
      <c r="L23" s="61">
        <f t="shared" si="9"/>
        <v>0.35477735276430722</v>
      </c>
      <c r="T23" s="12" t="s">
        <v>69</v>
      </c>
      <c r="U23" s="17">
        <v>6000</v>
      </c>
      <c r="V23" s="17">
        <v>13189.677</v>
      </c>
      <c r="W23" s="17">
        <f t="shared" si="7"/>
        <v>25.610179825000003</v>
      </c>
      <c r="X23" s="16">
        <f t="shared" si="10"/>
        <v>1.1982794999999999</v>
      </c>
      <c r="Y23" s="16">
        <f t="shared" si="10"/>
        <v>-0.9980583163768908</v>
      </c>
    </row>
    <row r="24" spans="2:34" ht="23" hidden="1" x14ac:dyDescent="0.2">
      <c r="B24" s="307"/>
      <c r="C24" s="58" t="s">
        <v>69</v>
      </c>
      <c r="D24" s="59">
        <v>8415.7360000000008</v>
      </c>
      <c r="E24" s="59">
        <v>4773.9409999999998</v>
      </c>
      <c r="F24" s="60">
        <f t="shared" si="11"/>
        <v>13189.677</v>
      </c>
      <c r="G24" s="59">
        <v>25247.208000000002</v>
      </c>
      <c r="H24" s="59">
        <v>362.97182499999974</v>
      </c>
      <c r="I24" s="60">
        <f t="shared" si="12"/>
        <v>25610.179825000003</v>
      </c>
      <c r="J24" s="61">
        <f t="shared" si="13"/>
        <v>5.6327526077481744</v>
      </c>
      <c r="K24" s="61">
        <f t="shared" si="8"/>
        <v>-0.92396809575149763</v>
      </c>
      <c r="L24" s="61">
        <f t="shared" si="9"/>
        <v>0.94168362310919385</v>
      </c>
      <c r="T24" s="12" t="s">
        <v>32</v>
      </c>
      <c r="U24" s="17">
        <v>100</v>
      </c>
      <c r="V24" s="17">
        <v>6793.62</v>
      </c>
      <c r="W24" s="17">
        <f t="shared" si="7"/>
        <v>9.5351743750000004</v>
      </c>
      <c r="X24" s="16">
        <f t="shared" si="10"/>
        <v>66.936199999999999</v>
      </c>
      <c r="Y24" s="16">
        <f t="shared" si="10"/>
        <v>-0.99859645161563348</v>
      </c>
    </row>
    <row r="25" spans="2:34" ht="23" hidden="1" x14ac:dyDescent="0.2">
      <c r="B25" s="307"/>
      <c r="C25" s="58" t="s">
        <v>32</v>
      </c>
      <c r="D25" s="59">
        <v>3806.4450000000002</v>
      </c>
      <c r="E25" s="59">
        <v>2987.1750000000002</v>
      </c>
      <c r="F25" s="60">
        <f t="shared" si="11"/>
        <v>6793.6200000000008</v>
      </c>
      <c r="G25" s="59">
        <v>5709.6675000000005</v>
      </c>
      <c r="H25" s="59">
        <v>3825.506875</v>
      </c>
      <c r="I25" s="60">
        <f t="shared" si="12"/>
        <v>9535.1743750000005</v>
      </c>
      <c r="J25" s="61">
        <f t="shared" ref="J25:J28" si="14">G25/D25-1</f>
        <v>0.5</v>
      </c>
      <c r="K25" s="61">
        <f t="shared" si="8"/>
        <v>0.28064371019441436</v>
      </c>
      <c r="L25" s="61">
        <f t="shared" si="9"/>
        <v>0.40354838436650842</v>
      </c>
      <c r="T25" s="12" t="s">
        <v>33</v>
      </c>
      <c r="U25" s="17">
        <v>14000</v>
      </c>
      <c r="V25" s="17">
        <v>25326.464</v>
      </c>
      <c r="W25" s="17">
        <f t="shared" si="7"/>
        <v>75.978999999999999</v>
      </c>
      <c r="X25" s="16">
        <f t="shared" si="10"/>
        <v>0.8090331428571429</v>
      </c>
      <c r="Y25" s="16">
        <f t="shared" si="10"/>
        <v>-0.9970000154778812</v>
      </c>
    </row>
    <row r="26" spans="2:34" ht="23" hidden="1" x14ac:dyDescent="0.2">
      <c r="B26" s="307"/>
      <c r="C26" s="58" t="s">
        <v>33</v>
      </c>
      <c r="D26" s="59">
        <v>25326.464</v>
      </c>
      <c r="E26" s="59">
        <v>0</v>
      </c>
      <c r="F26" s="60">
        <f t="shared" si="11"/>
        <v>25326.464</v>
      </c>
      <c r="G26" s="59">
        <v>75979.391999999993</v>
      </c>
      <c r="H26" s="59">
        <v>0</v>
      </c>
      <c r="I26" s="66">
        <f t="shared" si="12"/>
        <v>75979.391999999993</v>
      </c>
      <c r="J26" s="61">
        <f t="shared" si="14"/>
        <v>1.9999999999999996</v>
      </c>
      <c r="K26" s="61"/>
      <c r="L26" s="15">
        <f t="shared" si="9"/>
        <v>1.9999999999999996</v>
      </c>
      <c r="T26" s="12" t="s">
        <v>34</v>
      </c>
      <c r="U26" s="17">
        <v>35000</v>
      </c>
      <c r="V26" s="17">
        <v>49275.748</v>
      </c>
      <c r="W26" s="17">
        <f t="shared" si="7"/>
        <v>71.972433875000007</v>
      </c>
      <c r="X26" s="16">
        <f t="shared" si="10"/>
        <v>0.4078785142857142</v>
      </c>
      <c r="Y26" s="16">
        <f t="shared" si="10"/>
        <v>-0.99853939439184158</v>
      </c>
    </row>
    <row r="27" spans="2:34" s="35" customFormat="1" ht="23" hidden="1" x14ac:dyDescent="0.2">
      <c r="B27" s="307"/>
      <c r="C27" s="58" t="s">
        <v>34</v>
      </c>
      <c r="D27" s="59">
        <v>690.65300000000002</v>
      </c>
      <c r="E27" s="59">
        <v>48585.095000000001</v>
      </c>
      <c r="F27" s="60">
        <f t="shared" si="11"/>
        <v>49275.748</v>
      </c>
      <c r="G27" s="59">
        <v>7597.183</v>
      </c>
      <c r="H27" s="59">
        <v>64375.250874999998</v>
      </c>
      <c r="I27" s="66">
        <f t="shared" si="12"/>
        <v>71972.433875000002</v>
      </c>
      <c r="J27" s="61">
        <f t="shared" si="14"/>
        <v>10</v>
      </c>
      <c r="K27" s="61">
        <f t="shared" si="8"/>
        <v>0.32499999999999996</v>
      </c>
      <c r="L27" s="15">
        <f t="shared" si="9"/>
        <v>0.46060560815839868</v>
      </c>
      <c r="T27" s="12" t="s">
        <v>35</v>
      </c>
      <c r="U27" s="17">
        <v>0</v>
      </c>
      <c r="V27" s="17">
        <v>4980.7430000000004</v>
      </c>
      <c r="W27" s="17">
        <f t="shared" si="7"/>
        <v>16.436451900000002</v>
      </c>
      <c r="X27" s="16"/>
      <c r="Y27" s="16">
        <f t="shared" si="10"/>
        <v>-0.99670000000000003</v>
      </c>
    </row>
    <row r="28" spans="2:34" ht="23" hidden="1" x14ac:dyDescent="0.2">
      <c r="B28" s="307"/>
      <c r="C28" s="58" t="s">
        <v>35</v>
      </c>
      <c r="D28" s="59">
        <v>4980.7430000000004</v>
      </c>
      <c r="E28" s="59">
        <v>0</v>
      </c>
      <c r="F28" s="60">
        <f t="shared" si="11"/>
        <v>4980.7430000000004</v>
      </c>
      <c r="G28" s="59">
        <v>16436.4519</v>
      </c>
      <c r="H28" s="59">
        <v>0</v>
      </c>
      <c r="I28" s="60">
        <f t="shared" si="12"/>
        <v>16436.4519</v>
      </c>
      <c r="J28" s="61">
        <f t="shared" si="14"/>
        <v>2.2999999999999998</v>
      </c>
      <c r="K28" s="61"/>
      <c r="L28" s="61">
        <f t="shared" si="9"/>
        <v>2.2999999999999998</v>
      </c>
      <c r="T28" s="24" t="s">
        <v>30</v>
      </c>
      <c r="U28" s="19">
        <f t="shared" ref="U28:W28" si="15">SUM(U20:U27)</f>
        <v>229600</v>
      </c>
      <c r="V28" s="19">
        <f t="shared" si="15"/>
        <v>384788.00900000002</v>
      </c>
      <c r="W28" s="19">
        <f t="shared" si="15"/>
        <v>600.13221162499997</v>
      </c>
      <c r="X28" s="20">
        <f>V28/U28-1</f>
        <v>0.67590596254355417</v>
      </c>
      <c r="Y28" s="20">
        <f>W28/V28-1</f>
        <v>-0.99844035625438365</v>
      </c>
    </row>
    <row r="29" spans="2:34" hidden="1" x14ac:dyDescent="0.2">
      <c r="C29" s="62" t="s">
        <v>30</v>
      </c>
      <c r="D29" s="63">
        <f t="shared" ref="D29:I29" si="16">SUM(D21:D28)</f>
        <v>152044.33599999998</v>
      </c>
      <c r="E29" s="63">
        <f t="shared" si="16"/>
        <v>232743.67299999998</v>
      </c>
      <c r="F29" s="64">
        <f t="shared" si="16"/>
        <v>384788.00900000002</v>
      </c>
      <c r="G29" s="63">
        <f t="shared" si="16"/>
        <v>314835.36190000002</v>
      </c>
      <c r="H29" s="63">
        <f t="shared" si="16"/>
        <v>285297.24172499997</v>
      </c>
      <c r="I29" s="64">
        <f t="shared" si="16"/>
        <v>600132.60362499999</v>
      </c>
      <c r="J29" s="65">
        <f t="shared" ref="J29" si="17">G29/D29-1</f>
        <v>1.0706812906203891</v>
      </c>
      <c r="K29" s="65">
        <f t="shared" ref="K29" si="18">H29/E29-1</f>
        <v>0.22580020349253482</v>
      </c>
      <c r="L29" s="65">
        <f t="shared" ref="L29" si="19">I29/F29-1</f>
        <v>0.55964476435906807</v>
      </c>
      <c r="S29" s="29"/>
    </row>
    <row r="30" spans="2:34" hidden="1" x14ac:dyDescent="0.2">
      <c r="S30" s="29"/>
      <c r="T30" s="29"/>
    </row>
    <row r="31" spans="2:34" hidden="1" x14ac:dyDescent="0.2">
      <c r="C31" s="1" t="s">
        <v>44</v>
      </c>
      <c r="S31" s="29"/>
    </row>
    <row r="32" spans="2:34" s="33" customFormat="1" hidden="1" x14ac:dyDescent="0.2">
      <c r="B32" s="12">
        <v>1</v>
      </c>
      <c r="C32" s="12" t="s">
        <v>46</v>
      </c>
      <c r="D32" s="12"/>
      <c r="E32" s="12"/>
      <c r="F32" s="12"/>
      <c r="G32" s="17">
        <f>(F29-F26-F27-F28)*20%</f>
        <v>61041.010800000004</v>
      </c>
      <c r="H32" s="12"/>
      <c r="I32" s="12"/>
      <c r="J32" s="12"/>
      <c r="K32" s="12"/>
      <c r="L32" s="12"/>
      <c r="S32" s="29"/>
      <c r="Z32" s="1"/>
      <c r="AB32" s="1"/>
      <c r="AC32" s="1"/>
      <c r="AD32" s="1"/>
      <c r="AE32" s="1"/>
      <c r="AF32" s="1"/>
      <c r="AG32" s="1"/>
      <c r="AH32" s="1"/>
    </row>
    <row r="33" spans="2:34" hidden="1" x14ac:dyDescent="0.2">
      <c r="B33" s="12">
        <v>2</v>
      </c>
      <c r="C33" s="12" t="s">
        <v>68</v>
      </c>
      <c r="D33" s="12"/>
      <c r="E33" s="12"/>
      <c r="F33" s="12"/>
      <c r="G33" s="17">
        <f>350*47</f>
        <v>16450</v>
      </c>
      <c r="H33" s="12"/>
      <c r="I33" s="12"/>
      <c r="J33" s="12"/>
      <c r="K33" s="12"/>
      <c r="L33" s="12"/>
      <c r="AB33" s="33"/>
      <c r="AC33" s="33"/>
      <c r="AD33" s="33"/>
      <c r="AE33" s="33"/>
      <c r="AF33" s="33"/>
      <c r="AG33" s="33"/>
      <c r="AH33" s="33"/>
    </row>
    <row r="34" spans="2:34" hidden="1" x14ac:dyDescent="0.2">
      <c r="B34" s="12">
        <v>3</v>
      </c>
      <c r="C34" s="12" t="s">
        <v>47</v>
      </c>
      <c r="D34" s="12"/>
      <c r="E34" s="12"/>
      <c r="F34" s="12"/>
      <c r="G34" s="17">
        <v>70</v>
      </c>
      <c r="H34" s="12"/>
      <c r="I34" s="12"/>
      <c r="J34" s="12"/>
      <c r="K34" s="12"/>
      <c r="L34" s="12"/>
      <c r="AD34" s="17"/>
    </row>
    <row r="35" spans="2:34" hidden="1" x14ac:dyDescent="0.2">
      <c r="B35" s="12">
        <v>4</v>
      </c>
      <c r="C35" s="12"/>
      <c r="D35" s="12"/>
      <c r="E35" s="12"/>
      <c r="F35" s="12"/>
      <c r="G35" s="17"/>
      <c r="H35" s="12"/>
      <c r="I35" s="12"/>
      <c r="J35" s="12"/>
      <c r="K35" s="12"/>
      <c r="L35" s="12"/>
    </row>
    <row r="36" spans="2:34" hidden="1" x14ac:dyDescent="0.2">
      <c r="B36" s="12">
        <v>5</v>
      </c>
      <c r="C36" s="12"/>
      <c r="D36" s="12"/>
      <c r="E36" s="12"/>
      <c r="F36" s="12"/>
      <c r="G36" s="17"/>
      <c r="H36" s="12"/>
      <c r="I36" s="12"/>
      <c r="J36" s="12"/>
      <c r="K36" s="12"/>
      <c r="L36" s="12"/>
    </row>
    <row r="37" spans="2:34" hidden="1" x14ac:dyDescent="0.2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2:34" hidden="1" x14ac:dyDescent="0.2">
      <c r="B38" s="12"/>
      <c r="C38" s="69" t="s">
        <v>48</v>
      </c>
      <c r="D38" s="67">
        <v>2025</v>
      </c>
      <c r="E38"/>
      <c r="F38"/>
      <c r="G38"/>
      <c r="H38"/>
      <c r="I38"/>
      <c r="J38"/>
      <c r="K38"/>
      <c r="L38"/>
      <c r="M38"/>
    </row>
    <row r="39" spans="2:34" hidden="1" x14ac:dyDescent="0.2">
      <c r="B39" s="12"/>
      <c r="C39"/>
      <c r="D39"/>
      <c r="E39"/>
      <c r="F39"/>
      <c r="G39"/>
      <c r="H39"/>
      <c r="I39"/>
      <c r="J39"/>
      <c r="K39"/>
      <c r="L39"/>
      <c r="M39"/>
    </row>
    <row r="40" spans="2:34" hidden="1" x14ac:dyDescent="0.2">
      <c r="B40" s="12"/>
      <c r="C40" s="69" t="s">
        <v>49</v>
      </c>
      <c r="D40" s="69" t="s">
        <v>50</v>
      </c>
      <c r="E40"/>
      <c r="F40"/>
      <c r="G40"/>
      <c r="H40"/>
      <c r="I40"/>
      <c r="J40"/>
      <c r="K40"/>
      <c r="L40"/>
      <c r="M40"/>
    </row>
    <row r="41" spans="2:34" ht="27.5" hidden="1" customHeight="1" x14ac:dyDescent="0.2">
      <c r="B41" s="12"/>
      <c r="C41" s="69" t="s">
        <v>51</v>
      </c>
      <c r="D41" t="s">
        <v>25</v>
      </c>
      <c r="E41" t="s">
        <v>29</v>
      </c>
      <c r="F41" t="s">
        <v>27</v>
      </c>
      <c r="G41" t="s">
        <v>52</v>
      </c>
      <c r="H41" t="s">
        <v>32</v>
      </c>
      <c r="I41" t="s">
        <v>53</v>
      </c>
      <c r="J41" t="s">
        <v>34</v>
      </c>
      <c r="K41" t="s">
        <v>54</v>
      </c>
      <c r="L41" t="s">
        <v>55</v>
      </c>
      <c r="M41" t="s">
        <v>56</v>
      </c>
    </row>
    <row r="42" spans="2:34" hidden="1" x14ac:dyDescent="0.2">
      <c r="B42" s="12"/>
      <c r="C42" s="67" t="s">
        <v>57</v>
      </c>
      <c r="D42" s="68">
        <v>68370269.779699966</v>
      </c>
      <c r="E42" s="68">
        <v>16360018.440000001</v>
      </c>
      <c r="F42" s="68">
        <v>6926550.6799999978</v>
      </c>
      <c r="G42" s="68">
        <v>680114.63</v>
      </c>
      <c r="H42" s="68"/>
      <c r="I42" s="68">
        <v>872865</v>
      </c>
      <c r="J42" s="68">
        <v>12610406.452661995</v>
      </c>
      <c r="K42" s="68"/>
      <c r="L42" s="68"/>
      <c r="M42" s="68">
        <v>105820224.98236194</v>
      </c>
    </row>
    <row r="43" spans="2:34" hidden="1" x14ac:dyDescent="0.2">
      <c r="B43" s="12"/>
      <c r="C43" s="67" t="s">
        <v>53</v>
      </c>
      <c r="D43" s="68"/>
      <c r="E43" s="68"/>
      <c r="F43" s="68"/>
      <c r="G43" s="68"/>
      <c r="H43" s="68"/>
      <c r="I43" s="68">
        <v>20542743.902000006</v>
      </c>
      <c r="J43" s="68"/>
      <c r="K43" s="68"/>
      <c r="L43" s="68"/>
      <c r="M43" s="68">
        <v>20542743.902000006</v>
      </c>
    </row>
    <row r="44" spans="2:34" hidden="1" x14ac:dyDescent="0.2">
      <c r="B44" s="12"/>
      <c r="C44" s="67" t="s">
        <v>58</v>
      </c>
      <c r="D44" s="68">
        <v>791317.39999999991</v>
      </c>
      <c r="E44" s="68">
        <v>7802039.5199999996</v>
      </c>
      <c r="F44" s="68">
        <v>329520.06</v>
      </c>
      <c r="G44" s="68"/>
      <c r="H44" s="68"/>
      <c r="I44" s="68"/>
      <c r="J44" s="68">
        <v>980595</v>
      </c>
      <c r="K44" s="68"/>
      <c r="L44" s="68">
        <v>3084150</v>
      </c>
      <c r="M44" s="68">
        <v>12987621.98</v>
      </c>
    </row>
    <row r="45" spans="2:34" hidden="1" x14ac:dyDescent="0.2">
      <c r="C45" s="67" t="s">
        <v>59</v>
      </c>
      <c r="D45" s="68"/>
      <c r="E45" s="68">
        <v>543801.19999999995</v>
      </c>
      <c r="F45" s="68"/>
      <c r="G45" s="68"/>
      <c r="H45" s="68"/>
      <c r="I45" s="68"/>
      <c r="J45" s="68"/>
      <c r="K45" s="68"/>
      <c r="L45" s="68"/>
      <c r="M45" s="68">
        <v>543801.19999999995</v>
      </c>
    </row>
    <row r="46" spans="2:34" hidden="1" x14ac:dyDescent="0.2">
      <c r="C46" s="67" t="s">
        <v>60</v>
      </c>
      <c r="D46" s="68"/>
      <c r="E46" s="68"/>
      <c r="F46" s="68"/>
      <c r="G46" s="68"/>
      <c r="H46" s="68">
        <v>6336391</v>
      </c>
      <c r="I46" s="68"/>
      <c r="J46" s="68"/>
      <c r="K46" s="68">
        <v>4646578.2750000004</v>
      </c>
      <c r="L46" s="68"/>
      <c r="M46" s="68">
        <v>10982969.275</v>
      </c>
    </row>
    <row r="47" spans="2:34" hidden="1" x14ac:dyDescent="0.2">
      <c r="C47" s="67" t="s">
        <v>61</v>
      </c>
      <c r="D47" s="68">
        <v>6736544.6925999997</v>
      </c>
      <c r="E47" s="68">
        <v>1407664</v>
      </c>
      <c r="F47" s="68">
        <v>20223</v>
      </c>
      <c r="G47" s="68"/>
      <c r="H47" s="68"/>
      <c r="I47" s="68">
        <v>4460466.0200000005</v>
      </c>
      <c r="J47" s="68">
        <v>549118.21600000013</v>
      </c>
      <c r="K47" s="68"/>
      <c r="L47" s="68"/>
      <c r="M47" s="68">
        <v>13174015.9286</v>
      </c>
    </row>
    <row r="48" spans="2:34" hidden="1" x14ac:dyDescent="0.2">
      <c r="C48" s="67" t="s">
        <v>62</v>
      </c>
      <c r="D48" s="68">
        <v>44508546.212939993</v>
      </c>
      <c r="E48" s="68"/>
      <c r="F48" s="68">
        <v>4238156.75</v>
      </c>
      <c r="G48" s="68">
        <v>261175.46</v>
      </c>
      <c r="H48" s="68"/>
      <c r="I48" s="68">
        <v>307355</v>
      </c>
      <c r="J48" s="68">
        <v>10218041.183187997</v>
      </c>
      <c r="K48" s="68"/>
      <c r="L48" s="68"/>
      <c r="M48" s="68">
        <v>59533274.606127992</v>
      </c>
    </row>
    <row r="49" spans="3:20" hidden="1" x14ac:dyDescent="0.2">
      <c r="C49" s="67" t="s">
        <v>63</v>
      </c>
      <c r="D49" s="68">
        <v>35227965.089399993</v>
      </c>
      <c r="E49" s="68"/>
      <c r="F49" s="68">
        <v>10799900.758671002</v>
      </c>
      <c r="G49" s="68"/>
      <c r="H49" s="68"/>
      <c r="I49" s="68">
        <v>718136</v>
      </c>
      <c r="J49" s="68">
        <v>19250390.589999992</v>
      </c>
      <c r="K49" s="68"/>
      <c r="L49" s="68"/>
      <c r="M49" s="68">
        <v>65996392.438070983</v>
      </c>
    </row>
    <row r="50" spans="3:20" hidden="1" x14ac:dyDescent="0.2">
      <c r="C50" s="67" t="s">
        <v>64</v>
      </c>
      <c r="D50" s="68">
        <v>11967131.3796</v>
      </c>
      <c r="E50" s="68">
        <v>2439572.3499999996</v>
      </c>
      <c r="F50" s="68">
        <v>121150.2</v>
      </c>
      <c r="G50" s="68"/>
      <c r="H50" s="68">
        <v>392500.72</v>
      </c>
      <c r="I50" s="68"/>
      <c r="J50" s="68"/>
      <c r="K50" s="68"/>
      <c r="L50" s="68">
        <v>223243.8</v>
      </c>
      <c r="M50" s="68">
        <v>15143598.4496</v>
      </c>
      <c r="S50" s="29"/>
      <c r="T50" s="29"/>
    </row>
    <row r="51" spans="3:20" hidden="1" x14ac:dyDescent="0.2">
      <c r="C51" s="67" t="s">
        <v>65</v>
      </c>
      <c r="D51" s="68">
        <v>12608910.02</v>
      </c>
      <c r="E51" s="68">
        <v>483201.65</v>
      </c>
      <c r="F51" s="68">
        <v>3503619.8899999997</v>
      </c>
      <c r="G51" s="68"/>
      <c r="H51" s="68"/>
      <c r="I51" s="68">
        <v>60450</v>
      </c>
      <c r="J51" s="68">
        <v>4441374.7205999997</v>
      </c>
      <c r="K51" s="68"/>
      <c r="L51" s="68"/>
      <c r="M51" s="68">
        <v>21097556.280599996</v>
      </c>
      <c r="S51" s="29"/>
      <c r="T51" s="29"/>
    </row>
    <row r="52" spans="3:20" hidden="1" x14ac:dyDescent="0.2">
      <c r="C52" s="67" t="s">
        <v>66</v>
      </c>
      <c r="D52" s="68">
        <v>27036513.483711999</v>
      </c>
      <c r="E52" s="68">
        <v>15205437.983199999</v>
      </c>
      <c r="F52" s="68">
        <v>621571.4800000001</v>
      </c>
      <c r="G52" s="68">
        <v>7679773.7300000004</v>
      </c>
      <c r="H52" s="68">
        <v>64728.32</v>
      </c>
      <c r="I52" s="68">
        <v>195460</v>
      </c>
      <c r="J52" s="68">
        <v>1225821.53</v>
      </c>
      <c r="K52" s="68"/>
      <c r="L52" s="68"/>
      <c r="M52" s="68">
        <v>52029306.526911996</v>
      </c>
      <c r="S52" s="29"/>
      <c r="T52" s="29"/>
    </row>
    <row r="53" spans="3:20" hidden="1" x14ac:dyDescent="0.2">
      <c r="C53" s="67" t="s">
        <v>67</v>
      </c>
      <c r="D53" s="68">
        <v>692300</v>
      </c>
      <c r="E53" s="68"/>
      <c r="F53" s="68"/>
      <c r="G53" s="68">
        <v>4568612.54</v>
      </c>
      <c r="H53" s="68"/>
      <c r="I53" s="68"/>
      <c r="J53" s="68"/>
      <c r="K53" s="68"/>
      <c r="L53" s="68"/>
      <c r="M53" s="68">
        <v>5260912.54</v>
      </c>
      <c r="S53" s="29"/>
      <c r="T53" s="29"/>
    </row>
    <row r="54" spans="3:20" hidden="1" x14ac:dyDescent="0.2">
      <c r="C54" s="67" t="s">
        <v>56</v>
      </c>
      <c r="D54" s="68">
        <v>207939498.05795193</v>
      </c>
      <c r="E54" s="68">
        <v>44241735.143199995</v>
      </c>
      <c r="F54" s="68">
        <v>26560692.818671003</v>
      </c>
      <c r="G54" s="68">
        <v>13189676.359999999</v>
      </c>
      <c r="H54" s="68">
        <v>6793620.04</v>
      </c>
      <c r="I54" s="68">
        <v>27157475.922000006</v>
      </c>
      <c r="J54" s="68">
        <v>49275747.692449987</v>
      </c>
      <c r="K54" s="68">
        <v>4646578.2750000004</v>
      </c>
      <c r="L54" s="68">
        <v>3307393.8</v>
      </c>
      <c r="M54" s="68">
        <v>383112418.10927296</v>
      </c>
      <c r="S54" s="29"/>
      <c r="T54" s="29"/>
    </row>
    <row r="55" spans="3:20" hidden="1" x14ac:dyDescent="0.2">
      <c r="C55"/>
      <c r="D55"/>
      <c r="E55"/>
      <c r="F55"/>
      <c r="G55"/>
      <c r="H55"/>
      <c r="I55"/>
      <c r="J55"/>
      <c r="K55"/>
      <c r="L55"/>
      <c r="M55"/>
      <c r="S55" s="29"/>
      <c r="T55" s="29"/>
    </row>
    <row r="56" spans="3:20" x14ac:dyDescent="0.2">
      <c r="C56"/>
      <c r="D56"/>
      <c r="E56"/>
      <c r="F56"/>
      <c r="G56"/>
      <c r="H56"/>
      <c r="I56"/>
      <c r="J56"/>
      <c r="K56"/>
      <c r="L56"/>
      <c r="M56"/>
      <c r="S56" s="29"/>
      <c r="T56" s="29"/>
    </row>
    <row r="57" spans="3:20" x14ac:dyDescent="0.2">
      <c r="C57"/>
      <c r="D57"/>
      <c r="E57"/>
      <c r="F57"/>
      <c r="G57"/>
      <c r="H57"/>
      <c r="I57"/>
      <c r="J57"/>
      <c r="K57"/>
      <c r="L57"/>
      <c r="M57"/>
    </row>
    <row r="58" spans="3:20" x14ac:dyDescent="0.2">
      <c r="C58"/>
      <c r="D58"/>
      <c r="E58"/>
      <c r="F58"/>
      <c r="G58"/>
      <c r="H58"/>
      <c r="I58"/>
      <c r="J58"/>
      <c r="K58"/>
      <c r="L58"/>
      <c r="M58"/>
    </row>
    <row r="59" spans="3:20" x14ac:dyDescent="0.2">
      <c r="C59"/>
      <c r="D59"/>
      <c r="E59"/>
      <c r="F59"/>
      <c r="G59"/>
      <c r="H59"/>
      <c r="I59"/>
      <c r="J59"/>
      <c r="K59"/>
      <c r="L59"/>
      <c r="M59"/>
    </row>
    <row r="60" spans="3:20" x14ac:dyDescent="0.2">
      <c r="C60"/>
      <c r="D60"/>
      <c r="E60"/>
      <c r="F60"/>
      <c r="G60"/>
      <c r="H60"/>
      <c r="I60"/>
      <c r="J60"/>
      <c r="K60"/>
      <c r="L60"/>
      <c r="M60"/>
    </row>
    <row r="61" spans="3:20" x14ac:dyDescent="0.2">
      <c r="C61"/>
      <c r="D61"/>
      <c r="E61"/>
      <c r="F61"/>
      <c r="G61"/>
      <c r="H61"/>
      <c r="I61"/>
      <c r="J61"/>
      <c r="K61"/>
      <c r="L61"/>
      <c r="M61"/>
    </row>
    <row r="62" spans="3:20" x14ac:dyDescent="0.2">
      <c r="C62"/>
      <c r="D62"/>
      <c r="E62"/>
      <c r="F62"/>
      <c r="G62"/>
      <c r="H62"/>
      <c r="I62"/>
      <c r="J62"/>
      <c r="K62"/>
      <c r="L62"/>
      <c r="M62"/>
    </row>
    <row r="63" spans="3:20" x14ac:dyDescent="0.2">
      <c r="C63"/>
      <c r="D63"/>
      <c r="E63"/>
      <c r="F63"/>
      <c r="G63"/>
      <c r="H63"/>
      <c r="I63"/>
      <c r="J63"/>
      <c r="K63"/>
      <c r="L63"/>
      <c r="M63"/>
    </row>
    <row r="64" spans="3:20" x14ac:dyDescent="0.2">
      <c r="C64"/>
      <c r="D64"/>
      <c r="E64"/>
      <c r="F64"/>
      <c r="G64"/>
      <c r="H64"/>
      <c r="I64"/>
      <c r="J64"/>
      <c r="K64"/>
      <c r="L64"/>
      <c r="M64"/>
    </row>
    <row r="65" spans="3:13" x14ac:dyDescent="0.2">
      <c r="C65"/>
      <c r="D65"/>
      <c r="E65"/>
      <c r="F65"/>
      <c r="G65"/>
      <c r="H65"/>
      <c r="I65"/>
      <c r="J65"/>
      <c r="K65"/>
      <c r="L65"/>
      <c r="M65"/>
    </row>
    <row r="66" spans="3:13" x14ac:dyDescent="0.2">
      <c r="C66"/>
      <c r="D66"/>
      <c r="E66"/>
      <c r="F66"/>
      <c r="G66"/>
      <c r="H66"/>
      <c r="I66"/>
      <c r="J66"/>
      <c r="K66"/>
      <c r="L66"/>
      <c r="M66"/>
    </row>
    <row r="67" spans="3:13" x14ac:dyDescent="0.2">
      <c r="C67"/>
      <c r="D67"/>
      <c r="E67"/>
      <c r="F67"/>
      <c r="G67"/>
      <c r="H67"/>
      <c r="I67"/>
      <c r="J67"/>
      <c r="K67"/>
      <c r="L67"/>
      <c r="M67"/>
    </row>
    <row r="68" spans="3:13" x14ac:dyDescent="0.2">
      <c r="C68"/>
      <c r="D68"/>
      <c r="E68"/>
      <c r="F68"/>
      <c r="G68"/>
      <c r="H68"/>
      <c r="I68"/>
      <c r="J68"/>
      <c r="K68"/>
      <c r="L68"/>
      <c r="M68"/>
    </row>
    <row r="69" spans="3:13" x14ac:dyDescent="0.2">
      <c r="C69"/>
      <c r="D69"/>
      <c r="E69"/>
      <c r="F69"/>
      <c r="G69"/>
      <c r="H69"/>
      <c r="I69"/>
      <c r="J69"/>
      <c r="K69"/>
      <c r="L69"/>
      <c r="M69"/>
    </row>
    <row r="70" spans="3:13" x14ac:dyDescent="0.2">
      <c r="C70"/>
      <c r="D70"/>
      <c r="E70"/>
      <c r="F70"/>
      <c r="G70"/>
      <c r="H70"/>
      <c r="I70"/>
      <c r="J70"/>
      <c r="K70"/>
      <c r="L70"/>
      <c r="M70"/>
    </row>
    <row r="71" spans="3:13" x14ac:dyDescent="0.2">
      <c r="C71"/>
      <c r="D71"/>
      <c r="E71"/>
      <c r="F71"/>
      <c r="G71"/>
      <c r="H71"/>
      <c r="I71"/>
      <c r="J71"/>
      <c r="K71"/>
      <c r="L71"/>
      <c r="M71"/>
    </row>
    <row r="72" spans="3:13" x14ac:dyDescent="0.2">
      <c r="C72"/>
      <c r="D72"/>
      <c r="E72"/>
      <c r="F72"/>
      <c r="G72"/>
      <c r="H72"/>
      <c r="I72"/>
      <c r="J72"/>
      <c r="K72"/>
      <c r="L72"/>
      <c r="M72"/>
    </row>
    <row r="73" spans="3:13" x14ac:dyDescent="0.2">
      <c r="C73"/>
      <c r="D73"/>
      <c r="E73"/>
      <c r="F73"/>
      <c r="G73"/>
      <c r="H73"/>
      <c r="I73"/>
      <c r="J73"/>
      <c r="K73"/>
      <c r="L73"/>
      <c r="M73"/>
    </row>
    <row r="74" spans="3:13" x14ac:dyDescent="0.2">
      <c r="C74"/>
      <c r="D74"/>
      <c r="E74"/>
      <c r="F74"/>
      <c r="G74"/>
      <c r="H74"/>
      <c r="I74"/>
      <c r="J74"/>
      <c r="K74"/>
      <c r="L74"/>
      <c r="M74"/>
    </row>
    <row r="75" spans="3:13" x14ac:dyDescent="0.2">
      <c r="C75"/>
      <c r="D75"/>
      <c r="E75"/>
      <c r="F75"/>
      <c r="G75"/>
      <c r="H75"/>
      <c r="I75"/>
      <c r="J75"/>
      <c r="K75"/>
      <c r="L75"/>
      <c r="M75"/>
    </row>
    <row r="76" spans="3:13" x14ac:dyDescent="0.2">
      <c r="C76"/>
      <c r="D76"/>
      <c r="E76"/>
      <c r="F76"/>
      <c r="G76"/>
      <c r="H76"/>
      <c r="I76"/>
      <c r="J76"/>
      <c r="K76"/>
      <c r="L76"/>
      <c r="M76"/>
    </row>
    <row r="77" spans="3:13" x14ac:dyDescent="0.2">
      <c r="C77"/>
      <c r="D77"/>
      <c r="E77"/>
      <c r="F77"/>
      <c r="G77"/>
      <c r="H77"/>
      <c r="I77"/>
      <c r="J77"/>
      <c r="K77"/>
      <c r="L77"/>
      <c r="M77"/>
    </row>
    <row r="78" spans="3:13" x14ac:dyDescent="0.2">
      <c r="C78"/>
      <c r="D78"/>
      <c r="E78"/>
      <c r="F78"/>
      <c r="G78"/>
      <c r="H78"/>
      <c r="I78"/>
      <c r="J78"/>
      <c r="K78"/>
      <c r="L78"/>
      <c r="M78"/>
    </row>
    <row r="79" spans="3:13" x14ac:dyDescent="0.2">
      <c r="C79"/>
      <c r="D79"/>
      <c r="E79"/>
      <c r="F79"/>
      <c r="G79"/>
      <c r="H79"/>
      <c r="I79"/>
      <c r="J79"/>
      <c r="K79"/>
      <c r="L79"/>
      <c r="M79"/>
    </row>
    <row r="80" spans="3:13" x14ac:dyDescent="0.2">
      <c r="C80"/>
      <c r="D80"/>
      <c r="E80"/>
      <c r="F80"/>
      <c r="G80"/>
      <c r="H80"/>
      <c r="I80"/>
      <c r="J80"/>
      <c r="K80"/>
      <c r="L80"/>
      <c r="M80"/>
    </row>
    <row r="81" spans="3:13" x14ac:dyDescent="0.2">
      <c r="C81"/>
      <c r="D81"/>
      <c r="E81"/>
      <c r="F81"/>
      <c r="G81"/>
      <c r="H81"/>
      <c r="I81"/>
      <c r="J81"/>
      <c r="K81"/>
      <c r="L81"/>
      <c r="M81"/>
    </row>
    <row r="82" spans="3:13" x14ac:dyDescent="0.2">
      <c r="C82"/>
      <c r="D82"/>
      <c r="E82"/>
      <c r="F82"/>
      <c r="G82"/>
      <c r="H82"/>
      <c r="I82"/>
      <c r="J82"/>
      <c r="K82"/>
      <c r="L82"/>
      <c r="M82"/>
    </row>
    <row r="83" spans="3:13" x14ac:dyDescent="0.2">
      <c r="C83"/>
      <c r="D83"/>
      <c r="E83"/>
      <c r="F83"/>
      <c r="G83"/>
      <c r="H83"/>
      <c r="I83"/>
      <c r="J83"/>
      <c r="K83"/>
      <c r="L83"/>
      <c r="M83"/>
    </row>
    <row r="84" spans="3:13" x14ac:dyDescent="0.2">
      <c r="C84"/>
      <c r="D84"/>
      <c r="E84"/>
      <c r="F84"/>
      <c r="G84"/>
      <c r="H84"/>
      <c r="I84"/>
      <c r="J84"/>
      <c r="K84"/>
      <c r="L84"/>
      <c r="M84"/>
    </row>
    <row r="85" spans="3:13" x14ac:dyDescent="0.2">
      <c r="C85"/>
      <c r="D85"/>
      <c r="E85"/>
      <c r="F85"/>
      <c r="G85"/>
      <c r="H85"/>
      <c r="I85"/>
      <c r="J85"/>
      <c r="K85"/>
      <c r="L85"/>
      <c r="M85"/>
    </row>
    <row r="86" spans="3:13" x14ac:dyDescent="0.2">
      <c r="C86"/>
      <c r="D86"/>
      <c r="E86"/>
      <c r="F86"/>
      <c r="G86"/>
      <c r="H86"/>
      <c r="I86"/>
      <c r="J86"/>
      <c r="K86"/>
      <c r="L86"/>
      <c r="M86"/>
    </row>
    <row r="87" spans="3:13" x14ac:dyDescent="0.2">
      <c r="C87"/>
      <c r="D87"/>
      <c r="E87"/>
      <c r="F87"/>
      <c r="G87"/>
      <c r="H87"/>
      <c r="I87"/>
      <c r="J87"/>
      <c r="K87"/>
      <c r="L87"/>
      <c r="M87"/>
    </row>
    <row r="88" spans="3:13" x14ac:dyDescent="0.2">
      <c r="C88"/>
      <c r="D88"/>
      <c r="E88"/>
      <c r="F88"/>
      <c r="G88"/>
      <c r="H88"/>
      <c r="I88"/>
      <c r="J88"/>
      <c r="K88"/>
      <c r="L88"/>
      <c r="M88"/>
    </row>
    <row r="89" spans="3:13" x14ac:dyDescent="0.2">
      <c r="C89"/>
      <c r="D89"/>
      <c r="E89"/>
      <c r="F89"/>
      <c r="G89"/>
      <c r="H89"/>
      <c r="I89"/>
      <c r="J89"/>
      <c r="K89"/>
      <c r="L89"/>
      <c r="M89"/>
    </row>
    <row r="90" spans="3:13" x14ac:dyDescent="0.2">
      <c r="C90"/>
      <c r="D90"/>
      <c r="E90"/>
      <c r="F90"/>
      <c r="G90"/>
      <c r="H90"/>
      <c r="I90"/>
      <c r="J90"/>
      <c r="K90"/>
      <c r="L90"/>
      <c r="M90"/>
    </row>
    <row r="91" spans="3:13" x14ac:dyDescent="0.2">
      <c r="C91"/>
      <c r="D91"/>
      <c r="E91"/>
      <c r="F91"/>
      <c r="G91"/>
      <c r="H91"/>
      <c r="I91"/>
      <c r="J91"/>
      <c r="K91"/>
      <c r="L91"/>
      <c r="M91"/>
    </row>
    <row r="92" spans="3:13" x14ac:dyDescent="0.2">
      <c r="C92"/>
      <c r="D92"/>
      <c r="E92"/>
      <c r="F92"/>
      <c r="G92"/>
      <c r="H92"/>
      <c r="I92"/>
      <c r="J92"/>
      <c r="K92"/>
      <c r="L92"/>
      <c r="M92"/>
    </row>
    <row r="93" spans="3:13" x14ac:dyDescent="0.2">
      <c r="C93"/>
      <c r="D93"/>
      <c r="E93"/>
      <c r="F93"/>
      <c r="G93"/>
      <c r="H93"/>
      <c r="I93"/>
      <c r="J93"/>
      <c r="K93"/>
      <c r="L93"/>
      <c r="M93"/>
    </row>
    <row r="94" spans="3:13" x14ac:dyDescent="0.2">
      <c r="C94"/>
      <c r="D94"/>
      <c r="E94"/>
      <c r="F94"/>
      <c r="G94"/>
      <c r="H94"/>
      <c r="I94"/>
      <c r="J94"/>
      <c r="K94"/>
      <c r="L94"/>
      <c r="M94"/>
    </row>
    <row r="95" spans="3:13" x14ac:dyDescent="0.2">
      <c r="C95"/>
      <c r="D95"/>
      <c r="E95"/>
      <c r="F95"/>
      <c r="G95"/>
      <c r="H95"/>
      <c r="I95"/>
      <c r="J95"/>
      <c r="K95"/>
      <c r="L95"/>
      <c r="M95"/>
    </row>
    <row r="96" spans="3:13" x14ac:dyDescent="0.2">
      <c r="C96"/>
      <c r="D96"/>
      <c r="E96"/>
      <c r="F96"/>
      <c r="G96"/>
      <c r="H96"/>
      <c r="I96"/>
      <c r="J96"/>
      <c r="K96"/>
      <c r="L96"/>
      <c r="M96"/>
    </row>
    <row r="97" spans="3:13" x14ac:dyDescent="0.2">
      <c r="C97"/>
      <c r="D97"/>
      <c r="E97"/>
      <c r="F97"/>
      <c r="G97"/>
      <c r="H97"/>
      <c r="I97"/>
      <c r="J97"/>
      <c r="K97"/>
      <c r="L97"/>
      <c r="M97"/>
    </row>
    <row r="98" spans="3:13" x14ac:dyDescent="0.2">
      <c r="C98"/>
      <c r="D98"/>
      <c r="E98"/>
      <c r="F98"/>
      <c r="G98"/>
      <c r="H98"/>
      <c r="I98"/>
      <c r="J98"/>
      <c r="K98"/>
      <c r="L98"/>
      <c r="M98"/>
    </row>
    <row r="99" spans="3:13" x14ac:dyDescent="0.2">
      <c r="C99"/>
      <c r="D99"/>
      <c r="E99"/>
      <c r="F99"/>
      <c r="G99"/>
      <c r="H99"/>
      <c r="I99"/>
      <c r="J99"/>
      <c r="K99"/>
      <c r="L99"/>
      <c r="M99"/>
    </row>
    <row r="100" spans="3:13" x14ac:dyDescent="0.2">
      <c r="C100"/>
      <c r="D100"/>
      <c r="E100"/>
      <c r="F100"/>
      <c r="G100"/>
      <c r="H100"/>
      <c r="I100"/>
      <c r="J100"/>
      <c r="K100"/>
      <c r="L100"/>
      <c r="M100"/>
    </row>
    <row r="101" spans="3:13" x14ac:dyDescent="0.2">
      <c r="C101"/>
      <c r="D101"/>
      <c r="E101"/>
      <c r="F101"/>
      <c r="G101"/>
      <c r="H101"/>
      <c r="I101"/>
      <c r="J101"/>
      <c r="K101"/>
      <c r="L101"/>
      <c r="M101"/>
    </row>
    <row r="102" spans="3:13" x14ac:dyDescent="0.2">
      <c r="C102"/>
      <c r="D102"/>
      <c r="E102"/>
      <c r="F102"/>
      <c r="G102"/>
      <c r="H102"/>
      <c r="I102"/>
      <c r="J102"/>
      <c r="K102"/>
      <c r="L102"/>
      <c r="M102"/>
    </row>
    <row r="103" spans="3:13" x14ac:dyDescent="0.2">
      <c r="C103"/>
      <c r="D103"/>
      <c r="E103"/>
      <c r="F103"/>
      <c r="G103"/>
      <c r="H103"/>
      <c r="I103"/>
      <c r="J103"/>
      <c r="K103"/>
      <c r="L103"/>
      <c r="M103"/>
    </row>
    <row r="104" spans="3:13" x14ac:dyDescent="0.2">
      <c r="C104"/>
      <c r="D104"/>
      <c r="E104"/>
      <c r="F104"/>
      <c r="G104"/>
      <c r="H104"/>
      <c r="I104"/>
      <c r="J104"/>
      <c r="K104"/>
      <c r="L104"/>
      <c r="M104"/>
    </row>
    <row r="105" spans="3:13" x14ac:dyDescent="0.2">
      <c r="C105"/>
      <c r="D105"/>
      <c r="E105"/>
      <c r="F105"/>
      <c r="G105"/>
      <c r="H105"/>
      <c r="I105"/>
      <c r="J105"/>
      <c r="K105"/>
      <c r="L105"/>
      <c r="M105"/>
    </row>
    <row r="106" spans="3:13" x14ac:dyDescent="0.2">
      <c r="C106"/>
      <c r="D106"/>
      <c r="E106"/>
      <c r="F106"/>
      <c r="G106"/>
      <c r="H106"/>
      <c r="I106"/>
      <c r="J106"/>
      <c r="K106"/>
      <c r="L106"/>
      <c r="M106"/>
    </row>
    <row r="107" spans="3:13" x14ac:dyDescent="0.2">
      <c r="C107"/>
      <c r="D107"/>
      <c r="E107"/>
      <c r="F107"/>
      <c r="G107"/>
      <c r="H107"/>
      <c r="I107"/>
      <c r="J107"/>
      <c r="K107"/>
      <c r="L107"/>
      <c r="M107"/>
    </row>
    <row r="108" spans="3:13" x14ac:dyDescent="0.2">
      <c r="C108"/>
      <c r="D108"/>
      <c r="E108"/>
      <c r="F108"/>
      <c r="G108"/>
      <c r="H108"/>
      <c r="I108"/>
      <c r="J108"/>
      <c r="K108"/>
      <c r="L108"/>
      <c r="M108"/>
    </row>
    <row r="109" spans="3:13" x14ac:dyDescent="0.2">
      <c r="C109"/>
      <c r="D109"/>
      <c r="E109"/>
      <c r="F109"/>
      <c r="G109"/>
      <c r="H109"/>
      <c r="I109"/>
      <c r="J109"/>
      <c r="K109"/>
      <c r="L109"/>
      <c r="M109"/>
    </row>
    <row r="110" spans="3:13" x14ac:dyDescent="0.2">
      <c r="C110"/>
      <c r="D110"/>
      <c r="E110"/>
      <c r="F110"/>
      <c r="G110"/>
      <c r="H110"/>
      <c r="I110"/>
      <c r="J110"/>
      <c r="K110"/>
      <c r="L110"/>
      <c r="M110"/>
    </row>
    <row r="111" spans="3:13" x14ac:dyDescent="0.2">
      <c r="C111"/>
      <c r="D111"/>
      <c r="E111"/>
      <c r="F111"/>
      <c r="G111"/>
      <c r="H111"/>
      <c r="I111"/>
      <c r="J111"/>
      <c r="K111"/>
      <c r="L111"/>
      <c r="M111"/>
    </row>
    <row r="112" spans="3:13" x14ac:dyDescent="0.2">
      <c r="C112"/>
      <c r="D112"/>
      <c r="E112"/>
      <c r="F112"/>
      <c r="G112"/>
      <c r="H112"/>
      <c r="I112"/>
      <c r="J112"/>
      <c r="K112"/>
      <c r="L112"/>
      <c r="M112"/>
    </row>
    <row r="113" spans="3:13" x14ac:dyDescent="0.2">
      <c r="C113"/>
      <c r="D113"/>
      <c r="E113"/>
      <c r="F113"/>
      <c r="G113"/>
      <c r="H113"/>
      <c r="I113"/>
      <c r="J113"/>
      <c r="K113"/>
      <c r="L113"/>
      <c r="M113"/>
    </row>
    <row r="114" spans="3:13" x14ac:dyDescent="0.2">
      <c r="C114"/>
      <c r="D114"/>
      <c r="E114"/>
      <c r="F114"/>
      <c r="G114"/>
      <c r="H114"/>
      <c r="I114"/>
      <c r="J114"/>
      <c r="K114"/>
      <c r="L114"/>
      <c r="M114"/>
    </row>
    <row r="115" spans="3:13" x14ac:dyDescent="0.2">
      <c r="C115"/>
      <c r="D115"/>
      <c r="E115"/>
      <c r="F115"/>
      <c r="G115"/>
      <c r="H115"/>
      <c r="I115"/>
      <c r="J115"/>
      <c r="K115"/>
      <c r="L115"/>
      <c r="M115"/>
    </row>
    <row r="116" spans="3:13" x14ac:dyDescent="0.2">
      <c r="C116"/>
      <c r="D116"/>
      <c r="E116"/>
      <c r="F116"/>
      <c r="G116"/>
      <c r="H116"/>
      <c r="I116"/>
      <c r="J116"/>
      <c r="K116"/>
      <c r="L116"/>
      <c r="M116"/>
    </row>
    <row r="117" spans="3:13" x14ac:dyDescent="0.2">
      <c r="C117"/>
      <c r="D117"/>
      <c r="E117"/>
      <c r="F117"/>
      <c r="G117"/>
      <c r="H117"/>
      <c r="I117"/>
      <c r="J117"/>
      <c r="K117"/>
      <c r="L117"/>
      <c r="M117"/>
    </row>
    <row r="118" spans="3:13" x14ac:dyDescent="0.2">
      <c r="C118"/>
      <c r="D118"/>
      <c r="E118"/>
      <c r="F118"/>
      <c r="G118"/>
      <c r="H118"/>
      <c r="I118"/>
      <c r="J118"/>
      <c r="K118"/>
      <c r="L118"/>
      <c r="M118"/>
    </row>
    <row r="119" spans="3:13" x14ac:dyDescent="0.2">
      <c r="C119"/>
      <c r="D119"/>
      <c r="E119"/>
      <c r="F119"/>
      <c r="G119"/>
      <c r="H119"/>
      <c r="I119"/>
      <c r="J119"/>
      <c r="K119"/>
      <c r="L119"/>
      <c r="M119"/>
    </row>
    <row r="120" spans="3:13" x14ac:dyDescent="0.2">
      <c r="C120"/>
      <c r="D120"/>
      <c r="E120"/>
      <c r="F120"/>
      <c r="G120"/>
      <c r="H120"/>
      <c r="I120"/>
      <c r="J120"/>
      <c r="K120"/>
      <c r="L120"/>
      <c r="M120"/>
    </row>
    <row r="121" spans="3:13" x14ac:dyDescent="0.2">
      <c r="C121"/>
      <c r="D121"/>
      <c r="E121"/>
      <c r="F121"/>
      <c r="G121"/>
      <c r="H121"/>
      <c r="I121"/>
      <c r="J121"/>
      <c r="K121"/>
      <c r="L121"/>
      <c r="M121"/>
    </row>
    <row r="122" spans="3:13" x14ac:dyDescent="0.2">
      <c r="C122"/>
      <c r="D122"/>
      <c r="E122"/>
      <c r="F122"/>
      <c r="G122"/>
      <c r="H122"/>
      <c r="I122"/>
      <c r="J122"/>
      <c r="K122"/>
      <c r="L122"/>
      <c r="M122"/>
    </row>
    <row r="123" spans="3:13" x14ac:dyDescent="0.2">
      <c r="C123"/>
      <c r="D123"/>
      <c r="E123"/>
      <c r="F123"/>
      <c r="G123"/>
      <c r="H123"/>
      <c r="I123"/>
      <c r="J123"/>
      <c r="K123"/>
      <c r="L123"/>
      <c r="M123"/>
    </row>
    <row r="124" spans="3:13" x14ac:dyDescent="0.2">
      <c r="C124"/>
      <c r="D124"/>
      <c r="E124"/>
      <c r="F124"/>
      <c r="G124"/>
      <c r="H124"/>
      <c r="I124"/>
      <c r="J124"/>
      <c r="K124"/>
      <c r="L124"/>
      <c r="M124"/>
    </row>
    <row r="125" spans="3:13" x14ac:dyDescent="0.2">
      <c r="C125"/>
      <c r="D125"/>
      <c r="E125"/>
      <c r="F125"/>
      <c r="G125"/>
      <c r="H125"/>
      <c r="I125"/>
      <c r="J125"/>
      <c r="K125"/>
      <c r="L125"/>
      <c r="M125"/>
    </row>
    <row r="126" spans="3:13" x14ac:dyDescent="0.2">
      <c r="C126"/>
      <c r="D126"/>
      <c r="E126"/>
      <c r="F126"/>
      <c r="G126"/>
      <c r="H126"/>
      <c r="I126"/>
      <c r="J126"/>
      <c r="K126"/>
      <c r="L126"/>
      <c r="M126"/>
    </row>
    <row r="127" spans="3:13" x14ac:dyDescent="0.2">
      <c r="C127"/>
      <c r="D127"/>
      <c r="E127"/>
      <c r="F127"/>
      <c r="G127"/>
      <c r="H127"/>
      <c r="I127"/>
      <c r="J127"/>
      <c r="K127"/>
      <c r="L127"/>
      <c r="M127"/>
    </row>
    <row r="128" spans="3:13" x14ac:dyDescent="0.2">
      <c r="C128"/>
      <c r="D128"/>
      <c r="E128"/>
      <c r="F128"/>
      <c r="G128"/>
      <c r="H128"/>
      <c r="I128"/>
      <c r="J128"/>
      <c r="K128"/>
      <c r="L128"/>
      <c r="M128"/>
    </row>
    <row r="129" spans="3:13" x14ac:dyDescent="0.2">
      <c r="C129"/>
      <c r="D129"/>
      <c r="E129"/>
      <c r="F129"/>
      <c r="G129"/>
      <c r="H129"/>
      <c r="I129"/>
      <c r="J129"/>
      <c r="K129"/>
      <c r="L129"/>
      <c r="M129"/>
    </row>
    <row r="130" spans="3:13" x14ac:dyDescent="0.2">
      <c r="C130"/>
      <c r="D130"/>
      <c r="E130"/>
      <c r="F130"/>
      <c r="G130"/>
      <c r="H130"/>
      <c r="I130"/>
      <c r="J130"/>
      <c r="K130"/>
      <c r="L130"/>
      <c r="M130"/>
    </row>
    <row r="131" spans="3:13" x14ac:dyDescent="0.2">
      <c r="C131"/>
      <c r="D131"/>
      <c r="E131"/>
      <c r="F131"/>
      <c r="G131"/>
      <c r="H131"/>
      <c r="I131"/>
      <c r="J131"/>
      <c r="K131"/>
      <c r="L131"/>
      <c r="M131"/>
    </row>
    <row r="132" spans="3:13" x14ac:dyDescent="0.2">
      <c r="C132"/>
      <c r="D132"/>
      <c r="E132"/>
      <c r="F132"/>
      <c r="G132"/>
      <c r="H132"/>
      <c r="I132"/>
      <c r="J132"/>
      <c r="K132"/>
      <c r="L132"/>
      <c r="M132"/>
    </row>
    <row r="133" spans="3:13" x14ac:dyDescent="0.2">
      <c r="C133"/>
      <c r="D133"/>
      <c r="E133"/>
      <c r="F133"/>
      <c r="G133"/>
      <c r="H133"/>
      <c r="I133"/>
      <c r="J133"/>
      <c r="K133"/>
      <c r="L133"/>
      <c r="M133"/>
    </row>
    <row r="134" spans="3:13" x14ac:dyDescent="0.2">
      <c r="C134"/>
      <c r="D134"/>
      <c r="E134"/>
      <c r="F134"/>
      <c r="G134"/>
      <c r="H134"/>
      <c r="I134"/>
      <c r="J134"/>
      <c r="K134"/>
      <c r="L134"/>
      <c r="M134"/>
    </row>
    <row r="135" spans="3:13" x14ac:dyDescent="0.2">
      <c r="C135"/>
      <c r="D135"/>
      <c r="E135"/>
      <c r="F135"/>
      <c r="G135"/>
      <c r="H135"/>
      <c r="I135"/>
      <c r="J135"/>
      <c r="K135"/>
      <c r="L135"/>
      <c r="M135"/>
    </row>
    <row r="136" spans="3:13" x14ac:dyDescent="0.2">
      <c r="C136"/>
      <c r="D136"/>
      <c r="E136"/>
      <c r="F136"/>
      <c r="G136"/>
      <c r="H136"/>
      <c r="I136"/>
      <c r="J136"/>
      <c r="K136"/>
      <c r="L136"/>
      <c r="M136"/>
    </row>
    <row r="137" spans="3:13" x14ac:dyDescent="0.2">
      <c r="C137"/>
      <c r="D137"/>
      <c r="E137"/>
      <c r="F137"/>
      <c r="G137"/>
      <c r="H137"/>
      <c r="I137"/>
      <c r="J137"/>
      <c r="K137"/>
      <c r="L137"/>
      <c r="M137"/>
    </row>
    <row r="138" spans="3:13" x14ac:dyDescent="0.2">
      <c r="C138"/>
      <c r="D138"/>
      <c r="E138"/>
      <c r="F138"/>
      <c r="G138"/>
      <c r="H138"/>
      <c r="I138"/>
      <c r="J138"/>
      <c r="K138"/>
      <c r="L138"/>
      <c r="M138"/>
    </row>
    <row r="139" spans="3:13" x14ac:dyDescent="0.2">
      <c r="C139"/>
      <c r="D139"/>
      <c r="E139"/>
      <c r="F139"/>
      <c r="G139"/>
      <c r="H139"/>
      <c r="I139"/>
      <c r="J139"/>
      <c r="K139"/>
      <c r="L139"/>
      <c r="M139"/>
    </row>
    <row r="140" spans="3:13" x14ac:dyDescent="0.2">
      <c r="C140"/>
      <c r="D140"/>
      <c r="E140"/>
      <c r="F140"/>
      <c r="G140"/>
      <c r="H140"/>
      <c r="I140"/>
      <c r="J140"/>
      <c r="K140"/>
      <c r="L140"/>
      <c r="M140"/>
    </row>
    <row r="141" spans="3:13" x14ac:dyDescent="0.2">
      <c r="C141"/>
      <c r="D141"/>
      <c r="E141"/>
      <c r="F141"/>
      <c r="G141"/>
      <c r="H141"/>
      <c r="I141"/>
      <c r="J141"/>
      <c r="K141"/>
      <c r="L141"/>
      <c r="M141"/>
    </row>
    <row r="142" spans="3:13" x14ac:dyDescent="0.2">
      <c r="C142"/>
      <c r="D142"/>
      <c r="E142"/>
      <c r="F142"/>
      <c r="G142"/>
      <c r="H142"/>
      <c r="I142"/>
      <c r="J142"/>
      <c r="K142"/>
      <c r="L142"/>
      <c r="M142"/>
    </row>
    <row r="143" spans="3:13" x14ac:dyDescent="0.2">
      <c r="C143"/>
      <c r="D143"/>
      <c r="E143"/>
      <c r="F143"/>
      <c r="G143"/>
      <c r="H143"/>
      <c r="I143"/>
      <c r="J143"/>
      <c r="K143"/>
      <c r="L143"/>
      <c r="M143"/>
    </row>
    <row r="144" spans="3:13" x14ac:dyDescent="0.2">
      <c r="C144"/>
      <c r="D144"/>
      <c r="E144"/>
      <c r="F144"/>
      <c r="G144"/>
      <c r="H144"/>
      <c r="I144"/>
      <c r="J144"/>
      <c r="K144"/>
      <c r="L144"/>
      <c r="M144"/>
    </row>
    <row r="145" spans="3:13" x14ac:dyDescent="0.2">
      <c r="C145"/>
      <c r="D145"/>
      <c r="E145"/>
      <c r="F145"/>
      <c r="G145"/>
      <c r="H145"/>
      <c r="I145"/>
      <c r="J145"/>
      <c r="K145"/>
      <c r="L145"/>
      <c r="M145"/>
    </row>
  </sheetData>
  <mergeCells count="5">
    <mergeCell ref="B4:B14"/>
    <mergeCell ref="T2:AD2"/>
    <mergeCell ref="T18:Y18"/>
    <mergeCell ref="T4:W4"/>
    <mergeCell ref="C4:N4"/>
  </mergeCells>
  <hyperlinks>
    <hyperlink ref="I2" location="Index!A1" display="Index'e Dön" xr:uid="{ADAEE27B-3697-ED47-9897-7F2EDD81FC4D}"/>
  </hyperlinks>
  <pageMargins left="0.7" right="0.7" top="0.75" bottom="0.75" header="0.3" footer="0.3"/>
  <pageSetup paperSize="9" orientation="portrait" horizontalDpi="0" verticalDpi="0"/>
  <ignoredErrors>
    <ignoredError sqref="G6:G14 D14" formulaRange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7033-F6EA-644A-86FF-FDF9CA652D88}">
  <dimension ref="B1:R39"/>
  <sheetViews>
    <sheetView showGridLines="0" topLeftCell="A13" zoomScale="125" zoomScaleNormal="110" workbookViewId="0">
      <selection activeCell="E18" sqref="E18:G18"/>
    </sheetView>
  </sheetViews>
  <sheetFormatPr baseColWidth="10" defaultRowHeight="16" x14ac:dyDescent="0.2"/>
  <cols>
    <col min="1" max="1" width="3.33203125" customWidth="1"/>
    <col min="2" max="2" width="4.5" customWidth="1"/>
    <col min="3" max="3" width="15.6640625" bestFit="1" customWidth="1"/>
    <col min="4" max="4" width="11.1640625" customWidth="1"/>
    <col min="5" max="18" width="9.5" customWidth="1"/>
  </cols>
  <sheetData>
    <row r="1" spans="2:18" ht="23" hidden="1" customHeight="1" x14ac:dyDescent="0.2">
      <c r="C1" s="54" t="s">
        <v>6</v>
      </c>
      <c r="D1" s="54" t="s">
        <v>36</v>
      </c>
      <c r="E1" s="55">
        <v>1</v>
      </c>
      <c r="F1" s="55">
        <v>2</v>
      </c>
      <c r="G1" s="55">
        <v>3</v>
      </c>
      <c r="H1" s="55">
        <v>4</v>
      </c>
      <c r="I1" s="55">
        <v>5</v>
      </c>
      <c r="J1" s="55">
        <v>6</v>
      </c>
      <c r="K1" s="55">
        <v>7</v>
      </c>
      <c r="L1" s="55">
        <v>8</v>
      </c>
      <c r="M1" s="55">
        <v>9</v>
      </c>
      <c r="N1" s="55">
        <v>10</v>
      </c>
      <c r="O1" s="55">
        <v>11</v>
      </c>
      <c r="P1" s="55">
        <v>12</v>
      </c>
      <c r="Q1" s="55" t="s">
        <v>30</v>
      </c>
    </row>
    <row r="2" spans="2:18" hidden="1" x14ac:dyDescent="0.2">
      <c r="C2" s="12" t="s">
        <v>25</v>
      </c>
      <c r="D2" s="13">
        <f>'2026 Bütçe - 600 (Yıllık)'!N6</f>
        <v>282952.13772499998</v>
      </c>
      <c r="E2" s="13">
        <f t="shared" ref="E2:P9" si="0">$D2*E$11</f>
        <v>19806.649640750002</v>
      </c>
      <c r="F2" s="13">
        <f t="shared" si="0"/>
        <v>19806.649640750002</v>
      </c>
      <c r="G2" s="13">
        <f t="shared" si="0"/>
        <v>28295.213772499999</v>
      </c>
      <c r="H2" s="13">
        <f t="shared" si="0"/>
        <v>19806.649640750002</v>
      </c>
      <c r="I2" s="13">
        <f t="shared" si="0"/>
        <v>19806.649640750002</v>
      </c>
      <c r="J2" s="13">
        <f t="shared" si="0"/>
        <v>31124.735149749999</v>
      </c>
      <c r="K2" s="13">
        <f t="shared" si="0"/>
        <v>16977.128263499999</v>
      </c>
      <c r="L2" s="13">
        <f t="shared" si="0"/>
        <v>16977.128263499999</v>
      </c>
      <c r="M2" s="13">
        <f t="shared" si="0"/>
        <v>28295.213772499999</v>
      </c>
      <c r="N2" s="13">
        <f t="shared" si="0"/>
        <v>22636.171017999997</v>
      </c>
      <c r="O2" s="13">
        <f t="shared" si="0"/>
        <v>22636.171017999997</v>
      </c>
      <c r="P2" s="13">
        <f t="shared" si="0"/>
        <v>36783.777904249997</v>
      </c>
      <c r="Q2" s="13">
        <f t="shared" ref="Q2:Q11" si="1">SUM(E2:P2)</f>
        <v>282952.13772499998</v>
      </c>
    </row>
    <row r="3" spans="2:18" hidden="1" x14ac:dyDescent="0.2">
      <c r="C3" s="12" t="s">
        <v>27</v>
      </c>
      <c r="D3" s="13">
        <f>'2026 Bütçe - 600 (Yıllık)'!N7</f>
        <v>57709.133300000001</v>
      </c>
      <c r="E3" s="13">
        <f t="shared" si="0"/>
        <v>4039.6393310000003</v>
      </c>
      <c r="F3" s="13">
        <f t="shared" si="0"/>
        <v>4039.6393310000003</v>
      </c>
      <c r="G3" s="13">
        <f t="shared" si="0"/>
        <v>5770.9133300000003</v>
      </c>
      <c r="H3" s="13">
        <f t="shared" si="0"/>
        <v>4039.6393310000003</v>
      </c>
      <c r="I3" s="13">
        <f t="shared" si="0"/>
        <v>4039.6393310000003</v>
      </c>
      <c r="J3" s="13">
        <f t="shared" si="0"/>
        <v>6348.0046630000006</v>
      </c>
      <c r="K3" s="13">
        <f t="shared" si="0"/>
        <v>3462.547998</v>
      </c>
      <c r="L3" s="13">
        <f t="shared" si="0"/>
        <v>3462.547998</v>
      </c>
      <c r="M3" s="13">
        <f t="shared" si="0"/>
        <v>5770.9133300000003</v>
      </c>
      <c r="N3" s="13">
        <f t="shared" si="0"/>
        <v>4616.7306640000006</v>
      </c>
      <c r="O3" s="13">
        <f t="shared" si="0"/>
        <v>4616.7306640000006</v>
      </c>
      <c r="P3" s="13">
        <f t="shared" si="0"/>
        <v>7502.1873290000003</v>
      </c>
      <c r="Q3" s="13">
        <f t="shared" si="1"/>
        <v>57709.133300000009</v>
      </c>
    </row>
    <row r="4" spans="2:18" hidden="1" x14ac:dyDescent="0.2">
      <c r="C4" s="12" t="s">
        <v>29</v>
      </c>
      <c r="D4" s="13">
        <f>'2026 Bütçe - 600 (Yıllık)'!N8</f>
        <v>59937.700624999998</v>
      </c>
      <c r="E4" s="13">
        <f t="shared" si="0"/>
        <v>4195.6390437500004</v>
      </c>
      <c r="F4" s="13">
        <f t="shared" si="0"/>
        <v>4195.6390437500004</v>
      </c>
      <c r="G4" s="13">
        <f t="shared" si="0"/>
        <v>5993.7700624999998</v>
      </c>
      <c r="H4" s="13">
        <f t="shared" si="0"/>
        <v>4195.6390437500004</v>
      </c>
      <c r="I4" s="13">
        <f t="shared" si="0"/>
        <v>4195.6390437500004</v>
      </c>
      <c r="J4" s="13">
        <f t="shared" si="0"/>
        <v>6593.1470687499996</v>
      </c>
      <c r="K4" s="13">
        <f t="shared" si="0"/>
        <v>3596.2620374999997</v>
      </c>
      <c r="L4" s="13">
        <f t="shared" si="0"/>
        <v>3596.2620374999997</v>
      </c>
      <c r="M4" s="13">
        <f t="shared" si="0"/>
        <v>5993.7700624999998</v>
      </c>
      <c r="N4" s="13">
        <f t="shared" si="0"/>
        <v>4795.0160500000002</v>
      </c>
      <c r="O4" s="13">
        <f t="shared" si="0"/>
        <v>4795.0160500000002</v>
      </c>
      <c r="P4" s="13">
        <f t="shared" si="0"/>
        <v>7791.9010812500001</v>
      </c>
      <c r="Q4" s="13">
        <f t="shared" si="1"/>
        <v>59937.70062499999</v>
      </c>
    </row>
    <row r="5" spans="2:18" hidden="1" x14ac:dyDescent="0.2">
      <c r="C5" s="12" t="s">
        <v>31</v>
      </c>
      <c r="D5" s="13">
        <f>'2026 Bütçe - 600 (Yıllık)'!N9</f>
        <v>25610.179825000003</v>
      </c>
      <c r="E5" s="13">
        <f t="shared" si="0"/>
        <v>1792.7125877500005</v>
      </c>
      <c r="F5" s="13">
        <f t="shared" si="0"/>
        <v>1792.7125877500005</v>
      </c>
      <c r="G5" s="13">
        <f t="shared" si="0"/>
        <v>2561.0179825000005</v>
      </c>
      <c r="H5" s="13">
        <f t="shared" si="0"/>
        <v>1792.7125877500005</v>
      </c>
      <c r="I5" s="13">
        <f t="shared" si="0"/>
        <v>1792.7125877500005</v>
      </c>
      <c r="J5" s="13">
        <f t="shared" si="0"/>
        <v>2817.1197807500002</v>
      </c>
      <c r="K5" s="13">
        <f t="shared" si="0"/>
        <v>1536.6107895</v>
      </c>
      <c r="L5" s="13">
        <f t="shared" si="0"/>
        <v>1536.6107895</v>
      </c>
      <c r="M5" s="13">
        <f t="shared" si="0"/>
        <v>2561.0179825000005</v>
      </c>
      <c r="N5" s="13">
        <f t="shared" si="0"/>
        <v>2048.8143860000005</v>
      </c>
      <c r="O5" s="13">
        <f t="shared" si="0"/>
        <v>2048.8143860000005</v>
      </c>
      <c r="P5" s="13">
        <f t="shared" si="0"/>
        <v>3329.3233772500007</v>
      </c>
      <c r="Q5" s="13">
        <f t="shared" si="1"/>
        <v>25610.179825000007</v>
      </c>
    </row>
    <row r="6" spans="2:18" hidden="1" x14ac:dyDescent="0.2">
      <c r="C6" s="12" t="s">
        <v>32</v>
      </c>
      <c r="D6" s="13">
        <f>'2026 Bütçe - 600 (Yıllık)'!N10</f>
        <v>9535.1743750000005</v>
      </c>
      <c r="E6" s="13">
        <f t="shared" si="0"/>
        <v>667.46220625000012</v>
      </c>
      <c r="F6" s="13">
        <f t="shared" si="0"/>
        <v>667.46220625000012</v>
      </c>
      <c r="G6" s="13">
        <f t="shared" si="0"/>
        <v>953.51743750000014</v>
      </c>
      <c r="H6" s="13">
        <f t="shared" si="0"/>
        <v>667.46220625000012</v>
      </c>
      <c r="I6" s="13">
        <f t="shared" si="0"/>
        <v>667.46220625000012</v>
      </c>
      <c r="J6" s="13">
        <f t="shared" si="0"/>
        <v>1048.8691812500001</v>
      </c>
      <c r="K6" s="13">
        <f t="shared" si="0"/>
        <v>572.11046250000004</v>
      </c>
      <c r="L6" s="13">
        <f t="shared" si="0"/>
        <v>572.11046250000004</v>
      </c>
      <c r="M6" s="13">
        <f t="shared" si="0"/>
        <v>953.51743750000014</v>
      </c>
      <c r="N6" s="13">
        <f t="shared" si="0"/>
        <v>762.81395000000009</v>
      </c>
      <c r="O6" s="13">
        <f t="shared" si="0"/>
        <v>762.81395000000009</v>
      </c>
      <c r="P6" s="13">
        <f t="shared" si="0"/>
        <v>1239.57266875</v>
      </c>
      <c r="Q6" s="13">
        <f t="shared" si="1"/>
        <v>9535.1743749999987</v>
      </c>
    </row>
    <row r="7" spans="2:18" hidden="1" x14ac:dyDescent="0.2">
      <c r="C7" s="12" t="s">
        <v>33</v>
      </c>
      <c r="D7" s="13">
        <f>'2026 Bütçe - 600 (Yıllık)'!N11</f>
        <v>75979</v>
      </c>
      <c r="E7" s="13">
        <f t="shared" si="0"/>
        <v>5318.5300000000007</v>
      </c>
      <c r="F7" s="13">
        <f t="shared" si="0"/>
        <v>5318.5300000000007</v>
      </c>
      <c r="G7" s="13">
        <f t="shared" si="0"/>
        <v>7597.9000000000005</v>
      </c>
      <c r="H7" s="13">
        <f t="shared" si="0"/>
        <v>5318.5300000000007</v>
      </c>
      <c r="I7" s="13">
        <f t="shared" si="0"/>
        <v>5318.5300000000007</v>
      </c>
      <c r="J7" s="13">
        <f t="shared" si="0"/>
        <v>8357.69</v>
      </c>
      <c r="K7" s="13">
        <f t="shared" si="0"/>
        <v>4558.74</v>
      </c>
      <c r="L7" s="13">
        <f t="shared" si="0"/>
        <v>4558.74</v>
      </c>
      <c r="M7" s="13">
        <f t="shared" si="0"/>
        <v>7597.9000000000005</v>
      </c>
      <c r="N7" s="13">
        <f t="shared" si="0"/>
        <v>6078.32</v>
      </c>
      <c r="O7" s="13">
        <f t="shared" si="0"/>
        <v>6078.32</v>
      </c>
      <c r="P7" s="13">
        <f t="shared" si="0"/>
        <v>9877.27</v>
      </c>
      <c r="Q7" s="13">
        <f t="shared" si="1"/>
        <v>75979.000000000015</v>
      </c>
    </row>
    <row r="8" spans="2:18" hidden="1" x14ac:dyDescent="0.2">
      <c r="C8" s="12" t="s">
        <v>34</v>
      </c>
      <c r="D8" s="13">
        <f>'2026 Bütçe - 600 (Yıllık)'!N12</f>
        <v>71972.433875000002</v>
      </c>
      <c r="E8" s="13">
        <f t="shared" si="0"/>
        <v>5038.0703712500008</v>
      </c>
      <c r="F8" s="13">
        <f t="shared" si="0"/>
        <v>5038.0703712500008</v>
      </c>
      <c r="G8" s="13">
        <f t="shared" si="0"/>
        <v>7197.2433875000006</v>
      </c>
      <c r="H8" s="13">
        <f t="shared" si="0"/>
        <v>5038.0703712500008</v>
      </c>
      <c r="I8" s="13">
        <f t="shared" si="0"/>
        <v>5038.0703712500008</v>
      </c>
      <c r="J8" s="13">
        <f t="shared" si="0"/>
        <v>7916.9677262499999</v>
      </c>
      <c r="K8" s="13">
        <f t="shared" si="0"/>
        <v>4318.3460324999996</v>
      </c>
      <c r="L8" s="13">
        <f t="shared" si="0"/>
        <v>4318.3460324999996</v>
      </c>
      <c r="M8" s="13">
        <f t="shared" si="0"/>
        <v>7197.2433875000006</v>
      </c>
      <c r="N8" s="13">
        <f t="shared" si="0"/>
        <v>5757.7947100000001</v>
      </c>
      <c r="O8" s="13">
        <f t="shared" si="0"/>
        <v>5757.7947100000001</v>
      </c>
      <c r="P8" s="13">
        <f t="shared" si="0"/>
        <v>9356.4164037500013</v>
      </c>
      <c r="Q8" s="13">
        <f t="shared" si="1"/>
        <v>71972.433875000002</v>
      </c>
    </row>
    <row r="9" spans="2:18" hidden="1" x14ac:dyDescent="0.2">
      <c r="C9" s="12" t="s">
        <v>35</v>
      </c>
      <c r="D9" s="13">
        <f>'2026 Bütçe - 600 (Yıllık)'!N13</f>
        <v>16436.4519</v>
      </c>
      <c r="E9" s="13">
        <f t="shared" si="0"/>
        <v>1150.551633</v>
      </c>
      <c r="F9" s="13">
        <f t="shared" si="0"/>
        <v>1150.551633</v>
      </c>
      <c r="G9" s="13">
        <f t="shared" si="0"/>
        <v>1643.6451900000002</v>
      </c>
      <c r="H9" s="13">
        <f t="shared" si="0"/>
        <v>1150.551633</v>
      </c>
      <c r="I9" s="13">
        <f t="shared" si="0"/>
        <v>1150.551633</v>
      </c>
      <c r="J9" s="13">
        <f t="shared" si="0"/>
        <v>1808.0097089999999</v>
      </c>
      <c r="K9" s="13">
        <f t="shared" si="0"/>
        <v>986.18711399999995</v>
      </c>
      <c r="L9" s="13">
        <f t="shared" si="0"/>
        <v>986.18711399999995</v>
      </c>
      <c r="M9" s="13">
        <f t="shared" si="0"/>
        <v>1643.6451900000002</v>
      </c>
      <c r="N9" s="13">
        <f t="shared" si="0"/>
        <v>1314.916152</v>
      </c>
      <c r="O9" s="13">
        <f t="shared" si="0"/>
        <v>1314.916152</v>
      </c>
      <c r="P9" s="13">
        <f t="shared" si="0"/>
        <v>2136.7387469999999</v>
      </c>
      <c r="Q9" s="13">
        <f t="shared" si="1"/>
        <v>16436.4519</v>
      </c>
    </row>
    <row r="10" spans="2:18" hidden="1" x14ac:dyDescent="0.2">
      <c r="C10" s="34" t="s">
        <v>30</v>
      </c>
      <c r="D10" s="14">
        <f t="shared" ref="D10:P10" si="2">SUM(D2:D9)</f>
        <v>600132.211625</v>
      </c>
      <c r="E10" s="14">
        <f t="shared" si="2"/>
        <v>42009.254813750005</v>
      </c>
      <c r="F10" s="14">
        <f t="shared" si="2"/>
        <v>42009.254813750005</v>
      </c>
      <c r="G10" s="14">
        <f t="shared" si="2"/>
        <v>60013.221162500005</v>
      </c>
      <c r="H10" s="14">
        <f t="shared" si="2"/>
        <v>42009.254813750005</v>
      </c>
      <c r="I10" s="14">
        <f t="shared" si="2"/>
        <v>42009.254813750005</v>
      </c>
      <c r="J10" s="14">
        <f t="shared" si="2"/>
        <v>66014.543278749989</v>
      </c>
      <c r="K10" s="14">
        <f t="shared" si="2"/>
        <v>36007.932697499993</v>
      </c>
      <c r="L10" s="14">
        <f t="shared" si="2"/>
        <v>36007.932697499993</v>
      </c>
      <c r="M10" s="14">
        <f t="shared" si="2"/>
        <v>60013.221162500005</v>
      </c>
      <c r="N10" s="14">
        <f t="shared" si="2"/>
        <v>48010.576929999996</v>
      </c>
      <c r="O10" s="14">
        <f t="shared" si="2"/>
        <v>48010.576929999996</v>
      </c>
      <c r="P10" s="14">
        <f t="shared" si="2"/>
        <v>78017.187511249998</v>
      </c>
      <c r="Q10" s="14">
        <f t="shared" si="1"/>
        <v>600132.211625</v>
      </c>
    </row>
    <row r="11" spans="2:18" hidden="1" x14ac:dyDescent="0.2">
      <c r="C11" s="36" t="s">
        <v>38</v>
      </c>
      <c r="D11" s="37">
        <f>SUM(D2:D9)</f>
        <v>600132.211625</v>
      </c>
      <c r="E11" s="38">
        <v>7.0000000000000007E-2</v>
      </c>
      <c r="F11" s="38">
        <v>7.0000000000000007E-2</v>
      </c>
      <c r="G11" s="38">
        <v>0.1</v>
      </c>
      <c r="H11" s="38">
        <v>7.0000000000000007E-2</v>
      </c>
      <c r="I11" s="38">
        <v>7.0000000000000007E-2</v>
      </c>
      <c r="J11" s="38">
        <v>0.11</v>
      </c>
      <c r="K11" s="38">
        <v>0.06</v>
      </c>
      <c r="L11" s="38">
        <v>0.06</v>
      </c>
      <c r="M11" s="38">
        <v>0.1</v>
      </c>
      <c r="N11" s="38">
        <v>0.08</v>
      </c>
      <c r="O11" s="38">
        <v>0.08</v>
      </c>
      <c r="P11" s="38">
        <v>0.13</v>
      </c>
      <c r="Q11" s="39">
        <f t="shared" si="1"/>
        <v>1</v>
      </c>
    </row>
    <row r="12" spans="2:18" hidden="1" x14ac:dyDescent="0.2">
      <c r="C12" s="1"/>
      <c r="D12" s="40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2:18" x14ac:dyDescent="0.2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2:18" x14ac:dyDescent="0.2">
      <c r="B14" s="146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147"/>
    </row>
    <row r="15" spans="2:18" ht="42" x14ac:dyDescent="0.2">
      <c r="B15" s="148"/>
      <c r="C15" s="149" t="s">
        <v>6</v>
      </c>
      <c r="D15" s="150" t="s">
        <v>39</v>
      </c>
      <c r="E15" s="151">
        <v>1</v>
      </c>
      <c r="F15" s="151">
        <v>2</v>
      </c>
      <c r="G15" s="151">
        <v>3</v>
      </c>
      <c r="H15" s="151">
        <v>4</v>
      </c>
      <c r="I15" s="151">
        <v>5</v>
      </c>
      <c r="J15" s="151">
        <v>6</v>
      </c>
      <c r="K15" s="151">
        <v>7</v>
      </c>
      <c r="L15" s="151">
        <v>8</v>
      </c>
      <c r="M15" s="151">
        <v>9</v>
      </c>
      <c r="N15" s="151">
        <v>10</v>
      </c>
      <c r="O15" s="151">
        <v>11</v>
      </c>
      <c r="P15" s="151">
        <v>12</v>
      </c>
      <c r="Q15" s="151" t="s">
        <v>30</v>
      </c>
      <c r="R15" s="152"/>
    </row>
    <row r="16" spans="2:18" x14ac:dyDescent="0.2">
      <c r="B16" s="148"/>
      <c r="C16" s="12" t="s">
        <v>25</v>
      </c>
      <c r="D16" s="13">
        <f>'2026 Bütçe - 600 (Yıllık)'!N6</f>
        <v>282952.13772499998</v>
      </c>
      <c r="E16" s="132">
        <f t="shared" ref="E16:P16" si="3">$D16*E30</f>
        <v>19806.649640750002</v>
      </c>
      <c r="F16" s="132">
        <f t="shared" si="3"/>
        <v>19806.649640750002</v>
      </c>
      <c r="G16" s="132">
        <f t="shared" si="3"/>
        <v>22636.171017999997</v>
      </c>
      <c r="H16" s="132">
        <f t="shared" si="3"/>
        <v>21221.410329374998</v>
      </c>
      <c r="I16" s="132">
        <f t="shared" si="3"/>
        <v>21221.410329374998</v>
      </c>
      <c r="J16" s="132">
        <f t="shared" si="3"/>
        <v>25465.692395249996</v>
      </c>
      <c r="K16" s="132">
        <f t="shared" si="3"/>
        <v>21221.410329374998</v>
      </c>
      <c r="L16" s="132">
        <f t="shared" si="3"/>
        <v>21221.410329374998</v>
      </c>
      <c r="M16" s="132">
        <f t="shared" si="3"/>
        <v>22636.171017999997</v>
      </c>
      <c r="N16" s="132">
        <f t="shared" si="3"/>
        <v>28295.213772499999</v>
      </c>
      <c r="O16" s="132">
        <f t="shared" si="3"/>
        <v>28295.213772499999</v>
      </c>
      <c r="P16" s="132">
        <f t="shared" si="3"/>
        <v>31124.735149749999</v>
      </c>
      <c r="Q16" s="132">
        <f t="shared" ref="Q16:Q25" si="4">SUM(E16:P16)</f>
        <v>282952.13772499998</v>
      </c>
      <c r="R16" s="152"/>
    </row>
    <row r="17" spans="2:18" x14ac:dyDescent="0.2">
      <c r="B17" s="148"/>
      <c r="C17" s="12" t="s">
        <v>27</v>
      </c>
      <c r="D17" s="13">
        <f>'2026 Bütçe - 600 (Yıllık)'!N7</f>
        <v>57709.133300000001</v>
      </c>
      <c r="E17" s="132">
        <f t="shared" ref="E17:P17" si="5">$D17*E31</f>
        <v>4039.6393310000003</v>
      </c>
      <c r="F17" s="132">
        <f t="shared" si="5"/>
        <v>4039.6393310000003</v>
      </c>
      <c r="G17" s="132">
        <f t="shared" si="5"/>
        <v>4616.7306640000006</v>
      </c>
      <c r="H17" s="132">
        <f t="shared" si="5"/>
        <v>4616.7306640000006</v>
      </c>
      <c r="I17" s="132">
        <f t="shared" si="5"/>
        <v>4616.7306640000006</v>
      </c>
      <c r="J17" s="132">
        <f t="shared" si="5"/>
        <v>5193.821997</v>
      </c>
      <c r="K17" s="132">
        <f t="shared" si="5"/>
        <v>4328.1849974999996</v>
      </c>
      <c r="L17" s="132">
        <f t="shared" si="5"/>
        <v>4328.1849974999996</v>
      </c>
      <c r="M17" s="132">
        <f t="shared" si="5"/>
        <v>4616.7306640000006</v>
      </c>
      <c r="N17" s="132">
        <f t="shared" si="5"/>
        <v>5482.3676635000002</v>
      </c>
      <c r="O17" s="132">
        <f t="shared" si="5"/>
        <v>5482.3676635000002</v>
      </c>
      <c r="P17" s="132">
        <f t="shared" si="5"/>
        <v>6348.0046630000006</v>
      </c>
      <c r="Q17" s="132">
        <f t="shared" si="4"/>
        <v>57709.133300000009</v>
      </c>
      <c r="R17" s="152"/>
    </row>
    <row r="18" spans="2:18" x14ac:dyDescent="0.2">
      <c r="B18" s="148"/>
      <c r="C18" s="12" t="s">
        <v>29</v>
      </c>
      <c r="D18" s="13">
        <f>'2026 Bütçe - 600 (Yıllık)'!N8</f>
        <v>59937.700624999998</v>
      </c>
      <c r="E18" s="132">
        <f t="shared" ref="E18:P18" si="6">$D18*E32</f>
        <v>4195.6390437500004</v>
      </c>
      <c r="F18" s="132">
        <f t="shared" si="6"/>
        <v>4195.6390437500004</v>
      </c>
      <c r="G18" s="132">
        <f t="shared" si="6"/>
        <v>4795.0160500000002</v>
      </c>
      <c r="H18" s="132">
        <f t="shared" si="6"/>
        <v>4795.0160500000002</v>
      </c>
      <c r="I18" s="132">
        <f t="shared" si="6"/>
        <v>4795.0160500000002</v>
      </c>
      <c r="J18" s="132">
        <f t="shared" si="6"/>
        <v>5394.39305625</v>
      </c>
      <c r="K18" s="132">
        <f t="shared" si="6"/>
        <v>4495.3275468749998</v>
      </c>
      <c r="L18" s="132">
        <f t="shared" si="6"/>
        <v>4495.3275468749998</v>
      </c>
      <c r="M18" s="132">
        <f t="shared" si="6"/>
        <v>4795.0160500000002</v>
      </c>
      <c r="N18" s="132">
        <f t="shared" si="6"/>
        <v>5694.0815593749994</v>
      </c>
      <c r="O18" s="132">
        <f t="shared" si="6"/>
        <v>5694.0815593749994</v>
      </c>
      <c r="P18" s="132">
        <f t="shared" si="6"/>
        <v>6593.1470687499996</v>
      </c>
      <c r="Q18" s="132">
        <f t="shared" si="4"/>
        <v>59937.70062499999</v>
      </c>
      <c r="R18" s="152"/>
    </row>
    <row r="19" spans="2:18" x14ac:dyDescent="0.2">
      <c r="B19" s="148"/>
      <c r="C19" s="12" t="s">
        <v>69</v>
      </c>
      <c r="D19" s="13">
        <f>'2026 Bütçe - 600 (Yıllık)'!N9</f>
        <v>25610.179825000003</v>
      </c>
      <c r="E19" s="132">
        <f t="shared" ref="E19:P19" si="7">$D19*E33</f>
        <v>1792.7125877500005</v>
      </c>
      <c r="F19" s="132">
        <f t="shared" si="7"/>
        <v>1792.7125877500005</v>
      </c>
      <c r="G19" s="132">
        <f t="shared" si="7"/>
        <v>2048.8143860000005</v>
      </c>
      <c r="H19" s="132">
        <f t="shared" si="7"/>
        <v>2048.8143860000005</v>
      </c>
      <c r="I19" s="132">
        <f t="shared" si="7"/>
        <v>2048.8143860000005</v>
      </c>
      <c r="J19" s="132">
        <f t="shared" si="7"/>
        <v>2304.9161842500002</v>
      </c>
      <c r="K19" s="132">
        <f t="shared" si="7"/>
        <v>1920.7634868750001</v>
      </c>
      <c r="L19" s="132">
        <f t="shared" si="7"/>
        <v>1920.7634868750001</v>
      </c>
      <c r="M19" s="132">
        <f t="shared" si="7"/>
        <v>2048.8143860000005</v>
      </c>
      <c r="N19" s="132">
        <f t="shared" si="7"/>
        <v>2432.9670833750001</v>
      </c>
      <c r="O19" s="132">
        <f t="shared" si="7"/>
        <v>2432.9670833750001</v>
      </c>
      <c r="P19" s="132">
        <f t="shared" si="7"/>
        <v>2817.1197807500002</v>
      </c>
      <c r="Q19" s="132">
        <f t="shared" si="4"/>
        <v>25610.179824999999</v>
      </c>
      <c r="R19" s="152"/>
    </row>
    <row r="20" spans="2:18" x14ac:dyDescent="0.2">
      <c r="B20" s="148"/>
      <c r="C20" s="12" t="s">
        <v>32</v>
      </c>
      <c r="D20" s="13">
        <f>'2026 Bütçe - 600 (Yıllık)'!N10</f>
        <v>9535.1743750000005</v>
      </c>
      <c r="E20" s="132">
        <f t="shared" ref="E20:P20" si="8">$D20*E34</f>
        <v>667.46220625000012</v>
      </c>
      <c r="F20" s="132">
        <f t="shared" si="8"/>
        <v>667.46220625000012</v>
      </c>
      <c r="G20" s="132">
        <f t="shared" si="8"/>
        <v>762.81395000000009</v>
      </c>
      <c r="H20" s="132">
        <f t="shared" si="8"/>
        <v>762.81395000000009</v>
      </c>
      <c r="I20" s="132">
        <f t="shared" si="8"/>
        <v>762.81395000000009</v>
      </c>
      <c r="J20" s="132">
        <f t="shared" si="8"/>
        <v>858.16569375000006</v>
      </c>
      <c r="K20" s="132">
        <f t="shared" si="8"/>
        <v>715.13807812499999</v>
      </c>
      <c r="L20" s="132">
        <f t="shared" si="8"/>
        <v>715.13807812499999</v>
      </c>
      <c r="M20" s="132">
        <f t="shared" si="8"/>
        <v>762.81395000000009</v>
      </c>
      <c r="N20" s="132">
        <f t="shared" si="8"/>
        <v>905.84156562500004</v>
      </c>
      <c r="O20" s="132">
        <f t="shared" si="8"/>
        <v>905.84156562500004</v>
      </c>
      <c r="P20" s="132">
        <f t="shared" si="8"/>
        <v>1048.8691812500001</v>
      </c>
      <c r="Q20" s="132">
        <f t="shared" si="4"/>
        <v>9535.1743750000005</v>
      </c>
      <c r="R20" s="152"/>
    </row>
    <row r="21" spans="2:18" x14ac:dyDescent="0.2">
      <c r="B21" s="148"/>
      <c r="C21" s="12" t="s">
        <v>33</v>
      </c>
      <c r="D21" s="13">
        <f>'2026 Bütçe - 600 (Yıllık)'!N11</f>
        <v>75979</v>
      </c>
      <c r="E21" s="132">
        <f t="shared" ref="E21:P21" si="9">$D21*E35</f>
        <v>5318.5300000000007</v>
      </c>
      <c r="F21" s="132">
        <f t="shared" si="9"/>
        <v>5318.5300000000007</v>
      </c>
      <c r="G21" s="132">
        <f t="shared" si="9"/>
        <v>6078.32</v>
      </c>
      <c r="H21" s="132">
        <f t="shared" si="9"/>
        <v>6078.32</v>
      </c>
      <c r="I21" s="132">
        <f t="shared" si="9"/>
        <v>6078.32</v>
      </c>
      <c r="J21" s="132">
        <f t="shared" si="9"/>
        <v>6838.11</v>
      </c>
      <c r="K21" s="132">
        <f t="shared" si="9"/>
        <v>5698.4250000000002</v>
      </c>
      <c r="L21" s="132">
        <f t="shared" si="9"/>
        <v>5698.4250000000002</v>
      </c>
      <c r="M21" s="132">
        <f t="shared" si="9"/>
        <v>6078.32</v>
      </c>
      <c r="N21" s="132">
        <f t="shared" si="9"/>
        <v>7218.0050000000001</v>
      </c>
      <c r="O21" s="132">
        <f t="shared" si="9"/>
        <v>7218.0050000000001</v>
      </c>
      <c r="P21" s="132">
        <f t="shared" si="9"/>
        <v>8357.69</v>
      </c>
      <c r="Q21" s="132">
        <f t="shared" si="4"/>
        <v>75979</v>
      </c>
      <c r="R21" s="152"/>
    </row>
    <row r="22" spans="2:18" x14ac:dyDescent="0.2">
      <c r="B22" s="148"/>
      <c r="C22" s="12" t="s">
        <v>34</v>
      </c>
      <c r="D22" s="13">
        <f>'2026 Bütçe - 600 (Yıllık)'!N12</f>
        <v>71972.433875000002</v>
      </c>
      <c r="E22" s="132">
        <f t="shared" ref="E22:P22" si="10">$D22*E36</f>
        <v>5038.0703712500008</v>
      </c>
      <c r="F22" s="132">
        <f t="shared" si="10"/>
        <v>5038.0703712500008</v>
      </c>
      <c r="G22" s="132">
        <f t="shared" si="10"/>
        <v>5757.7947100000001</v>
      </c>
      <c r="H22" s="132">
        <f t="shared" si="10"/>
        <v>5757.7947100000001</v>
      </c>
      <c r="I22" s="132">
        <f t="shared" si="10"/>
        <v>5757.7947100000001</v>
      </c>
      <c r="J22" s="132">
        <f t="shared" si="10"/>
        <v>6477.5190487500004</v>
      </c>
      <c r="K22" s="132">
        <f t="shared" si="10"/>
        <v>5397.932540625</v>
      </c>
      <c r="L22" s="132">
        <f t="shared" si="10"/>
        <v>5397.932540625</v>
      </c>
      <c r="M22" s="132">
        <f t="shared" si="10"/>
        <v>5757.7947100000001</v>
      </c>
      <c r="N22" s="132">
        <f t="shared" si="10"/>
        <v>6837.3812181250005</v>
      </c>
      <c r="O22" s="132">
        <f t="shared" si="10"/>
        <v>6837.3812181250005</v>
      </c>
      <c r="P22" s="132">
        <f t="shared" si="10"/>
        <v>7916.9677262499999</v>
      </c>
      <c r="Q22" s="132">
        <f t="shared" si="4"/>
        <v>71972.433875000017</v>
      </c>
      <c r="R22" s="152"/>
    </row>
    <row r="23" spans="2:18" x14ac:dyDescent="0.2">
      <c r="B23" s="148"/>
      <c r="C23" s="12" t="s">
        <v>35</v>
      </c>
      <c r="D23" s="13">
        <f>'2026 Bütçe - 600 (Yıllık)'!N13</f>
        <v>16436.4519</v>
      </c>
      <c r="E23" s="132">
        <f t="shared" ref="E23:P23" si="11">$D23*E37</f>
        <v>1314.916152</v>
      </c>
      <c r="F23" s="132">
        <f t="shared" si="11"/>
        <v>1314.916152</v>
      </c>
      <c r="G23" s="132">
        <f t="shared" si="11"/>
        <v>1479.280671</v>
      </c>
      <c r="H23" s="132">
        <f t="shared" si="11"/>
        <v>1314.916152</v>
      </c>
      <c r="I23" s="132">
        <f t="shared" si="11"/>
        <v>1314.916152</v>
      </c>
      <c r="J23" s="132">
        <f t="shared" si="11"/>
        <v>1479.280671</v>
      </c>
      <c r="K23" s="132">
        <f t="shared" si="11"/>
        <v>1232.7338924999999</v>
      </c>
      <c r="L23" s="132">
        <f t="shared" si="11"/>
        <v>1314.916152</v>
      </c>
      <c r="M23" s="132">
        <f t="shared" si="11"/>
        <v>1314.916152</v>
      </c>
      <c r="N23" s="132">
        <f t="shared" si="11"/>
        <v>1314.916152</v>
      </c>
      <c r="O23" s="132">
        <f t="shared" si="11"/>
        <v>1479.280671</v>
      </c>
      <c r="P23" s="132">
        <f t="shared" si="11"/>
        <v>1561.4629305000001</v>
      </c>
      <c r="Q23" s="132">
        <f t="shared" si="4"/>
        <v>16436.4519</v>
      </c>
      <c r="R23" s="152"/>
    </row>
    <row r="24" spans="2:18" x14ac:dyDescent="0.2">
      <c r="B24" s="148"/>
      <c r="C24" s="34" t="s">
        <v>40</v>
      </c>
      <c r="D24" s="133">
        <f t="shared" ref="D24:P24" si="12">SUM(D16:D23)</f>
        <v>600132.211625</v>
      </c>
      <c r="E24" s="133">
        <f t="shared" si="12"/>
        <v>42173.61933275</v>
      </c>
      <c r="F24" s="133">
        <f t="shared" si="12"/>
        <v>42173.61933275</v>
      </c>
      <c r="G24" s="133">
        <f t="shared" si="12"/>
        <v>48174.941448999998</v>
      </c>
      <c r="H24" s="133">
        <f t="shared" si="12"/>
        <v>46595.816241374996</v>
      </c>
      <c r="I24" s="133">
        <f t="shared" si="12"/>
        <v>46595.816241374996</v>
      </c>
      <c r="J24" s="133">
        <f t="shared" si="12"/>
        <v>54011.899046250001</v>
      </c>
      <c r="K24" s="133">
        <f t="shared" si="12"/>
        <v>45009.915871874997</v>
      </c>
      <c r="L24" s="133">
        <f t="shared" si="12"/>
        <v>45092.098131374994</v>
      </c>
      <c r="M24" s="133">
        <f t="shared" si="12"/>
        <v>48010.576929999996</v>
      </c>
      <c r="N24" s="133">
        <f t="shared" si="12"/>
        <v>58180.774014499999</v>
      </c>
      <c r="O24" s="133">
        <f t="shared" si="12"/>
        <v>58345.138533500001</v>
      </c>
      <c r="P24" s="133">
        <f t="shared" si="12"/>
        <v>65767.996500249996</v>
      </c>
      <c r="Q24" s="133">
        <f t="shared" si="4"/>
        <v>600132.21162499988</v>
      </c>
      <c r="R24" s="152"/>
    </row>
    <row r="25" spans="2:18" x14ac:dyDescent="0.2">
      <c r="B25" s="148"/>
      <c r="C25" s="36" t="s">
        <v>41</v>
      </c>
      <c r="D25" s="143"/>
      <c r="E25" s="153">
        <f t="shared" ref="E25:P25" si="13">E39</f>
        <v>7.1250000000000008E-2</v>
      </c>
      <c r="F25" s="153">
        <f t="shared" si="13"/>
        <v>7.1250000000000008E-2</v>
      </c>
      <c r="G25" s="153">
        <f t="shared" si="13"/>
        <v>8.1250000000000003E-2</v>
      </c>
      <c r="H25" s="153">
        <f t="shared" si="13"/>
        <v>7.9375000000000001E-2</v>
      </c>
      <c r="I25" s="153">
        <f t="shared" si="13"/>
        <v>7.9375000000000001E-2</v>
      </c>
      <c r="J25" s="153">
        <f t="shared" si="13"/>
        <v>8.9999999999999983E-2</v>
      </c>
      <c r="K25" s="153">
        <f t="shared" si="13"/>
        <v>7.4999999999999997E-2</v>
      </c>
      <c r="L25" s="153">
        <f t="shared" si="13"/>
        <v>7.5624999999999998E-2</v>
      </c>
      <c r="M25" s="153">
        <f t="shared" si="13"/>
        <v>0.08</v>
      </c>
      <c r="N25" s="153">
        <f t="shared" si="13"/>
        <v>9.3749999999999986E-2</v>
      </c>
      <c r="O25" s="153">
        <f t="shared" si="13"/>
        <v>9.4999999999999987E-2</v>
      </c>
      <c r="P25" s="153">
        <f t="shared" si="13"/>
        <v>0.108125</v>
      </c>
      <c r="Q25" s="154">
        <f t="shared" si="4"/>
        <v>0.99999999999999989</v>
      </c>
      <c r="R25" s="152"/>
    </row>
    <row r="26" spans="2:18" x14ac:dyDescent="0.2">
      <c r="B26" s="155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156"/>
    </row>
    <row r="27" spans="2:18" x14ac:dyDescent="0.2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18" x14ac:dyDescent="0.2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18" ht="42" x14ac:dyDescent="0.2">
      <c r="C29" s="41" t="s">
        <v>6</v>
      </c>
      <c r="D29" s="42" t="s">
        <v>39</v>
      </c>
      <c r="E29" s="43">
        <v>1</v>
      </c>
      <c r="F29" s="43">
        <v>2</v>
      </c>
      <c r="G29" s="43">
        <v>3</v>
      </c>
      <c r="H29" s="43">
        <v>4</v>
      </c>
      <c r="I29" s="43">
        <v>5</v>
      </c>
      <c r="J29" s="43">
        <v>6</v>
      </c>
      <c r="K29" s="43">
        <v>7</v>
      </c>
      <c r="L29" s="43">
        <v>8</v>
      </c>
      <c r="M29" s="43">
        <v>9</v>
      </c>
      <c r="N29" s="43">
        <v>10</v>
      </c>
      <c r="O29" s="43">
        <v>11</v>
      </c>
      <c r="P29" s="43">
        <v>12</v>
      </c>
      <c r="Q29" s="43" t="s">
        <v>30</v>
      </c>
    </row>
    <row r="30" spans="2:18" x14ac:dyDescent="0.2">
      <c r="C30" s="12" t="s">
        <v>25</v>
      </c>
      <c r="D30" s="44">
        <f t="shared" ref="D30:D37" si="14">D16</f>
        <v>282952.13772499998</v>
      </c>
      <c r="E30" s="45">
        <v>7.0000000000000007E-2</v>
      </c>
      <c r="F30" s="45">
        <v>7.0000000000000007E-2</v>
      </c>
      <c r="G30" s="45">
        <v>0.08</v>
      </c>
      <c r="H30" s="45">
        <v>7.4999999999999997E-2</v>
      </c>
      <c r="I30" s="45">
        <v>7.4999999999999997E-2</v>
      </c>
      <c r="J30" s="45">
        <v>0.09</v>
      </c>
      <c r="K30" s="45">
        <v>7.4999999999999997E-2</v>
      </c>
      <c r="L30" s="45">
        <v>7.4999999999999997E-2</v>
      </c>
      <c r="M30" s="45">
        <v>0.08</v>
      </c>
      <c r="N30" s="45">
        <v>0.1</v>
      </c>
      <c r="O30" s="45">
        <v>0.1</v>
      </c>
      <c r="P30" s="45">
        <v>0.11</v>
      </c>
      <c r="Q30" s="46">
        <f t="shared" ref="Q30:Q37" si="15">SUM(E30:P30)</f>
        <v>0.99999999999999989</v>
      </c>
    </row>
    <row r="31" spans="2:18" x14ac:dyDescent="0.2">
      <c r="C31" s="12" t="s">
        <v>27</v>
      </c>
      <c r="D31" s="44">
        <f t="shared" si="14"/>
        <v>57709.133300000001</v>
      </c>
      <c r="E31" s="45">
        <v>7.0000000000000007E-2</v>
      </c>
      <c r="F31" s="45">
        <v>7.0000000000000007E-2</v>
      </c>
      <c r="G31" s="45">
        <v>0.08</v>
      </c>
      <c r="H31" s="45">
        <v>0.08</v>
      </c>
      <c r="I31" s="45">
        <v>0.08</v>
      </c>
      <c r="J31" s="45">
        <v>0.09</v>
      </c>
      <c r="K31" s="45">
        <v>7.4999999999999997E-2</v>
      </c>
      <c r="L31" s="45">
        <v>7.4999999999999997E-2</v>
      </c>
      <c r="M31" s="45">
        <v>0.08</v>
      </c>
      <c r="N31" s="45">
        <v>9.5000000000000001E-2</v>
      </c>
      <c r="O31" s="45">
        <v>9.5000000000000001E-2</v>
      </c>
      <c r="P31" s="45">
        <v>0.11</v>
      </c>
      <c r="Q31" s="46">
        <f t="shared" si="15"/>
        <v>0.99999999999999989</v>
      </c>
    </row>
    <row r="32" spans="2:18" x14ac:dyDescent="0.2">
      <c r="C32" s="12" t="s">
        <v>29</v>
      </c>
      <c r="D32" s="44">
        <f t="shared" si="14"/>
        <v>59937.700624999998</v>
      </c>
      <c r="E32" s="45">
        <v>7.0000000000000007E-2</v>
      </c>
      <c r="F32" s="45">
        <v>7.0000000000000007E-2</v>
      </c>
      <c r="G32" s="45">
        <v>0.08</v>
      </c>
      <c r="H32" s="45">
        <v>0.08</v>
      </c>
      <c r="I32" s="45">
        <v>0.08</v>
      </c>
      <c r="J32" s="45">
        <v>0.09</v>
      </c>
      <c r="K32" s="45">
        <v>7.4999999999999997E-2</v>
      </c>
      <c r="L32" s="45">
        <v>7.4999999999999997E-2</v>
      </c>
      <c r="M32" s="45">
        <v>0.08</v>
      </c>
      <c r="N32" s="45">
        <v>9.5000000000000001E-2</v>
      </c>
      <c r="O32" s="45">
        <v>9.5000000000000001E-2</v>
      </c>
      <c r="P32" s="45">
        <v>0.11</v>
      </c>
      <c r="Q32" s="46">
        <f t="shared" si="15"/>
        <v>0.99999999999999989</v>
      </c>
    </row>
    <row r="33" spans="3:17" x14ac:dyDescent="0.2">
      <c r="C33" s="12" t="s">
        <v>69</v>
      </c>
      <c r="D33" s="44">
        <f t="shared" si="14"/>
        <v>25610.179825000003</v>
      </c>
      <c r="E33" s="45">
        <v>7.0000000000000007E-2</v>
      </c>
      <c r="F33" s="45">
        <v>7.0000000000000007E-2</v>
      </c>
      <c r="G33" s="45">
        <v>0.08</v>
      </c>
      <c r="H33" s="45">
        <v>0.08</v>
      </c>
      <c r="I33" s="45">
        <v>0.08</v>
      </c>
      <c r="J33" s="45">
        <v>0.09</v>
      </c>
      <c r="K33" s="45">
        <v>7.4999999999999997E-2</v>
      </c>
      <c r="L33" s="45">
        <v>7.4999999999999997E-2</v>
      </c>
      <c r="M33" s="45">
        <v>0.08</v>
      </c>
      <c r="N33" s="45">
        <v>9.5000000000000001E-2</v>
      </c>
      <c r="O33" s="45">
        <v>9.5000000000000001E-2</v>
      </c>
      <c r="P33" s="45">
        <v>0.11</v>
      </c>
      <c r="Q33" s="46">
        <f t="shared" si="15"/>
        <v>0.99999999999999989</v>
      </c>
    </row>
    <row r="34" spans="3:17" x14ac:dyDescent="0.2">
      <c r="C34" s="12" t="s">
        <v>32</v>
      </c>
      <c r="D34" s="44">
        <f t="shared" si="14"/>
        <v>9535.1743750000005</v>
      </c>
      <c r="E34" s="45">
        <v>7.0000000000000007E-2</v>
      </c>
      <c r="F34" s="45">
        <v>7.0000000000000007E-2</v>
      </c>
      <c r="G34" s="45">
        <v>0.08</v>
      </c>
      <c r="H34" s="45">
        <v>0.08</v>
      </c>
      <c r="I34" s="45">
        <v>0.08</v>
      </c>
      <c r="J34" s="45">
        <v>0.09</v>
      </c>
      <c r="K34" s="45">
        <v>7.4999999999999997E-2</v>
      </c>
      <c r="L34" s="45">
        <v>7.4999999999999997E-2</v>
      </c>
      <c r="M34" s="45">
        <v>0.08</v>
      </c>
      <c r="N34" s="45">
        <v>9.5000000000000001E-2</v>
      </c>
      <c r="O34" s="45">
        <v>9.5000000000000001E-2</v>
      </c>
      <c r="P34" s="45">
        <v>0.11</v>
      </c>
      <c r="Q34" s="46">
        <f t="shared" si="15"/>
        <v>0.99999999999999989</v>
      </c>
    </row>
    <row r="35" spans="3:17" x14ac:dyDescent="0.2">
      <c r="C35" s="12" t="s">
        <v>33</v>
      </c>
      <c r="D35" s="44">
        <f t="shared" si="14"/>
        <v>75979</v>
      </c>
      <c r="E35" s="45">
        <v>7.0000000000000007E-2</v>
      </c>
      <c r="F35" s="45">
        <v>7.0000000000000007E-2</v>
      </c>
      <c r="G35" s="45">
        <v>0.08</v>
      </c>
      <c r="H35" s="45">
        <v>0.08</v>
      </c>
      <c r="I35" s="45">
        <v>0.08</v>
      </c>
      <c r="J35" s="45">
        <v>0.09</v>
      </c>
      <c r="K35" s="45">
        <v>7.4999999999999997E-2</v>
      </c>
      <c r="L35" s="45">
        <v>7.4999999999999997E-2</v>
      </c>
      <c r="M35" s="45">
        <v>0.08</v>
      </c>
      <c r="N35" s="45">
        <v>9.5000000000000001E-2</v>
      </c>
      <c r="O35" s="45">
        <v>9.5000000000000001E-2</v>
      </c>
      <c r="P35" s="45">
        <v>0.11</v>
      </c>
      <c r="Q35" s="46">
        <f t="shared" si="15"/>
        <v>0.99999999999999989</v>
      </c>
    </row>
    <row r="36" spans="3:17" x14ac:dyDescent="0.2">
      <c r="C36" s="12" t="s">
        <v>34</v>
      </c>
      <c r="D36" s="44">
        <f t="shared" si="14"/>
        <v>71972.433875000002</v>
      </c>
      <c r="E36" s="45">
        <v>7.0000000000000007E-2</v>
      </c>
      <c r="F36" s="45">
        <v>7.0000000000000007E-2</v>
      </c>
      <c r="G36" s="45">
        <v>0.08</v>
      </c>
      <c r="H36" s="45">
        <v>0.08</v>
      </c>
      <c r="I36" s="45">
        <v>0.08</v>
      </c>
      <c r="J36" s="45">
        <v>0.09</v>
      </c>
      <c r="K36" s="45">
        <v>7.4999999999999997E-2</v>
      </c>
      <c r="L36" s="45">
        <v>7.4999999999999997E-2</v>
      </c>
      <c r="M36" s="45">
        <v>0.08</v>
      </c>
      <c r="N36" s="45">
        <v>9.5000000000000001E-2</v>
      </c>
      <c r="O36" s="45">
        <v>9.5000000000000001E-2</v>
      </c>
      <c r="P36" s="45">
        <v>0.11</v>
      </c>
      <c r="Q36" s="46">
        <f t="shared" si="15"/>
        <v>0.99999999999999989</v>
      </c>
    </row>
    <row r="37" spans="3:17" x14ac:dyDescent="0.2">
      <c r="C37" s="12" t="s">
        <v>35</v>
      </c>
      <c r="D37" s="44">
        <f t="shared" si="14"/>
        <v>16436.4519</v>
      </c>
      <c r="E37" s="45">
        <v>0.08</v>
      </c>
      <c r="F37" s="45">
        <v>0.08</v>
      </c>
      <c r="G37" s="45">
        <v>0.09</v>
      </c>
      <c r="H37" s="45">
        <v>0.08</v>
      </c>
      <c r="I37" s="45">
        <v>0.08</v>
      </c>
      <c r="J37" s="45">
        <v>0.09</v>
      </c>
      <c r="K37" s="45">
        <v>7.4999999999999997E-2</v>
      </c>
      <c r="L37" s="45">
        <v>0.08</v>
      </c>
      <c r="M37" s="45">
        <v>0.08</v>
      </c>
      <c r="N37" s="45">
        <v>0.08</v>
      </c>
      <c r="O37" s="45">
        <v>0.09</v>
      </c>
      <c r="P37" s="45">
        <v>9.5000000000000001E-2</v>
      </c>
      <c r="Q37" s="46">
        <f t="shared" si="15"/>
        <v>0.99999999999999978</v>
      </c>
    </row>
    <row r="38" spans="3:17" x14ac:dyDescent="0.2">
      <c r="C38" s="47" t="s">
        <v>40</v>
      </c>
      <c r="D38" s="48">
        <f>SUM(D30:D37)</f>
        <v>600132.211625</v>
      </c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3:17" x14ac:dyDescent="0.2">
      <c r="C39" s="50" t="s">
        <v>42</v>
      </c>
      <c r="D39" s="51"/>
      <c r="E39" s="52">
        <f t="shared" ref="E39:P39" si="16">AVERAGE(E30:E37)</f>
        <v>7.1250000000000008E-2</v>
      </c>
      <c r="F39" s="52">
        <f t="shared" si="16"/>
        <v>7.1250000000000008E-2</v>
      </c>
      <c r="G39" s="52">
        <f t="shared" si="16"/>
        <v>8.1250000000000003E-2</v>
      </c>
      <c r="H39" s="52">
        <f t="shared" si="16"/>
        <v>7.9375000000000001E-2</v>
      </c>
      <c r="I39" s="52">
        <f t="shared" si="16"/>
        <v>7.9375000000000001E-2</v>
      </c>
      <c r="J39" s="52">
        <f t="shared" si="16"/>
        <v>8.9999999999999983E-2</v>
      </c>
      <c r="K39" s="52">
        <f t="shared" si="16"/>
        <v>7.4999999999999997E-2</v>
      </c>
      <c r="L39" s="52">
        <f t="shared" si="16"/>
        <v>7.5624999999999998E-2</v>
      </c>
      <c r="M39" s="52">
        <f t="shared" si="16"/>
        <v>0.08</v>
      </c>
      <c r="N39" s="52">
        <f t="shared" si="16"/>
        <v>9.3749999999999986E-2</v>
      </c>
      <c r="O39" s="52">
        <f t="shared" si="16"/>
        <v>9.4999999999999987E-2</v>
      </c>
      <c r="P39" s="52">
        <f t="shared" si="16"/>
        <v>0.108125</v>
      </c>
      <c r="Q39" s="53">
        <f>SUM(E39:P39)</f>
        <v>0.99999999999999989</v>
      </c>
    </row>
  </sheetData>
  <pageMargins left="0.7" right="0.7" top="0.75" bottom="0.75" header="0.3" footer="0.3"/>
  <ignoredErrors>
    <ignoredError sqref="E39:Q3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9708-995E-9945-92DC-F6EA2821C18D}">
  <dimension ref="A1:Z53"/>
  <sheetViews>
    <sheetView showGridLines="0" tabSelected="1" defaultGridColor="0" topLeftCell="A9" colorId="22" zoomScale="114" workbookViewId="0">
      <selection activeCell="Q39" sqref="Q39:R39"/>
    </sheetView>
  </sheetViews>
  <sheetFormatPr baseColWidth="10" defaultRowHeight="16" x14ac:dyDescent="0.2"/>
  <cols>
    <col min="1" max="1" width="19" bestFit="1" customWidth="1"/>
    <col min="2" max="2" width="14.33203125" bestFit="1" customWidth="1"/>
    <col min="15" max="15" width="3.1640625" customWidth="1"/>
    <col min="16" max="16" width="18.83203125" bestFit="1" customWidth="1"/>
    <col min="25" max="25" width="11.33203125" bestFit="1" customWidth="1"/>
  </cols>
  <sheetData>
    <row r="1" spans="1:26" x14ac:dyDescent="0.2">
      <c r="A1" s="375" t="s">
        <v>78</v>
      </c>
      <c r="B1" s="375"/>
      <c r="C1" s="375"/>
      <c r="D1" s="375"/>
      <c r="E1" s="375"/>
      <c r="F1" s="375"/>
      <c r="G1" s="375"/>
      <c r="H1" s="375"/>
      <c r="I1" s="375"/>
      <c r="J1" s="375"/>
    </row>
    <row r="2" spans="1:26" x14ac:dyDescent="0.2">
      <c r="A2" s="107" t="s">
        <v>75</v>
      </c>
      <c r="B2" s="106" t="s">
        <v>25</v>
      </c>
      <c r="C2" s="106" t="s">
        <v>27</v>
      </c>
      <c r="D2" s="106" t="s">
        <v>29</v>
      </c>
      <c r="E2" s="106" t="s">
        <v>69</v>
      </c>
      <c r="F2" s="106" t="s">
        <v>32</v>
      </c>
      <c r="G2" s="106" t="s">
        <v>53</v>
      </c>
      <c r="H2" s="106" t="s">
        <v>34</v>
      </c>
      <c r="I2" s="106" t="s">
        <v>54</v>
      </c>
      <c r="J2" s="106" t="s">
        <v>56</v>
      </c>
    </row>
    <row r="3" spans="1:26" ht="34" x14ac:dyDescent="0.2">
      <c r="A3" s="122" t="s">
        <v>76</v>
      </c>
      <c r="B3" s="123">
        <f>'2026 Bütçe - 600 (Aylık)'!D16</f>
        <v>282952.13772499998</v>
      </c>
      <c r="C3" s="123">
        <f>'2026 Bütçe - 600 (Aylık)'!D17</f>
        <v>57709.133300000001</v>
      </c>
      <c r="D3" s="123">
        <f>'2026 Bütçe - 600 (Aylık)'!D18</f>
        <v>59937.700624999998</v>
      </c>
      <c r="E3" s="123">
        <f>'2026 Bütçe - 600 (Aylık)'!D19</f>
        <v>25610.179825000003</v>
      </c>
      <c r="F3" s="123">
        <f>'2026 Bütçe - 600 (Aylık)'!D20</f>
        <v>9535.1743750000005</v>
      </c>
      <c r="G3" s="123">
        <f>'2026 Bütçe - 600 (Aylık)'!D21</f>
        <v>75979</v>
      </c>
      <c r="H3" s="123">
        <f>'2026 Bütçe - 600 (Aylık)'!D22</f>
        <v>71972.433875000002</v>
      </c>
      <c r="I3" s="123">
        <f>'2026 Bütçe - 600 (Aylık)'!D23</f>
        <v>16436.4519</v>
      </c>
      <c r="J3" s="123">
        <f>SUM(B3:I3)</f>
        <v>600132.211625</v>
      </c>
    </row>
    <row r="4" spans="1:26" x14ac:dyDescent="0.2">
      <c r="A4" s="119" t="s">
        <v>26</v>
      </c>
      <c r="B4" s="120">
        <f>'2026 Bütçe - 600 (Yıllık)'!I6</f>
        <v>105080.4105</v>
      </c>
      <c r="C4" s="120">
        <f>'2026 Bütçe - 600 (Yıllık)'!I7</f>
        <v>41258.034</v>
      </c>
      <c r="D4" s="120">
        <f>'2026 Bütçe - 600 (Yıllık)'!I8</f>
        <v>37527.014999999999</v>
      </c>
      <c r="E4" s="120">
        <f>'2026 Bütçe - 600 (Yıllık)'!I9</f>
        <v>25247.208000000002</v>
      </c>
      <c r="F4" s="120">
        <f>'2026 Bütçe - 600 (Yıllık)'!I10</f>
        <v>5709.6675000000005</v>
      </c>
      <c r="G4" s="120">
        <f>'2026 Bütçe - 600 (Yıllık)'!I11</f>
        <v>40000</v>
      </c>
      <c r="H4" s="120">
        <f>'2026 Bütçe - 600 (Yıllık)'!I12</f>
        <v>7597.183</v>
      </c>
      <c r="I4" s="120">
        <f>'2026 Bütçe - 600 (Yıllık)'!I13</f>
        <v>16436.4519</v>
      </c>
      <c r="J4" s="120">
        <f>SUM(B4:I4)</f>
        <v>278855.96990000003</v>
      </c>
    </row>
    <row r="5" spans="1:26" x14ac:dyDescent="0.2">
      <c r="A5" s="119" t="s">
        <v>28</v>
      </c>
      <c r="B5" s="120">
        <f>'2026 Bütçe - 600 (Yıllık)'!M6</f>
        <v>177871.72722499998</v>
      </c>
      <c r="C5" s="120">
        <f>'2026 Bütçe - 600 (Yıllık)'!M7</f>
        <v>16451.099300000002</v>
      </c>
      <c r="D5" s="120">
        <f>'2026 Bütçe - 600 (Yıllık)'!M8</f>
        <v>22410.685624999998</v>
      </c>
      <c r="E5" s="120">
        <f>'2026 Bütçe - 600 (Yıllık)'!M9</f>
        <v>362.97182499999974</v>
      </c>
      <c r="F5" s="120">
        <f>'2026 Bütçe - 600 (Yıllık)'!M10</f>
        <v>3825.506875</v>
      </c>
      <c r="G5" s="120">
        <f>'2026 Bütçe - 600 (Yıllık)'!M11</f>
        <v>35979</v>
      </c>
      <c r="H5" s="120">
        <f>'2026 Bütçe - 600 (Yıllık)'!M12</f>
        <v>64375.250874999998</v>
      </c>
      <c r="I5" s="120">
        <f>'2026 Bütçe - 600 (Yıllık)'!M13</f>
        <v>0</v>
      </c>
      <c r="J5" s="120">
        <f>SUM(B5:I5)</f>
        <v>321276.24172499997</v>
      </c>
    </row>
    <row r="6" spans="1:26" x14ac:dyDescent="0.2">
      <c r="B6" s="163"/>
      <c r="C6" s="163"/>
      <c r="D6" s="163"/>
      <c r="E6" s="163"/>
      <c r="F6" s="163"/>
      <c r="G6" s="163"/>
      <c r="H6" s="163"/>
      <c r="I6" s="163"/>
      <c r="J6" s="163"/>
    </row>
    <row r="7" spans="1:26" x14ac:dyDescent="0.2">
      <c r="A7" s="119" t="s">
        <v>26</v>
      </c>
      <c r="B7" s="121">
        <f>B4/B$3</f>
        <v>0.37137167912874092</v>
      </c>
      <c r="C7" s="121">
        <f>C4/C$3</f>
        <v>0.71493075083142865</v>
      </c>
      <c r="D7" s="121">
        <f t="shared" ref="D7:I7" si="0">D4/D$3</f>
        <v>0.62610034433565664</v>
      </c>
      <c r="E7" s="121">
        <f t="shared" si="0"/>
        <v>0.98582704895161744</v>
      </c>
      <c r="F7" s="121">
        <f t="shared" si="0"/>
        <v>0.59880053320996551</v>
      </c>
      <c r="G7" s="121">
        <f>G4/G$3</f>
        <v>0.52646125903210095</v>
      </c>
      <c r="H7" s="121">
        <f t="shared" si="0"/>
        <v>0.105556844349527</v>
      </c>
      <c r="I7" s="121">
        <f t="shared" si="0"/>
        <v>1</v>
      </c>
      <c r="J7" s="121">
        <f t="shared" ref="J7" si="1">J4/J$3</f>
        <v>0.46465756128125751</v>
      </c>
    </row>
    <row r="8" spans="1:26" x14ac:dyDescent="0.2">
      <c r="A8" s="119" t="s">
        <v>28</v>
      </c>
      <c r="B8" s="121">
        <f>B5/B$3</f>
        <v>0.62862832087125908</v>
      </c>
      <c r="C8" s="121">
        <f>C5/C$3</f>
        <v>0.2850692491685714</v>
      </c>
      <c r="D8" s="121">
        <f t="shared" ref="D8:I8" si="2">D5/D$3</f>
        <v>0.37389965566434336</v>
      </c>
      <c r="E8" s="121">
        <f t="shared" si="2"/>
        <v>1.4172951048382563E-2</v>
      </c>
      <c r="F8" s="121">
        <f t="shared" si="2"/>
        <v>0.40119946679003443</v>
      </c>
      <c r="G8" s="121">
        <f t="shared" si="2"/>
        <v>0.47353874096789905</v>
      </c>
      <c r="H8" s="121">
        <f t="shared" si="2"/>
        <v>0.89444315565047294</v>
      </c>
      <c r="I8" s="121">
        <f t="shared" si="2"/>
        <v>0</v>
      </c>
      <c r="J8" s="121">
        <f t="shared" ref="J8" si="3">J5/J$3</f>
        <v>0.53534243871874254</v>
      </c>
    </row>
    <row r="11" spans="1:26" x14ac:dyDescent="0.2">
      <c r="A11" s="374" t="s">
        <v>77</v>
      </c>
      <c r="B11" s="374"/>
      <c r="C11" s="374"/>
      <c r="D11" s="374"/>
      <c r="E11" s="374"/>
      <c r="F11" s="374"/>
      <c r="G11" s="374"/>
      <c r="H11" s="374"/>
      <c r="I11" s="374"/>
      <c r="J11" s="374"/>
      <c r="K11" s="374"/>
      <c r="L11" s="374"/>
      <c r="M11" s="374"/>
      <c r="N11" s="374"/>
      <c r="O11" s="83"/>
      <c r="P11" s="374" t="s">
        <v>73</v>
      </c>
      <c r="Q11" s="374"/>
      <c r="R11" s="374"/>
      <c r="S11" s="374"/>
      <c r="T11" s="374"/>
      <c r="U11" s="374"/>
    </row>
    <row r="12" spans="1:26" x14ac:dyDescent="0.2">
      <c r="A12" s="107" t="s">
        <v>6</v>
      </c>
      <c r="B12" s="106">
        <v>1</v>
      </c>
      <c r="C12" s="106">
        <v>2</v>
      </c>
      <c r="D12" s="106">
        <v>3</v>
      </c>
      <c r="E12" s="106">
        <v>4</v>
      </c>
      <c r="F12" s="106">
        <v>5</v>
      </c>
      <c r="G12" s="106">
        <v>6</v>
      </c>
      <c r="H12" s="106">
        <v>7</v>
      </c>
      <c r="I12" s="106">
        <v>8</v>
      </c>
      <c r="J12" s="106">
        <v>9</v>
      </c>
      <c r="K12" s="106">
        <v>10</v>
      </c>
      <c r="L12" s="106">
        <v>11</v>
      </c>
      <c r="M12" s="106">
        <v>12</v>
      </c>
      <c r="N12" s="106" t="s">
        <v>30</v>
      </c>
      <c r="O12" s="83"/>
      <c r="P12" s="107" t="s">
        <v>6</v>
      </c>
      <c r="Q12" s="106">
        <v>1</v>
      </c>
      <c r="R12" s="106">
        <v>2</v>
      </c>
      <c r="S12" s="106">
        <v>3</v>
      </c>
      <c r="T12" s="106">
        <v>4</v>
      </c>
      <c r="U12" s="106" t="s">
        <v>30</v>
      </c>
    </row>
    <row r="13" spans="1:26" s="129" customFormat="1" x14ac:dyDescent="0.2">
      <c r="A13" s="110" t="s">
        <v>25</v>
      </c>
      <c r="B13" s="109">
        <f>'2026 Bütçe - 600 (Aylık)'!E16</f>
        <v>19806.649640750002</v>
      </c>
      <c r="C13" s="109">
        <f>'2026 Bütçe - 600 (Aylık)'!F16</f>
        <v>19806.649640750002</v>
      </c>
      <c r="D13" s="109">
        <f>'2026 Bütçe - 600 (Aylık)'!G16</f>
        <v>22636.171017999997</v>
      </c>
      <c r="E13" s="109">
        <f>'2026 Bütçe - 600 (Aylık)'!H16</f>
        <v>21221.410329374998</v>
      </c>
      <c r="F13" s="109">
        <f>'2026 Bütçe - 600 (Aylık)'!I16</f>
        <v>21221.410329374998</v>
      </c>
      <c r="G13" s="109">
        <f>'2026 Bütçe - 600 (Aylık)'!J16</f>
        <v>25465.692395249996</v>
      </c>
      <c r="H13" s="109">
        <f>'2026 Bütçe - 600 (Aylık)'!K16</f>
        <v>21221.410329374998</v>
      </c>
      <c r="I13" s="109">
        <f>'2026 Bütçe - 600 (Aylık)'!L16</f>
        <v>21221.410329374998</v>
      </c>
      <c r="J13" s="109">
        <f>'2026 Bütçe - 600 (Aylık)'!M16</f>
        <v>22636.171017999997</v>
      </c>
      <c r="K13" s="109">
        <f>'2026 Bütçe - 600 (Aylık)'!N16</f>
        <v>28295.213772499999</v>
      </c>
      <c r="L13" s="109">
        <f>'2026 Bütçe - 600 (Aylık)'!O16</f>
        <v>28295.213772499999</v>
      </c>
      <c r="M13" s="109">
        <f>'2026 Bütçe - 600 (Aylık)'!P16</f>
        <v>31124.735149749999</v>
      </c>
      <c r="N13" s="109">
        <f>SUM(B13:M13)</f>
        <v>282952.13772499998</v>
      </c>
      <c r="O13" s="128"/>
      <c r="P13" s="110" t="s">
        <v>25</v>
      </c>
      <c r="Q13" s="109">
        <f t="shared" ref="Q13:Q36" si="4">SUM(B13:D13)</f>
        <v>62249.470299499997</v>
      </c>
      <c r="R13" s="109">
        <f t="shared" ref="R13:R36" si="5">SUM(E13:G13)</f>
        <v>67908.513053999995</v>
      </c>
      <c r="S13" s="109">
        <f t="shared" ref="S13:S36" si="6">SUM(H13:J13)</f>
        <v>65078.991676749996</v>
      </c>
      <c r="T13" s="109">
        <f t="shared" ref="T13:T36" si="7">SUM(K13:M13)</f>
        <v>87715.162694750004</v>
      </c>
      <c r="U13" s="109">
        <f t="shared" ref="U13:U36" si="8">SUM(Q13:T13)</f>
        <v>282952.13772499998</v>
      </c>
    </row>
    <row r="14" spans="1:26" s="127" customFormat="1" x14ac:dyDescent="0.2">
      <c r="A14" s="119" t="s">
        <v>26</v>
      </c>
      <c r="B14" s="124">
        <f>$B$7*B13</f>
        <v>7355.6287350000011</v>
      </c>
      <c r="C14" s="124">
        <f t="shared" ref="C14:M14" si="9">$B$7*C13</f>
        <v>7355.6287350000011</v>
      </c>
      <c r="D14" s="124">
        <f t="shared" si="9"/>
        <v>8406.4328399999995</v>
      </c>
      <c r="E14" s="124">
        <f t="shared" si="9"/>
        <v>7881.0307874999999</v>
      </c>
      <c r="F14" s="124">
        <f t="shared" si="9"/>
        <v>7881.0307874999999</v>
      </c>
      <c r="G14" s="124">
        <f t="shared" si="9"/>
        <v>9457.2369449999987</v>
      </c>
      <c r="H14" s="124">
        <f t="shared" si="9"/>
        <v>7881.0307874999999</v>
      </c>
      <c r="I14" s="124">
        <f t="shared" si="9"/>
        <v>7881.0307874999999</v>
      </c>
      <c r="J14" s="124">
        <f t="shared" si="9"/>
        <v>8406.4328399999995</v>
      </c>
      <c r="K14" s="124">
        <f t="shared" si="9"/>
        <v>10508.04105</v>
      </c>
      <c r="L14" s="124">
        <f t="shared" si="9"/>
        <v>10508.04105</v>
      </c>
      <c r="M14" s="124">
        <f t="shared" si="9"/>
        <v>11558.845155000001</v>
      </c>
      <c r="N14" s="124">
        <f t="shared" ref="N14:N36" si="10">SUM(B14:M14)</f>
        <v>105080.4105</v>
      </c>
      <c r="O14" s="126"/>
      <c r="P14" s="119" t="s">
        <v>26</v>
      </c>
      <c r="Q14" s="124">
        <f t="shared" si="4"/>
        <v>23117.690310000002</v>
      </c>
      <c r="R14" s="124">
        <f t="shared" si="5"/>
        <v>25219.298519999997</v>
      </c>
      <c r="S14" s="124">
        <f t="shared" si="6"/>
        <v>24168.494415000001</v>
      </c>
      <c r="T14" s="124">
        <f t="shared" si="7"/>
        <v>32574.927255000002</v>
      </c>
      <c r="U14" s="125">
        <f t="shared" si="8"/>
        <v>105080.41050000001</v>
      </c>
    </row>
    <row r="15" spans="1:26" s="127" customFormat="1" x14ac:dyDescent="0.2">
      <c r="A15" s="119" t="s">
        <v>28</v>
      </c>
      <c r="B15" s="124">
        <f>$B$8*B13</f>
        <v>12451.02090575</v>
      </c>
      <c r="C15" s="124">
        <f t="shared" ref="C15:M15" si="11">$B$8*C13</f>
        <v>12451.02090575</v>
      </c>
      <c r="D15" s="124">
        <f t="shared" si="11"/>
        <v>14229.738177999998</v>
      </c>
      <c r="E15" s="124">
        <f t="shared" si="11"/>
        <v>13340.379541874998</v>
      </c>
      <c r="F15" s="124">
        <f t="shared" si="11"/>
        <v>13340.379541874998</v>
      </c>
      <c r="G15" s="124">
        <f t="shared" si="11"/>
        <v>16008.455450249998</v>
      </c>
      <c r="H15" s="124">
        <f t="shared" si="11"/>
        <v>13340.379541874998</v>
      </c>
      <c r="I15" s="124">
        <f t="shared" si="11"/>
        <v>13340.379541874998</v>
      </c>
      <c r="J15" s="124">
        <f t="shared" si="11"/>
        <v>14229.738177999998</v>
      </c>
      <c r="K15" s="124">
        <f t="shared" si="11"/>
        <v>17787.1727225</v>
      </c>
      <c r="L15" s="124">
        <f t="shared" si="11"/>
        <v>17787.1727225</v>
      </c>
      <c r="M15" s="124">
        <f t="shared" si="11"/>
        <v>19565.889994749999</v>
      </c>
      <c r="N15" s="124">
        <f t="shared" si="10"/>
        <v>177871.72722499998</v>
      </c>
      <c r="O15" s="126"/>
      <c r="P15" s="119" t="s">
        <v>28</v>
      </c>
      <c r="Q15" s="124">
        <f t="shared" si="4"/>
        <v>39131.779989499999</v>
      </c>
      <c r="R15" s="124">
        <f t="shared" si="5"/>
        <v>42689.214533999992</v>
      </c>
      <c r="S15" s="124">
        <f t="shared" si="6"/>
        <v>40910.497261749995</v>
      </c>
      <c r="T15" s="124">
        <f t="shared" si="7"/>
        <v>55140.235439750002</v>
      </c>
      <c r="U15" s="125">
        <f t="shared" si="8"/>
        <v>177871.72722499998</v>
      </c>
    </row>
    <row r="16" spans="1:26" s="129" customFormat="1" x14ac:dyDescent="0.2">
      <c r="A16" s="110" t="s">
        <v>27</v>
      </c>
      <c r="B16" s="109">
        <f>'2026 Bütçe - 600 (Aylık)'!E17</f>
        <v>4039.6393310000003</v>
      </c>
      <c r="C16" s="109">
        <f>'2026 Bütçe - 600 (Aylık)'!F17</f>
        <v>4039.6393310000003</v>
      </c>
      <c r="D16" s="109">
        <f>'2026 Bütçe - 600 (Aylık)'!G17</f>
        <v>4616.7306640000006</v>
      </c>
      <c r="E16" s="109">
        <f>'2026 Bütçe - 600 (Aylık)'!H17</f>
        <v>4616.7306640000006</v>
      </c>
      <c r="F16" s="109">
        <f>'2026 Bütçe - 600 (Aylık)'!I17</f>
        <v>4616.7306640000006</v>
      </c>
      <c r="G16" s="109">
        <f>'2026 Bütçe - 600 (Aylık)'!J17</f>
        <v>5193.821997</v>
      </c>
      <c r="H16" s="109">
        <f>'2026 Bütçe - 600 (Aylık)'!K17</f>
        <v>4328.1849974999996</v>
      </c>
      <c r="I16" s="109">
        <f>'2026 Bütçe - 600 (Aylık)'!L17</f>
        <v>4328.1849974999996</v>
      </c>
      <c r="J16" s="109">
        <f>'2026 Bütçe - 600 (Aylık)'!M17</f>
        <v>4616.7306640000006</v>
      </c>
      <c r="K16" s="109">
        <f>'2026 Bütçe - 600 (Aylık)'!N17</f>
        <v>5482.3676635000002</v>
      </c>
      <c r="L16" s="109">
        <f>'2026 Bütçe - 600 (Aylık)'!O17</f>
        <v>5482.3676635000002</v>
      </c>
      <c r="M16" s="109">
        <f>'2026 Bütçe - 600 (Aylık)'!P17</f>
        <v>6348.0046630000006</v>
      </c>
      <c r="N16" s="109">
        <f>SUM(B16:M16)</f>
        <v>57709.133300000009</v>
      </c>
      <c r="O16" s="128"/>
      <c r="P16" s="110" t="s">
        <v>27</v>
      </c>
      <c r="Q16" s="109">
        <f t="shared" si="4"/>
        <v>12696.009326000001</v>
      </c>
      <c r="R16" s="109">
        <f t="shared" si="5"/>
        <v>14427.283325</v>
      </c>
      <c r="S16" s="109">
        <f t="shared" si="6"/>
        <v>13273.100659</v>
      </c>
      <c r="T16" s="109">
        <f t="shared" si="7"/>
        <v>17312.739990000002</v>
      </c>
      <c r="U16" s="109">
        <f t="shared" si="8"/>
        <v>57709.133300000001</v>
      </c>
      <c r="Y16" s="129" t="s">
        <v>165</v>
      </c>
      <c r="Z16" s="129" t="s">
        <v>167</v>
      </c>
    </row>
    <row r="17" spans="1:26" x14ac:dyDescent="0.2">
      <c r="A17" s="119" t="s">
        <v>26</v>
      </c>
      <c r="B17" s="124">
        <f>B16*$C$7</f>
        <v>2888.0623800000003</v>
      </c>
      <c r="C17" s="124">
        <f t="shared" ref="C17:M17" si="12">C16*$C$7</f>
        <v>2888.0623800000003</v>
      </c>
      <c r="D17" s="124">
        <f t="shared" si="12"/>
        <v>3300.6427200000007</v>
      </c>
      <c r="E17" s="124">
        <f t="shared" si="12"/>
        <v>3300.6427200000007</v>
      </c>
      <c r="F17" s="124">
        <f t="shared" si="12"/>
        <v>3300.6427200000007</v>
      </c>
      <c r="G17" s="124">
        <f t="shared" si="12"/>
        <v>3713.2230600000003</v>
      </c>
      <c r="H17" s="124">
        <f t="shared" si="12"/>
        <v>3094.3525499999996</v>
      </c>
      <c r="I17" s="124">
        <f t="shared" si="12"/>
        <v>3094.3525499999996</v>
      </c>
      <c r="J17" s="124">
        <f t="shared" si="12"/>
        <v>3300.6427200000007</v>
      </c>
      <c r="K17" s="124">
        <f t="shared" si="12"/>
        <v>3919.5132300000005</v>
      </c>
      <c r="L17" s="124">
        <f t="shared" si="12"/>
        <v>3919.5132300000005</v>
      </c>
      <c r="M17" s="124">
        <f t="shared" si="12"/>
        <v>4538.3837400000002</v>
      </c>
      <c r="N17" s="124">
        <f t="shared" si="10"/>
        <v>41258.033999999992</v>
      </c>
      <c r="O17" s="83"/>
      <c r="P17" s="119" t="s">
        <v>26</v>
      </c>
      <c r="Q17" s="108">
        <f t="shared" si="4"/>
        <v>9076.7674800000023</v>
      </c>
      <c r="R17" s="108">
        <f t="shared" si="5"/>
        <v>10314.508500000002</v>
      </c>
      <c r="S17" s="108">
        <f t="shared" si="6"/>
        <v>9489.347819999999</v>
      </c>
      <c r="T17" s="108">
        <f t="shared" si="7"/>
        <v>12377.410200000002</v>
      </c>
      <c r="U17" s="109">
        <f t="shared" si="8"/>
        <v>41258.034000000007</v>
      </c>
      <c r="X17" s="129" t="s">
        <v>166</v>
      </c>
      <c r="Y17" s="320" t="s">
        <v>26</v>
      </c>
      <c r="Z17" s="317" t="s">
        <v>26</v>
      </c>
    </row>
    <row r="18" spans="1:26" x14ac:dyDescent="0.2">
      <c r="A18" s="119" t="s">
        <v>28</v>
      </c>
      <c r="B18" s="124">
        <f>B16*$C$8</f>
        <v>1151.5769510000002</v>
      </c>
      <c r="C18" s="124">
        <f t="shared" ref="C18:M18" si="13">C16*$C$8</f>
        <v>1151.5769510000002</v>
      </c>
      <c r="D18" s="124">
        <f t="shared" si="13"/>
        <v>1316.0879440000003</v>
      </c>
      <c r="E18" s="124">
        <f t="shared" si="13"/>
        <v>1316.0879440000003</v>
      </c>
      <c r="F18" s="124">
        <f t="shared" si="13"/>
        <v>1316.0879440000003</v>
      </c>
      <c r="G18" s="124">
        <f t="shared" si="13"/>
        <v>1480.5989370000002</v>
      </c>
      <c r="H18" s="124">
        <f t="shared" si="13"/>
        <v>1233.8324474999999</v>
      </c>
      <c r="I18" s="124">
        <f t="shared" si="13"/>
        <v>1233.8324474999999</v>
      </c>
      <c r="J18" s="124">
        <f t="shared" si="13"/>
        <v>1316.0879440000003</v>
      </c>
      <c r="K18" s="124">
        <f t="shared" si="13"/>
        <v>1562.8544335000001</v>
      </c>
      <c r="L18" s="124">
        <f t="shared" si="13"/>
        <v>1562.8544335000001</v>
      </c>
      <c r="M18" s="124">
        <f t="shared" si="13"/>
        <v>1809.6209230000004</v>
      </c>
      <c r="N18" s="124">
        <f t="shared" si="10"/>
        <v>16451.099300000005</v>
      </c>
      <c r="O18" s="83"/>
      <c r="P18" s="119" t="s">
        <v>28</v>
      </c>
      <c r="Q18" s="108">
        <f t="shared" si="4"/>
        <v>3619.2418460000008</v>
      </c>
      <c r="R18" s="108">
        <f t="shared" si="5"/>
        <v>4112.7748250000004</v>
      </c>
      <c r="S18" s="108">
        <f t="shared" si="6"/>
        <v>3783.7528390000002</v>
      </c>
      <c r="T18" s="108">
        <f t="shared" si="7"/>
        <v>4935.3297900000007</v>
      </c>
      <c r="U18" s="109">
        <f t="shared" si="8"/>
        <v>16451.099300000002</v>
      </c>
      <c r="X18" t="s">
        <v>168</v>
      </c>
      <c r="Y18" s="319" t="s">
        <v>26</v>
      </c>
      <c r="Z18" s="318" t="s">
        <v>28</v>
      </c>
    </row>
    <row r="19" spans="1:26" s="129" customFormat="1" x14ac:dyDescent="0.2">
      <c r="A19" s="110" t="s">
        <v>29</v>
      </c>
      <c r="B19" s="109">
        <f>'2026 Bütçe - 600 (Aylık)'!E18</f>
        <v>4195.6390437500004</v>
      </c>
      <c r="C19" s="109">
        <f>'2026 Bütçe - 600 (Aylık)'!F18</f>
        <v>4195.6390437500004</v>
      </c>
      <c r="D19" s="109">
        <f>'2026 Bütçe - 600 (Aylık)'!G18</f>
        <v>4795.0160500000002</v>
      </c>
      <c r="E19" s="109">
        <f>'2026 Bütçe - 600 (Aylık)'!H18</f>
        <v>4795.0160500000002</v>
      </c>
      <c r="F19" s="109">
        <f>'2026 Bütçe - 600 (Aylık)'!I18</f>
        <v>4795.0160500000002</v>
      </c>
      <c r="G19" s="109">
        <f>'2026 Bütçe - 600 (Aylık)'!J18</f>
        <v>5394.39305625</v>
      </c>
      <c r="H19" s="109">
        <f>'2026 Bütçe - 600 (Aylık)'!K18</f>
        <v>4495.3275468749998</v>
      </c>
      <c r="I19" s="109">
        <f>'2026 Bütçe - 600 (Aylık)'!L18</f>
        <v>4495.3275468749998</v>
      </c>
      <c r="J19" s="109">
        <f>'2026 Bütçe - 600 (Aylık)'!M18</f>
        <v>4795.0160500000002</v>
      </c>
      <c r="K19" s="109">
        <f>'2026 Bütçe - 600 (Aylık)'!N18</f>
        <v>5694.0815593749994</v>
      </c>
      <c r="L19" s="109">
        <f>'2026 Bütçe - 600 (Aylık)'!O18</f>
        <v>5694.0815593749994</v>
      </c>
      <c r="M19" s="109">
        <f>'2026 Bütçe - 600 (Aylık)'!P18</f>
        <v>6593.1470687499996</v>
      </c>
      <c r="N19" s="109">
        <f>SUM(B19:M19)</f>
        <v>59937.70062499999</v>
      </c>
      <c r="O19" s="128"/>
      <c r="P19" s="110" t="s">
        <v>29</v>
      </c>
      <c r="Q19" s="109">
        <f t="shared" si="4"/>
        <v>13186.294137500001</v>
      </c>
      <c r="R19" s="109">
        <f t="shared" si="5"/>
        <v>14984.425156249999</v>
      </c>
      <c r="S19" s="109">
        <f t="shared" si="6"/>
        <v>13785.67114375</v>
      </c>
      <c r="T19" s="109">
        <f t="shared" si="7"/>
        <v>17981.310187499999</v>
      </c>
      <c r="U19" s="109">
        <f t="shared" si="8"/>
        <v>59937.700624999998</v>
      </c>
    </row>
    <row r="20" spans="1:26" x14ac:dyDescent="0.2">
      <c r="A20" s="119" t="s">
        <v>26</v>
      </c>
      <c r="B20" s="124">
        <f>B19*$D$7</f>
        <v>2626.8910500000006</v>
      </c>
      <c r="C20" s="124">
        <f t="shared" ref="C20:M20" si="14">C19*$D$7</f>
        <v>2626.8910500000006</v>
      </c>
      <c r="D20" s="124">
        <f t="shared" si="14"/>
        <v>3002.1612000000005</v>
      </c>
      <c r="E20" s="124">
        <f t="shared" si="14"/>
        <v>3002.1612000000005</v>
      </c>
      <c r="F20" s="124">
        <f t="shared" si="14"/>
        <v>3002.1612000000005</v>
      </c>
      <c r="G20" s="124">
        <f t="shared" si="14"/>
        <v>3377.4313500000003</v>
      </c>
      <c r="H20" s="124">
        <f t="shared" si="14"/>
        <v>2814.5261249999999</v>
      </c>
      <c r="I20" s="124">
        <f t="shared" si="14"/>
        <v>2814.5261249999999</v>
      </c>
      <c r="J20" s="124">
        <f t="shared" si="14"/>
        <v>3002.1612000000005</v>
      </c>
      <c r="K20" s="124">
        <f t="shared" si="14"/>
        <v>3565.066425</v>
      </c>
      <c r="L20" s="124">
        <f t="shared" si="14"/>
        <v>3565.066425</v>
      </c>
      <c r="M20" s="124">
        <f t="shared" si="14"/>
        <v>4127.9716500000004</v>
      </c>
      <c r="N20" s="124">
        <f t="shared" si="10"/>
        <v>37527.015000000007</v>
      </c>
      <c r="O20" s="83"/>
      <c r="P20" s="119" t="s">
        <v>26</v>
      </c>
      <c r="Q20" s="108">
        <f t="shared" si="4"/>
        <v>8255.9433000000026</v>
      </c>
      <c r="R20" s="108">
        <f t="shared" si="5"/>
        <v>9381.7537500000017</v>
      </c>
      <c r="S20" s="108">
        <f t="shared" si="6"/>
        <v>8631.2134499999993</v>
      </c>
      <c r="T20" s="108">
        <f t="shared" si="7"/>
        <v>11258.104500000001</v>
      </c>
      <c r="U20" s="109">
        <f t="shared" si="8"/>
        <v>37527.014999999999</v>
      </c>
    </row>
    <row r="21" spans="1:26" x14ac:dyDescent="0.2">
      <c r="A21" s="119" t="s">
        <v>28</v>
      </c>
      <c r="B21" s="124">
        <f>B19*$D$8</f>
        <v>1568.74799375</v>
      </c>
      <c r="C21" s="124">
        <f t="shared" ref="C21:M21" si="15">C19*$D$8</f>
        <v>1568.74799375</v>
      </c>
      <c r="D21" s="124">
        <f t="shared" si="15"/>
        <v>1792.8548499999999</v>
      </c>
      <c r="E21" s="124">
        <f t="shared" si="15"/>
        <v>1792.8548499999999</v>
      </c>
      <c r="F21" s="124">
        <f t="shared" si="15"/>
        <v>1792.8548499999999</v>
      </c>
      <c r="G21" s="124">
        <f t="shared" si="15"/>
        <v>2016.9617062499997</v>
      </c>
      <c r="H21" s="124">
        <f t="shared" si="15"/>
        <v>1680.8014218749997</v>
      </c>
      <c r="I21" s="124">
        <f t="shared" si="15"/>
        <v>1680.8014218749997</v>
      </c>
      <c r="J21" s="124">
        <f t="shared" si="15"/>
        <v>1792.8548499999999</v>
      </c>
      <c r="K21" s="124">
        <f t="shared" si="15"/>
        <v>2129.0151343749994</v>
      </c>
      <c r="L21" s="124">
        <f t="shared" si="15"/>
        <v>2129.0151343749994</v>
      </c>
      <c r="M21" s="124">
        <f t="shared" si="15"/>
        <v>2465.1754187499996</v>
      </c>
      <c r="N21" s="124">
        <f t="shared" si="10"/>
        <v>22410.685624999998</v>
      </c>
      <c r="O21" s="83"/>
      <c r="P21" s="119" t="s">
        <v>28</v>
      </c>
      <c r="Q21" s="108">
        <f t="shared" si="4"/>
        <v>4930.3508375000001</v>
      </c>
      <c r="R21" s="108">
        <f t="shared" si="5"/>
        <v>5602.6714062499996</v>
      </c>
      <c r="S21" s="108">
        <f t="shared" si="6"/>
        <v>5154.4576937499996</v>
      </c>
      <c r="T21" s="108">
        <f t="shared" si="7"/>
        <v>6723.205687499998</v>
      </c>
      <c r="U21" s="109">
        <f t="shared" si="8"/>
        <v>22410.685624999998</v>
      </c>
    </row>
    <row r="22" spans="1:26" s="129" customFormat="1" x14ac:dyDescent="0.2">
      <c r="A22" s="110" t="s">
        <v>69</v>
      </c>
      <c r="B22" s="109">
        <f>'2026 Bütçe - 600 (Aylık)'!E19</f>
        <v>1792.7125877500005</v>
      </c>
      <c r="C22" s="109">
        <f>'2026 Bütçe - 600 (Aylık)'!F19</f>
        <v>1792.7125877500005</v>
      </c>
      <c r="D22" s="109">
        <f>'2026 Bütçe - 600 (Aylık)'!G19</f>
        <v>2048.8143860000005</v>
      </c>
      <c r="E22" s="109">
        <f>'2026 Bütçe - 600 (Aylık)'!H19</f>
        <v>2048.8143860000005</v>
      </c>
      <c r="F22" s="109">
        <f>'2026 Bütçe - 600 (Aylık)'!I19</f>
        <v>2048.8143860000005</v>
      </c>
      <c r="G22" s="109">
        <f>'2026 Bütçe - 600 (Aylık)'!J19</f>
        <v>2304.9161842500002</v>
      </c>
      <c r="H22" s="109">
        <f>'2026 Bütçe - 600 (Aylık)'!K19</f>
        <v>1920.7634868750001</v>
      </c>
      <c r="I22" s="109">
        <f>'2026 Bütçe - 600 (Aylık)'!L19</f>
        <v>1920.7634868750001</v>
      </c>
      <c r="J22" s="109">
        <f>'2026 Bütçe - 600 (Aylık)'!M19</f>
        <v>2048.8143860000005</v>
      </c>
      <c r="K22" s="109">
        <f>'2026 Bütçe - 600 (Aylık)'!N19</f>
        <v>2432.9670833750001</v>
      </c>
      <c r="L22" s="109">
        <f>'2026 Bütçe - 600 (Aylık)'!O19</f>
        <v>2432.9670833750001</v>
      </c>
      <c r="M22" s="109">
        <f>'2026 Bütçe - 600 (Aylık)'!P19</f>
        <v>2817.1197807500002</v>
      </c>
      <c r="N22" s="109">
        <f>SUM(B22:M22)</f>
        <v>25610.179824999999</v>
      </c>
      <c r="O22" s="128"/>
      <c r="P22" s="110" t="s">
        <v>69</v>
      </c>
      <c r="Q22" s="109">
        <f t="shared" si="4"/>
        <v>5634.2395615000014</v>
      </c>
      <c r="R22" s="109">
        <f t="shared" si="5"/>
        <v>6402.5449562500016</v>
      </c>
      <c r="S22" s="109">
        <f t="shared" si="6"/>
        <v>5890.3413597500003</v>
      </c>
      <c r="T22" s="109">
        <f t="shared" si="7"/>
        <v>7683.0539475000005</v>
      </c>
      <c r="U22" s="109">
        <f t="shared" si="8"/>
        <v>25610.179825000003</v>
      </c>
    </row>
    <row r="23" spans="1:26" x14ac:dyDescent="0.2">
      <c r="A23" s="119" t="s">
        <v>26</v>
      </c>
      <c r="B23" s="124">
        <f>B22*$E$7</f>
        <v>1767.3045600000005</v>
      </c>
      <c r="C23" s="124">
        <f t="shared" ref="C23:M23" si="16">C22*$E$7</f>
        <v>1767.3045600000005</v>
      </c>
      <c r="D23" s="124">
        <f t="shared" si="16"/>
        <v>2019.7766400000005</v>
      </c>
      <c r="E23" s="124">
        <f t="shared" si="16"/>
        <v>2019.7766400000005</v>
      </c>
      <c r="F23" s="124">
        <f t="shared" si="16"/>
        <v>2019.7766400000005</v>
      </c>
      <c r="G23" s="124">
        <f t="shared" si="16"/>
        <v>2272.24872</v>
      </c>
      <c r="H23" s="124">
        <f t="shared" si="16"/>
        <v>1893.5406</v>
      </c>
      <c r="I23" s="124">
        <f t="shared" si="16"/>
        <v>1893.5406</v>
      </c>
      <c r="J23" s="124">
        <f t="shared" si="16"/>
        <v>2019.7766400000005</v>
      </c>
      <c r="K23" s="124">
        <f t="shared" si="16"/>
        <v>2398.4847600000003</v>
      </c>
      <c r="L23" s="124">
        <f t="shared" si="16"/>
        <v>2398.4847600000003</v>
      </c>
      <c r="M23" s="124">
        <f t="shared" si="16"/>
        <v>2777.1928800000001</v>
      </c>
      <c r="N23" s="124">
        <f t="shared" si="10"/>
        <v>25247.207999999999</v>
      </c>
      <c r="O23" s="83"/>
      <c r="P23" s="119" t="s">
        <v>26</v>
      </c>
      <c r="Q23" s="108">
        <f t="shared" si="4"/>
        <v>5554.385760000001</v>
      </c>
      <c r="R23" s="108">
        <f t="shared" si="5"/>
        <v>6311.8020000000015</v>
      </c>
      <c r="S23" s="108">
        <f t="shared" si="6"/>
        <v>5806.8578400000006</v>
      </c>
      <c r="T23" s="108">
        <f t="shared" si="7"/>
        <v>7574.1624000000011</v>
      </c>
      <c r="U23" s="109">
        <f t="shared" si="8"/>
        <v>25247.208000000006</v>
      </c>
    </row>
    <row r="24" spans="1:26" x14ac:dyDescent="0.2">
      <c r="A24" s="119" t="s">
        <v>28</v>
      </c>
      <c r="B24" s="124">
        <f>B22*$E$8</f>
        <v>25.408027749999988</v>
      </c>
      <c r="C24" s="124">
        <f t="shared" ref="C24:M24" si="17">C22*$E$8</f>
        <v>25.408027749999988</v>
      </c>
      <c r="D24" s="124">
        <f t="shared" si="17"/>
        <v>29.037745999999984</v>
      </c>
      <c r="E24" s="124">
        <f t="shared" si="17"/>
        <v>29.037745999999984</v>
      </c>
      <c r="F24" s="124">
        <f t="shared" si="17"/>
        <v>29.037745999999984</v>
      </c>
      <c r="G24" s="124">
        <f t="shared" si="17"/>
        <v>32.667464249999981</v>
      </c>
      <c r="H24" s="124">
        <f t="shared" si="17"/>
        <v>27.222886874999979</v>
      </c>
      <c r="I24" s="124">
        <f t="shared" si="17"/>
        <v>27.222886874999979</v>
      </c>
      <c r="J24" s="124">
        <f t="shared" si="17"/>
        <v>29.037745999999984</v>
      </c>
      <c r="K24" s="124">
        <f t="shared" si="17"/>
        <v>34.482323374999972</v>
      </c>
      <c r="L24" s="124">
        <f t="shared" si="17"/>
        <v>34.482323374999972</v>
      </c>
      <c r="M24" s="124">
        <f t="shared" si="17"/>
        <v>39.926900749999973</v>
      </c>
      <c r="N24" s="124">
        <f t="shared" si="10"/>
        <v>362.97182499999968</v>
      </c>
      <c r="O24" s="83"/>
      <c r="P24" s="119" t="s">
        <v>28</v>
      </c>
      <c r="Q24" s="108">
        <f t="shared" si="4"/>
        <v>79.85380149999996</v>
      </c>
      <c r="R24" s="108">
        <f t="shared" si="5"/>
        <v>90.742956249999949</v>
      </c>
      <c r="S24" s="108">
        <f t="shared" si="6"/>
        <v>83.483519749999942</v>
      </c>
      <c r="T24" s="108">
        <f t="shared" si="7"/>
        <v>108.89154749999992</v>
      </c>
      <c r="U24" s="109">
        <f t="shared" si="8"/>
        <v>362.97182499999974</v>
      </c>
    </row>
    <row r="25" spans="1:26" s="129" customFormat="1" x14ac:dyDescent="0.2">
      <c r="A25" s="110" t="s">
        <v>32</v>
      </c>
      <c r="B25" s="109">
        <f>'2026 Bütçe - 600 (Aylık)'!E20</f>
        <v>667.46220625000012</v>
      </c>
      <c r="C25" s="109">
        <f>'2026 Bütçe - 600 (Aylık)'!F20</f>
        <v>667.46220625000012</v>
      </c>
      <c r="D25" s="109">
        <f>'2026 Bütçe - 600 (Aylık)'!G20</f>
        <v>762.81395000000009</v>
      </c>
      <c r="E25" s="109">
        <f>'2026 Bütçe - 600 (Aylık)'!H20</f>
        <v>762.81395000000009</v>
      </c>
      <c r="F25" s="109">
        <f>'2026 Bütçe - 600 (Aylık)'!I20</f>
        <v>762.81395000000009</v>
      </c>
      <c r="G25" s="109">
        <f>'2026 Bütçe - 600 (Aylık)'!J20</f>
        <v>858.16569375000006</v>
      </c>
      <c r="H25" s="109">
        <f>'2026 Bütçe - 600 (Aylık)'!K20</f>
        <v>715.13807812499999</v>
      </c>
      <c r="I25" s="109">
        <f>'2026 Bütçe - 600 (Aylık)'!L20</f>
        <v>715.13807812499999</v>
      </c>
      <c r="J25" s="109">
        <f>'2026 Bütçe - 600 (Aylık)'!M20</f>
        <v>762.81395000000009</v>
      </c>
      <c r="K25" s="109">
        <f>'2026 Bütçe - 600 (Aylık)'!N20</f>
        <v>905.84156562500004</v>
      </c>
      <c r="L25" s="109">
        <f>'2026 Bütçe - 600 (Aylık)'!O20</f>
        <v>905.84156562500004</v>
      </c>
      <c r="M25" s="109">
        <f>'2026 Bütçe - 600 (Aylık)'!P20</f>
        <v>1048.8691812500001</v>
      </c>
      <c r="N25" s="109">
        <f>SUM(B25:M25)</f>
        <v>9535.1743750000005</v>
      </c>
      <c r="O25" s="128"/>
      <c r="P25" s="110" t="s">
        <v>32</v>
      </c>
      <c r="Q25" s="109">
        <f t="shared" si="4"/>
        <v>2097.7383625000002</v>
      </c>
      <c r="R25" s="109">
        <f t="shared" si="5"/>
        <v>2383.7935937500001</v>
      </c>
      <c r="S25" s="109">
        <f t="shared" si="6"/>
        <v>2193.0901062500002</v>
      </c>
      <c r="T25" s="109">
        <f t="shared" si="7"/>
        <v>2860.5523125</v>
      </c>
      <c r="U25" s="109">
        <f t="shared" si="8"/>
        <v>9535.1743750000005</v>
      </c>
    </row>
    <row r="26" spans="1:26" x14ac:dyDescent="0.2">
      <c r="A26" s="119" t="s">
        <v>26</v>
      </c>
      <c r="B26" s="124">
        <f>B25*$F$7</f>
        <v>399.67672500000003</v>
      </c>
      <c r="C26" s="124">
        <f t="shared" ref="C26:M26" si="18">C25*$F$7</f>
        <v>399.67672500000003</v>
      </c>
      <c r="D26" s="124">
        <f t="shared" si="18"/>
        <v>456.77340000000004</v>
      </c>
      <c r="E26" s="124">
        <f t="shared" si="18"/>
        <v>456.77340000000004</v>
      </c>
      <c r="F26" s="124">
        <f t="shared" si="18"/>
        <v>456.77340000000004</v>
      </c>
      <c r="G26" s="124">
        <f t="shared" si="18"/>
        <v>513.87007500000004</v>
      </c>
      <c r="H26" s="124">
        <f t="shared" si="18"/>
        <v>428.22506249999998</v>
      </c>
      <c r="I26" s="124">
        <f t="shared" si="18"/>
        <v>428.22506249999998</v>
      </c>
      <c r="J26" s="124">
        <f t="shared" si="18"/>
        <v>456.77340000000004</v>
      </c>
      <c r="K26" s="124">
        <f t="shared" si="18"/>
        <v>542.41841250000004</v>
      </c>
      <c r="L26" s="124">
        <f t="shared" si="18"/>
        <v>542.41841250000004</v>
      </c>
      <c r="M26" s="124">
        <f t="shared" si="18"/>
        <v>628.06342500000005</v>
      </c>
      <c r="N26" s="124">
        <f t="shared" si="10"/>
        <v>5709.6675000000014</v>
      </c>
      <c r="O26" s="83"/>
      <c r="P26" s="119" t="s">
        <v>26</v>
      </c>
      <c r="Q26" s="108">
        <f t="shared" si="4"/>
        <v>1256.1268500000001</v>
      </c>
      <c r="R26" s="108">
        <f t="shared" si="5"/>
        <v>1427.4168750000001</v>
      </c>
      <c r="S26" s="108">
        <f t="shared" si="6"/>
        <v>1313.2235249999999</v>
      </c>
      <c r="T26" s="108">
        <f t="shared" si="7"/>
        <v>1712.9002500000001</v>
      </c>
      <c r="U26" s="109">
        <f t="shared" si="8"/>
        <v>5709.6675000000005</v>
      </c>
    </row>
    <row r="27" spans="1:26" x14ac:dyDescent="0.2">
      <c r="A27" s="119" t="s">
        <v>28</v>
      </c>
      <c r="B27" s="124">
        <f>B25*$F$8</f>
        <v>267.78548125000003</v>
      </c>
      <c r="C27" s="124">
        <f t="shared" ref="C27:M27" si="19">C25*$F$8</f>
        <v>267.78548125000003</v>
      </c>
      <c r="D27" s="124">
        <f t="shared" si="19"/>
        <v>306.04055</v>
      </c>
      <c r="E27" s="124">
        <f t="shared" si="19"/>
        <v>306.04055</v>
      </c>
      <c r="F27" s="124">
        <f t="shared" si="19"/>
        <v>306.04055</v>
      </c>
      <c r="G27" s="124">
        <f t="shared" si="19"/>
        <v>344.29561875000002</v>
      </c>
      <c r="H27" s="124">
        <f t="shared" si="19"/>
        <v>286.91301562499996</v>
      </c>
      <c r="I27" s="124">
        <f t="shared" si="19"/>
        <v>286.91301562499996</v>
      </c>
      <c r="J27" s="124">
        <f t="shared" si="19"/>
        <v>306.04055</v>
      </c>
      <c r="K27" s="124">
        <f t="shared" si="19"/>
        <v>363.423153125</v>
      </c>
      <c r="L27" s="124">
        <f t="shared" si="19"/>
        <v>363.423153125</v>
      </c>
      <c r="M27" s="124">
        <f t="shared" si="19"/>
        <v>420.80575625</v>
      </c>
      <c r="N27" s="124">
        <f t="shared" si="10"/>
        <v>3825.5068749999991</v>
      </c>
      <c r="O27" s="83"/>
      <c r="P27" s="119" t="s">
        <v>28</v>
      </c>
      <c r="Q27" s="108">
        <f t="shared" si="4"/>
        <v>841.61151250000012</v>
      </c>
      <c r="R27" s="108">
        <f t="shared" si="5"/>
        <v>956.37671875000001</v>
      </c>
      <c r="S27" s="108">
        <f t="shared" si="6"/>
        <v>879.86658124999985</v>
      </c>
      <c r="T27" s="108">
        <f t="shared" si="7"/>
        <v>1147.6520625000001</v>
      </c>
      <c r="U27" s="109">
        <f t="shared" si="8"/>
        <v>3825.506875</v>
      </c>
    </row>
    <row r="28" spans="1:26" s="129" customFormat="1" x14ac:dyDescent="0.2">
      <c r="A28" s="110" t="s">
        <v>33</v>
      </c>
      <c r="B28" s="109">
        <f>'2026 Bütçe - 600 (Aylık)'!E21</f>
        <v>5318.5300000000007</v>
      </c>
      <c r="C28" s="109">
        <f>'2026 Bütçe - 600 (Aylık)'!F21</f>
        <v>5318.5300000000007</v>
      </c>
      <c r="D28" s="109">
        <f>'2026 Bütçe - 600 (Aylık)'!G21</f>
        <v>6078.32</v>
      </c>
      <c r="E28" s="109">
        <f>'2026 Bütçe - 600 (Aylık)'!H21</f>
        <v>6078.32</v>
      </c>
      <c r="F28" s="109">
        <f>'2026 Bütçe - 600 (Aylık)'!I21</f>
        <v>6078.32</v>
      </c>
      <c r="G28" s="109">
        <f>'2026 Bütçe - 600 (Aylık)'!J21</f>
        <v>6838.11</v>
      </c>
      <c r="H28" s="109">
        <f>'2026 Bütçe - 600 (Aylık)'!K21</f>
        <v>5698.4250000000002</v>
      </c>
      <c r="I28" s="109">
        <f>'2026 Bütçe - 600 (Aylık)'!L21</f>
        <v>5698.4250000000002</v>
      </c>
      <c r="J28" s="109">
        <f>'2026 Bütçe - 600 (Aylık)'!M21</f>
        <v>6078.32</v>
      </c>
      <c r="K28" s="109">
        <f>'2026 Bütçe - 600 (Aylık)'!N21</f>
        <v>7218.0050000000001</v>
      </c>
      <c r="L28" s="109">
        <f>'2026 Bütçe - 600 (Aylık)'!O21</f>
        <v>7218.0050000000001</v>
      </c>
      <c r="M28" s="109">
        <f>'2026 Bütçe - 600 (Aylık)'!P21</f>
        <v>8357.69</v>
      </c>
      <c r="N28" s="109">
        <f>SUM(B28:M28)</f>
        <v>75979</v>
      </c>
      <c r="O28" s="128"/>
      <c r="P28" s="110" t="s">
        <v>33</v>
      </c>
      <c r="Q28" s="109">
        <f t="shared" si="4"/>
        <v>16715.38</v>
      </c>
      <c r="R28" s="109">
        <f t="shared" si="5"/>
        <v>18994.75</v>
      </c>
      <c r="S28" s="109">
        <f t="shared" si="6"/>
        <v>17475.169999999998</v>
      </c>
      <c r="T28" s="109">
        <f t="shared" si="7"/>
        <v>22793.7</v>
      </c>
      <c r="U28" s="109">
        <f t="shared" si="8"/>
        <v>75979</v>
      </c>
    </row>
    <row r="29" spans="1:26" x14ac:dyDescent="0.2">
      <c r="A29" s="119" t="s">
        <v>26</v>
      </c>
      <c r="B29" s="124">
        <f>B28*$G$7</f>
        <v>2800</v>
      </c>
      <c r="C29" s="124">
        <f t="shared" ref="C29:M29" si="20">C28*$G$7</f>
        <v>2800</v>
      </c>
      <c r="D29" s="124">
        <f t="shared" si="20"/>
        <v>3199.9999999999995</v>
      </c>
      <c r="E29" s="124">
        <f t="shared" si="20"/>
        <v>3199.9999999999995</v>
      </c>
      <c r="F29" s="124">
        <f t="shared" si="20"/>
        <v>3199.9999999999995</v>
      </c>
      <c r="G29" s="124">
        <f t="shared" si="20"/>
        <v>3599.9999999999995</v>
      </c>
      <c r="H29" s="124">
        <f t="shared" si="20"/>
        <v>3000</v>
      </c>
      <c r="I29" s="124">
        <f t="shared" si="20"/>
        <v>3000</v>
      </c>
      <c r="J29" s="124">
        <f t="shared" si="20"/>
        <v>3199.9999999999995</v>
      </c>
      <c r="K29" s="124">
        <f t="shared" si="20"/>
        <v>3800</v>
      </c>
      <c r="L29" s="124">
        <f t="shared" si="20"/>
        <v>3800</v>
      </c>
      <c r="M29" s="124">
        <f t="shared" si="20"/>
        <v>4400</v>
      </c>
      <c r="N29" s="124">
        <f t="shared" si="10"/>
        <v>40000</v>
      </c>
      <c r="O29" s="83"/>
      <c r="P29" s="119" t="s">
        <v>26</v>
      </c>
      <c r="Q29" s="108">
        <f t="shared" si="4"/>
        <v>8800</v>
      </c>
      <c r="R29" s="108">
        <f t="shared" si="5"/>
        <v>9999.9999999999982</v>
      </c>
      <c r="S29" s="108">
        <f t="shared" si="6"/>
        <v>9200</v>
      </c>
      <c r="T29" s="108">
        <f t="shared" si="7"/>
        <v>12000</v>
      </c>
      <c r="U29" s="109">
        <f t="shared" si="8"/>
        <v>40000</v>
      </c>
    </row>
    <row r="30" spans="1:26" x14ac:dyDescent="0.2">
      <c r="A30" s="119" t="s">
        <v>28</v>
      </c>
      <c r="B30" s="124">
        <f>B28*$G$8</f>
        <v>2518.5300000000007</v>
      </c>
      <c r="C30" s="124">
        <f t="shared" ref="C30:M30" si="21">C28*$G$8</f>
        <v>2518.5300000000007</v>
      </c>
      <c r="D30" s="124">
        <f t="shared" si="21"/>
        <v>2878.32</v>
      </c>
      <c r="E30" s="124">
        <f t="shared" si="21"/>
        <v>2878.32</v>
      </c>
      <c r="F30" s="124">
        <f t="shared" si="21"/>
        <v>2878.32</v>
      </c>
      <c r="G30" s="124">
        <f t="shared" si="21"/>
        <v>3238.11</v>
      </c>
      <c r="H30" s="124">
        <f t="shared" si="21"/>
        <v>2698.4250000000002</v>
      </c>
      <c r="I30" s="124">
        <f t="shared" si="21"/>
        <v>2698.4250000000002</v>
      </c>
      <c r="J30" s="124">
        <f t="shared" si="21"/>
        <v>2878.32</v>
      </c>
      <c r="K30" s="124">
        <f t="shared" si="21"/>
        <v>3418.0050000000001</v>
      </c>
      <c r="L30" s="124">
        <f t="shared" si="21"/>
        <v>3418.0050000000001</v>
      </c>
      <c r="M30" s="124">
        <f t="shared" si="21"/>
        <v>3957.6900000000005</v>
      </c>
      <c r="N30" s="124">
        <f t="shared" si="10"/>
        <v>35979</v>
      </c>
      <c r="O30" s="83"/>
      <c r="P30" s="119" t="s">
        <v>28</v>
      </c>
      <c r="Q30" s="108">
        <f t="shared" si="4"/>
        <v>7915.380000000001</v>
      </c>
      <c r="R30" s="108">
        <f t="shared" si="5"/>
        <v>8994.75</v>
      </c>
      <c r="S30" s="108">
        <f t="shared" si="6"/>
        <v>8275.17</v>
      </c>
      <c r="T30" s="108">
        <f t="shared" si="7"/>
        <v>10793.7</v>
      </c>
      <c r="U30" s="109">
        <f t="shared" si="8"/>
        <v>35979</v>
      </c>
    </row>
    <row r="31" spans="1:26" s="129" customFormat="1" x14ac:dyDescent="0.2">
      <c r="A31" s="110" t="s">
        <v>34</v>
      </c>
      <c r="B31" s="109">
        <f>'2026 Bütçe - 600 (Aylık)'!E22</f>
        <v>5038.0703712500008</v>
      </c>
      <c r="C31" s="109">
        <f>'2026 Bütçe - 600 (Aylık)'!F22</f>
        <v>5038.0703712500008</v>
      </c>
      <c r="D31" s="109">
        <f>'2026 Bütçe - 600 (Aylık)'!G22</f>
        <v>5757.7947100000001</v>
      </c>
      <c r="E31" s="109">
        <f>'2026 Bütçe - 600 (Aylık)'!H22</f>
        <v>5757.7947100000001</v>
      </c>
      <c r="F31" s="109">
        <f>'2026 Bütçe - 600 (Aylık)'!I22</f>
        <v>5757.7947100000001</v>
      </c>
      <c r="G31" s="109">
        <f>'2026 Bütçe - 600 (Aylık)'!J22</f>
        <v>6477.5190487500004</v>
      </c>
      <c r="H31" s="109">
        <f>'2026 Bütçe - 600 (Aylık)'!K22</f>
        <v>5397.932540625</v>
      </c>
      <c r="I31" s="109">
        <f>'2026 Bütçe - 600 (Aylık)'!L22</f>
        <v>5397.932540625</v>
      </c>
      <c r="J31" s="109">
        <f>'2026 Bütçe - 600 (Aylık)'!M22</f>
        <v>5757.7947100000001</v>
      </c>
      <c r="K31" s="109">
        <f>'2026 Bütçe - 600 (Aylık)'!N22</f>
        <v>6837.3812181250005</v>
      </c>
      <c r="L31" s="109">
        <f>'2026 Bütçe - 600 (Aylık)'!O22</f>
        <v>6837.3812181250005</v>
      </c>
      <c r="M31" s="109">
        <f>'2026 Bütçe - 600 (Aylık)'!P22</f>
        <v>7916.9677262499999</v>
      </c>
      <c r="N31" s="109">
        <f>SUM(B31:M31)</f>
        <v>71972.433875000017</v>
      </c>
      <c r="O31" s="128"/>
      <c r="P31" s="110" t="s">
        <v>34</v>
      </c>
      <c r="Q31" s="109">
        <f t="shared" si="4"/>
        <v>15833.935452500002</v>
      </c>
      <c r="R31" s="109">
        <f t="shared" si="5"/>
        <v>17993.108468750001</v>
      </c>
      <c r="S31" s="109">
        <f t="shared" si="6"/>
        <v>16553.65979125</v>
      </c>
      <c r="T31" s="109">
        <f t="shared" si="7"/>
        <v>21591.7301625</v>
      </c>
      <c r="U31" s="109">
        <f t="shared" si="8"/>
        <v>71972.433875000002</v>
      </c>
    </row>
    <row r="32" spans="1:26" x14ac:dyDescent="0.2">
      <c r="A32" s="119" t="s">
        <v>26</v>
      </c>
      <c r="B32" s="124">
        <f>B31*$H$7</f>
        <v>531.80281000000002</v>
      </c>
      <c r="C32" s="124">
        <f t="shared" ref="C32:M32" si="22">C31*$H$7</f>
        <v>531.80281000000002</v>
      </c>
      <c r="D32" s="124">
        <f t="shared" si="22"/>
        <v>607.77463999999998</v>
      </c>
      <c r="E32" s="124">
        <f t="shared" si="22"/>
        <v>607.77463999999998</v>
      </c>
      <c r="F32" s="124">
        <f t="shared" si="22"/>
        <v>607.77463999999998</v>
      </c>
      <c r="G32" s="124">
        <f t="shared" si="22"/>
        <v>683.74647000000004</v>
      </c>
      <c r="H32" s="124">
        <f t="shared" si="22"/>
        <v>569.788725</v>
      </c>
      <c r="I32" s="124">
        <f t="shared" si="22"/>
        <v>569.788725</v>
      </c>
      <c r="J32" s="124">
        <f t="shared" si="22"/>
        <v>607.77463999999998</v>
      </c>
      <c r="K32" s="124">
        <f t="shared" si="22"/>
        <v>721.73238500000002</v>
      </c>
      <c r="L32" s="124">
        <f t="shared" si="22"/>
        <v>721.73238500000002</v>
      </c>
      <c r="M32" s="124">
        <f t="shared" si="22"/>
        <v>835.69012999999995</v>
      </c>
      <c r="N32" s="124">
        <f t="shared" si="10"/>
        <v>7597.1830000000009</v>
      </c>
      <c r="O32" s="83"/>
      <c r="P32" s="119" t="s">
        <v>26</v>
      </c>
      <c r="Q32" s="108">
        <f t="shared" si="4"/>
        <v>1671.3802599999999</v>
      </c>
      <c r="R32" s="108">
        <f t="shared" si="5"/>
        <v>1899.29575</v>
      </c>
      <c r="S32" s="108">
        <f t="shared" si="6"/>
        <v>1747.3520899999999</v>
      </c>
      <c r="T32" s="108">
        <f t="shared" si="7"/>
        <v>2279.1549</v>
      </c>
      <c r="U32" s="109">
        <f t="shared" si="8"/>
        <v>7597.1829999999991</v>
      </c>
    </row>
    <row r="33" spans="1:21" x14ac:dyDescent="0.2">
      <c r="A33" s="119" t="s">
        <v>28</v>
      </c>
      <c r="B33" s="124">
        <f>B31*$H$8</f>
        <v>4506.2675612500007</v>
      </c>
      <c r="C33" s="124">
        <f t="shared" ref="C33:M33" si="23">C31*$H$8</f>
        <v>4506.2675612500007</v>
      </c>
      <c r="D33" s="124">
        <f t="shared" si="23"/>
        <v>5150.0200699999996</v>
      </c>
      <c r="E33" s="124">
        <f t="shared" si="23"/>
        <v>5150.0200699999996</v>
      </c>
      <c r="F33" s="124">
        <f t="shared" si="23"/>
        <v>5150.0200699999996</v>
      </c>
      <c r="G33" s="124">
        <f t="shared" si="23"/>
        <v>5793.7725787500003</v>
      </c>
      <c r="H33" s="124">
        <f t="shared" si="23"/>
        <v>4828.1438156249997</v>
      </c>
      <c r="I33" s="124">
        <f t="shared" si="23"/>
        <v>4828.1438156249997</v>
      </c>
      <c r="J33" s="124">
        <f t="shared" si="23"/>
        <v>5150.0200699999996</v>
      </c>
      <c r="K33" s="124">
        <f t="shared" si="23"/>
        <v>6115.6488331250002</v>
      </c>
      <c r="L33" s="124">
        <f t="shared" si="23"/>
        <v>6115.6488331250002</v>
      </c>
      <c r="M33" s="124">
        <f t="shared" si="23"/>
        <v>7081.27759625</v>
      </c>
      <c r="N33" s="124">
        <f t="shared" si="10"/>
        <v>64375.250874999998</v>
      </c>
      <c r="O33" s="83"/>
      <c r="P33" s="119" t="s">
        <v>28</v>
      </c>
      <c r="Q33" s="108">
        <f t="shared" si="4"/>
        <v>14162.5551925</v>
      </c>
      <c r="R33" s="108">
        <f t="shared" si="5"/>
        <v>16093.812718749999</v>
      </c>
      <c r="S33" s="108">
        <f t="shared" si="6"/>
        <v>14806.30770125</v>
      </c>
      <c r="T33" s="108">
        <f t="shared" si="7"/>
        <v>19312.575262500002</v>
      </c>
      <c r="U33" s="109">
        <f t="shared" si="8"/>
        <v>64375.250874999998</v>
      </c>
    </row>
    <row r="34" spans="1:21" s="129" customFormat="1" x14ac:dyDescent="0.2">
      <c r="A34" s="110" t="s">
        <v>35</v>
      </c>
      <c r="B34" s="109">
        <f>'2026 Bütçe - 600 (Aylık)'!E23</f>
        <v>1314.916152</v>
      </c>
      <c r="C34" s="109">
        <f>'2026 Bütçe - 600 (Aylık)'!F23</f>
        <v>1314.916152</v>
      </c>
      <c r="D34" s="109">
        <f>'2026 Bütçe - 600 (Aylık)'!G23</f>
        <v>1479.280671</v>
      </c>
      <c r="E34" s="109">
        <f>'2026 Bütçe - 600 (Aylık)'!H23</f>
        <v>1314.916152</v>
      </c>
      <c r="F34" s="109">
        <f>'2026 Bütçe - 600 (Aylık)'!I23</f>
        <v>1314.916152</v>
      </c>
      <c r="G34" s="109">
        <f>'2026 Bütçe - 600 (Aylık)'!J23</f>
        <v>1479.280671</v>
      </c>
      <c r="H34" s="109">
        <f>'2026 Bütçe - 600 (Aylık)'!K23</f>
        <v>1232.7338924999999</v>
      </c>
      <c r="I34" s="109">
        <f>'2026 Bütçe - 600 (Aylık)'!L23</f>
        <v>1314.916152</v>
      </c>
      <c r="J34" s="109">
        <f>'2026 Bütçe - 600 (Aylık)'!M23</f>
        <v>1314.916152</v>
      </c>
      <c r="K34" s="109">
        <f>'2026 Bütçe - 600 (Aylık)'!N23</f>
        <v>1314.916152</v>
      </c>
      <c r="L34" s="109">
        <f>'2026 Bütçe - 600 (Aylık)'!O23</f>
        <v>1479.280671</v>
      </c>
      <c r="M34" s="109">
        <f>'2026 Bütçe - 600 (Aylık)'!P23</f>
        <v>1561.4629305000001</v>
      </c>
      <c r="N34" s="109">
        <f>SUM(B34:M34)</f>
        <v>16436.4519</v>
      </c>
      <c r="O34" s="128"/>
      <c r="P34" s="110" t="s">
        <v>35</v>
      </c>
      <c r="Q34" s="109">
        <f t="shared" si="4"/>
        <v>4109.112975</v>
      </c>
      <c r="R34" s="109">
        <f t="shared" si="5"/>
        <v>4109.112975</v>
      </c>
      <c r="S34" s="109">
        <f t="shared" si="6"/>
        <v>3862.5661964999999</v>
      </c>
      <c r="T34" s="109">
        <f t="shared" si="7"/>
        <v>4355.6597535000001</v>
      </c>
      <c r="U34" s="109">
        <f t="shared" si="8"/>
        <v>16436.4519</v>
      </c>
    </row>
    <row r="35" spans="1:21" x14ac:dyDescent="0.2">
      <c r="A35" s="119" t="s">
        <v>26</v>
      </c>
      <c r="B35" s="124">
        <f>B34*$I$7</f>
        <v>1314.916152</v>
      </c>
      <c r="C35" s="124">
        <f t="shared" ref="C35:M35" si="24">C34*$I$7</f>
        <v>1314.916152</v>
      </c>
      <c r="D35" s="124">
        <f t="shared" si="24"/>
        <v>1479.280671</v>
      </c>
      <c r="E35" s="124">
        <f t="shared" si="24"/>
        <v>1314.916152</v>
      </c>
      <c r="F35" s="124">
        <f t="shared" si="24"/>
        <v>1314.916152</v>
      </c>
      <c r="G35" s="124">
        <f t="shared" si="24"/>
        <v>1479.280671</v>
      </c>
      <c r="H35" s="124">
        <f t="shared" si="24"/>
        <v>1232.7338924999999</v>
      </c>
      <c r="I35" s="124">
        <f t="shared" si="24"/>
        <v>1314.916152</v>
      </c>
      <c r="J35" s="124">
        <f t="shared" si="24"/>
        <v>1314.916152</v>
      </c>
      <c r="K35" s="124">
        <f t="shared" si="24"/>
        <v>1314.916152</v>
      </c>
      <c r="L35" s="124">
        <f t="shared" si="24"/>
        <v>1479.280671</v>
      </c>
      <c r="M35" s="124">
        <f t="shared" si="24"/>
        <v>1561.4629305000001</v>
      </c>
      <c r="N35" s="124">
        <f t="shared" si="10"/>
        <v>16436.4519</v>
      </c>
      <c r="O35" s="83"/>
      <c r="P35" s="119" t="s">
        <v>26</v>
      </c>
      <c r="Q35" s="108">
        <f t="shared" si="4"/>
        <v>4109.112975</v>
      </c>
      <c r="R35" s="108">
        <f t="shared" si="5"/>
        <v>4109.112975</v>
      </c>
      <c r="S35" s="108">
        <f t="shared" si="6"/>
        <v>3862.5661964999999</v>
      </c>
      <c r="T35" s="108">
        <f t="shared" si="7"/>
        <v>4355.6597535000001</v>
      </c>
      <c r="U35" s="109">
        <f t="shared" si="8"/>
        <v>16436.4519</v>
      </c>
    </row>
    <row r="36" spans="1:21" x14ac:dyDescent="0.2">
      <c r="A36" s="119" t="s">
        <v>28</v>
      </c>
      <c r="B36" s="124">
        <f>B34*$I$8</f>
        <v>0</v>
      </c>
      <c r="C36" s="124">
        <f t="shared" ref="C36:M36" si="25">C34*$I$8</f>
        <v>0</v>
      </c>
      <c r="D36" s="124">
        <f t="shared" si="25"/>
        <v>0</v>
      </c>
      <c r="E36" s="124">
        <f t="shared" si="25"/>
        <v>0</v>
      </c>
      <c r="F36" s="124">
        <f t="shared" si="25"/>
        <v>0</v>
      </c>
      <c r="G36" s="124">
        <f t="shared" si="25"/>
        <v>0</v>
      </c>
      <c r="H36" s="124">
        <f t="shared" si="25"/>
        <v>0</v>
      </c>
      <c r="I36" s="124">
        <f t="shared" si="25"/>
        <v>0</v>
      </c>
      <c r="J36" s="124">
        <f t="shared" si="25"/>
        <v>0</v>
      </c>
      <c r="K36" s="124">
        <f t="shared" si="25"/>
        <v>0</v>
      </c>
      <c r="L36" s="124">
        <f t="shared" si="25"/>
        <v>0</v>
      </c>
      <c r="M36" s="124">
        <f t="shared" si="25"/>
        <v>0</v>
      </c>
      <c r="N36" s="124">
        <f t="shared" si="10"/>
        <v>0</v>
      </c>
      <c r="O36" s="83"/>
      <c r="P36" s="119" t="s">
        <v>28</v>
      </c>
      <c r="Q36" s="108">
        <f t="shared" si="4"/>
        <v>0</v>
      </c>
      <c r="R36" s="108">
        <f t="shared" si="5"/>
        <v>0</v>
      </c>
      <c r="S36" s="108">
        <f t="shared" si="6"/>
        <v>0</v>
      </c>
      <c r="T36" s="108">
        <f t="shared" si="7"/>
        <v>0</v>
      </c>
      <c r="U36" s="109">
        <f t="shared" si="8"/>
        <v>0</v>
      </c>
    </row>
    <row r="37" spans="1:21" x14ac:dyDescent="0.2">
      <c r="A37" s="110" t="s">
        <v>163</v>
      </c>
      <c r="B37" s="109">
        <f>SUMIF($A$13:$A$36,"Yeni Satış",B13:B36)</f>
        <v>19684.282412000004</v>
      </c>
      <c r="C37" s="109">
        <f t="shared" ref="C37:N37" si="26">SUMIF($A$13:$A$36,"Yeni Satış",C13:C36)</f>
        <v>19684.282412000004</v>
      </c>
      <c r="D37" s="109">
        <f t="shared" si="26"/>
        <v>22472.842111000002</v>
      </c>
      <c r="E37" s="109">
        <f t="shared" si="26"/>
        <v>21783.075539500001</v>
      </c>
      <c r="F37" s="109">
        <f t="shared" si="26"/>
        <v>21783.075539500001</v>
      </c>
      <c r="G37" s="109">
        <f t="shared" si="26"/>
        <v>25097.037291000001</v>
      </c>
      <c r="H37" s="109">
        <f t="shared" si="26"/>
        <v>20914.1977425</v>
      </c>
      <c r="I37" s="109">
        <f t="shared" si="26"/>
        <v>20996.380002000002</v>
      </c>
      <c r="J37" s="109">
        <f t="shared" si="26"/>
        <v>22308.477592000003</v>
      </c>
      <c r="K37" s="109">
        <f t="shared" si="26"/>
        <v>26770.172414500001</v>
      </c>
      <c r="L37" s="109">
        <f t="shared" si="26"/>
        <v>26934.5369335</v>
      </c>
      <c r="M37" s="109">
        <f t="shared" si="26"/>
        <v>30427.609910499999</v>
      </c>
      <c r="N37" s="109">
        <f t="shared" si="26"/>
        <v>278855.96989999997</v>
      </c>
      <c r="O37" s="83"/>
      <c r="P37" s="110" t="s">
        <v>163</v>
      </c>
      <c r="Q37" s="109">
        <f>SUMIF($A$13:$A$36,"Yeni Satış",Q13:Q36)</f>
        <v>61841.406935000006</v>
      </c>
      <c r="R37" s="109">
        <f t="shared" ref="R37:R38" si="27">SUMIF($A$13:$A$36,"Yeni Satış",R13:R36)</f>
        <v>68663.188370000003</v>
      </c>
      <c r="S37" s="109">
        <f t="shared" ref="S37:S38" si="28">SUMIF($A$13:$A$36,"Yeni Satış",S13:S36)</f>
        <v>64219.055336499994</v>
      </c>
      <c r="T37" s="109">
        <f t="shared" ref="T37:T38" si="29">SUMIF($A$13:$A$36,"Yeni Satış",T13:T36)</f>
        <v>84132.319258499992</v>
      </c>
      <c r="U37" s="109">
        <f t="shared" ref="U37:U38" si="30">SUMIF($A$13:$A$36,"Yeni Satış",U13:U36)</f>
        <v>278855.96990000003</v>
      </c>
    </row>
    <row r="38" spans="1:21" x14ac:dyDescent="0.2">
      <c r="A38" s="110" t="s">
        <v>164</v>
      </c>
      <c r="B38" s="109">
        <f>SUMIF($A$13:$A$36,"Yeni Satış",B14:B37)</f>
        <v>22489.33692075</v>
      </c>
      <c r="C38" s="109">
        <f t="shared" ref="C38:N38" si="31">SUMIF($A$13:$A$36,"Yeni Satış",C14:C37)</f>
        <v>22489.33692075</v>
      </c>
      <c r="D38" s="109">
        <f t="shared" si="31"/>
        <v>25702.099338</v>
      </c>
      <c r="E38" s="109">
        <f t="shared" si="31"/>
        <v>24812.740701875002</v>
      </c>
      <c r="F38" s="109">
        <f t="shared" si="31"/>
        <v>24812.740701875002</v>
      </c>
      <c r="G38" s="109">
        <f t="shared" si="31"/>
        <v>28914.86175525</v>
      </c>
      <c r="H38" s="109">
        <f t="shared" si="31"/>
        <v>24095.718129375</v>
      </c>
      <c r="I38" s="109">
        <f t="shared" si="31"/>
        <v>24095.718129375</v>
      </c>
      <c r="J38" s="109">
        <f t="shared" si="31"/>
        <v>25702.099338</v>
      </c>
      <c r="K38" s="109">
        <f t="shared" si="31"/>
        <v>31410.601600000002</v>
      </c>
      <c r="L38" s="109">
        <f t="shared" si="31"/>
        <v>31410.601600000002</v>
      </c>
      <c r="M38" s="109">
        <f t="shared" si="31"/>
        <v>35340.38658975</v>
      </c>
      <c r="N38" s="109">
        <f t="shared" si="31"/>
        <v>321276.24172499997</v>
      </c>
      <c r="O38" s="83"/>
      <c r="P38" s="110" t="s">
        <v>164</v>
      </c>
      <c r="Q38" s="109">
        <f>SUMIF($A$13:$A$36,"Yeni Satış",Q14:Q37)</f>
        <v>70680.7731795</v>
      </c>
      <c r="R38" s="109">
        <f t="shared" si="27"/>
        <v>78540.343158999982</v>
      </c>
      <c r="S38" s="109">
        <f t="shared" si="28"/>
        <v>73893.535596749993</v>
      </c>
      <c r="T38" s="109">
        <f t="shared" si="29"/>
        <v>98161.589789749996</v>
      </c>
      <c r="U38" s="109">
        <f t="shared" si="30"/>
        <v>321276.24172499997</v>
      </c>
    </row>
    <row r="39" spans="1:21" x14ac:dyDescent="0.2">
      <c r="A39" s="110" t="s">
        <v>40</v>
      </c>
      <c r="B39" s="109">
        <f>SUM(B37:B38)</f>
        <v>42173.619332750008</v>
      </c>
      <c r="C39" s="109">
        <f t="shared" ref="C39:N39" si="32">SUM(C37:C38)</f>
        <v>42173.619332750008</v>
      </c>
      <c r="D39" s="109">
        <f t="shared" si="32"/>
        <v>48174.941449000005</v>
      </c>
      <c r="E39" s="109">
        <f t="shared" si="32"/>
        <v>46595.816241375003</v>
      </c>
      <c r="F39" s="109">
        <f t="shared" si="32"/>
        <v>46595.816241375003</v>
      </c>
      <c r="G39" s="109">
        <f t="shared" si="32"/>
        <v>54011.899046250001</v>
      </c>
      <c r="H39" s="109">
        <f t="shared" si="32"/>
        <v>45009.915871874997</v>
      </c>
      <c r="I39" s="109">
        <f t="shared" si="32"/>
        <v>45092.098131375002</v>
      </c>
      <c r="J39" s="109">
        <f t="shared" si="32"/>
        <v>48010.576930000003</v>
      </c>
      <c r="K39" s="109">
        <f t="shared" si="32"/>
        <v>58180.774014499999</v>
      </c>
      <c r="L39" s="109">
        <f t="shared" si="32"/>
        <v>58345.138533500001</v>
      </c>
      <c r="M39" s="109">
        <f t="shared" si="32"/>
        <v>65767.996500249996</v>
      </c>
      <c r="N39" s="109">
        <f t="shared" si="32"/>
        <v>600132.211625</v>
      </c>
      <c r="O39" s="83"/>
      <c r="P39" s="110" t="s">
        <v>30</v>
      </c>
      <c r="Q39" s="109">
        <f>SUM(Q37:Q38)</f>
        <v>132522.18011449999</v>
      </c>
      <c r="R39" s="109">
        <f t="shared" ref="R39" si="33">SUM(R37:R38)</f>
        <v>147203.53152899997</v>
      </c>
      <c r="S39" s="109">
        <f t="shared" ref="S39" si="34">SUM(S37:S38)</f>
        <v>138112.59093324997</v>
      </c>
      <c r="T39" s="109">
        <f t="shared" ref="T39" si="35">SUM(T37:T38)</f>
        <v>182293.90904825</v>
      </c>
      <c r="U39" s="109">
        <f t="shared" ref="U39" si="36">SUM(U37:U38)</f>
        <v>600132.211625</v>
      </c>
    </row>
    <row r="40" spans="1:21" x14ac:dyDescent="0.2">
      <c r="A40" s="111" t="s">
        <v>41</v>
      </c>
      <c r="B40" s="112">
        <v>7.0999999999999994E-2</v>
      </c>
      <c r="C40" s="112">
        <v>7.0999999999999994E-2</v>
      </c>
      <c r="D40" s="112">
        <v>8.1000000000000003E-2</v>
      </c>
      <c r="E40" s="112">
        <v>7.9000000000000001E-2</v>
      </c>
      <c r="F40" s="112">
        <v>7.9000000000000001E-2</v>
      </c>
      <c r="G40" s="112">
        <v>0.09</v>
      </c>
      <c r="H40" s="112">
        <v>7.4999999999999997E-2</v>
      </c>
      <c r="I40" s="112">
        <v>7.5999999999999998E-2</v>
      </c>
      <c r="J40" s="112">
        <v>0.08</v>
      </c>
      <c r="K40" s="112">
        <v>9.4E-2</v>
      </c>
      <c r="L40" s="112">
        <v>9.5000000000000001E-2</v>
      </c>
      <c r="M40" s="112">
        <v>0.108</v>
      </c>
      <c r="N40" s="113">
        <v>1</v>
      </c>
      <c r="O40" s="83"/>
      <c r="P40" s="111" t="s">
        <v>41</v>
      </c>
      <c r="Q40" s="112">
        <f>Q39/N39</f>
        <v>0.22082164154406048</v>
      </c>
      <c r="R40" s="112">
        <f>R39/N39</f>
        <v>0.24528516996348448</v>
      </c>
      <c r="S40" s="112">
        <f>S39/N39</f>
        <v>0.23013694025734338</v>
      </c>
      <c r="T40" s="112">
        <f>T39/N39</f>
        <v>0.30375624823511155</v>
      </c>
      <c r="U40" s="113">
        <f>U39/N39</f>
        <v>1</v>
      </c>
    </row>
    <row r="41" spans="1:21" x14ac:dyDescent="0.2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3"/>
      <c r="P41" s="84"/>
      <c r="Q41" s="84"/>
      <c r="R41" s="84"/>
      <c r="S41" s="84"/>
      <c r="T41" s="84"/>
      <c r="U41" s="84"/>
    </row>
    <row r="42" spans="1:21" x14ac:dyDescent="0.2">
      <c r="A42" s="84"/>
      <c r="B42" s="84"/>
      <c r="C42" s="84"/>
      <c r="D42" s="84"/>
      <c r="E42" s="84">
        <v>132522</v>
      </c>
      <c r="F42" s="84"/>
      <c r="G42" s="84"/>
      <c r="H42" s="84"/>
      <c r="I42" s="84"/>
      <c r="J42" s="84"/>
      <c r="K42" s="84"/>
      <c r="L42" s="84"/>
      <c r="M42" s="84"/>
      <c r="N42" s="84"/>
      <c r="O42" s="83"/>
      <c r="P42" s="84"/>
      <c r="Q42" s="84"/>
      <c r="R42" s="84"/>
      <c r="S42" s="84"/>
      <c r="T42" s="84"/>
      <c r="U42" s="84"/>
    </row>
    <row r="43" spans="1:21" x14ac:dyDescent="0.2">
      <c r="A43" s="374" t="s">
        <v>71</v>
      </c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83"/>
      <c r="P43" s="374" t="s">
        <v>72</v>
      </c>
      <c r="Q43" s="374"/>
      <c r="R43" s="374"/>
      <c r="S43" s="374"/>
      <c r="T43" s="374"/>
      <c r="U43" s="374"/>
    </row>
    <row r="44" spans="1:21" x14ac:dyDescent="0.2">
      <c r="A44" s="107" t="s">
        <v>6</v>
      </c>
      <c r="B44" s="106">
        <v>1</v>
      </c>
      <c r="C44" s="106">
        <v>2</v>
      </c>
      <c r="D44" s="106">
        <v>3</v>
      </c>
      <c r="E44" s="106">
        <v>4</v>
      </c>
      <c r="F44" s="106">
        <v>5</v>
      </c>
      <c r="G44" s="106">
        <v>6</v>
      </c>
      <c r="H44" s="106">
        <v>7</v>
      </c>
      <c r="I44" s="106">
        <v>8</v>
      </c>
      <c r="J44" s="106">
        <v>9</v>
      </c>
      <c r="K44" s="106">
        <v>10</v>
      </c>
      <c r="L44" s="106">
        <v>11</v>
      </c>
      <c r="M44" s="106">
        <v>12</v>
      </c>
      <c r="N44" s="106" t="s">
        <v>30</v>
      </c>
      <c r="O44" s="83"/>
      <c r="P44" s="107" t="s">
        <v>6</v>
      </c>
      <c r="Q44" s="106">
        <v>1</v>
      </c>
      <c r="R44" s="106">
        <v>2</v>
      </c>
      <c r="S44" s="106">
        <v>3</v>
      </c>
      <c r="T44" s="106">
        <v>4</v>
      </c>
      <c r="U44" s="106" t="s">
        <v>30</v>
      </c>
    </row>
    <row r="45" spans="1:21" x14ac:dyDescent="0.2">
      <c r="A45" s="98" t="s">
        <v>25</v>
      </c>
      <c r="B45" s="114">
        <v>7.0000000000000007E-2</v>
      </c>
      <c r="C45" s="114">
        <v>7.0000000000000007E-2</v>
      </c>
      <c r="D45" s="114">
        <v>0.08</v>
      </c>
      <c r="E45" s="114">
        <v>0.08</v>
      </c>
      <c r="F45" s="114">
        <v>0.08</v>
      </c>
      <c r="G45" s="114">
        <v>0.09</v>
      </c>
      <c r="H45" s="114">
        <v>0.08</v>
      </c>
      <c r="I45" s="114">
        <v>0.08</v>
      </c>
      <c r="J45" s="114">
        <v>0.08</v>
      </c>
      <c r="K45" s="114">
        <v>0.1</v>
      </c>
      <c r="L45" s="114">
        <v>0.1</v>
      </c>
      <c r="M45" s="114">
        <v>0.11</v>
      </c>
      <c r="N45" s="114">
        <v>1</v>
      </c>
      <c r="O45" s="83"/>
      <c r="P45" s="98" t="s">
        <v>25</v>
      </c>
      <c r="Q45" s="115">
        <v>0.22</v>
      </c>
      <c r="R45" s="115">
        <v>0.24</v>
      </c>
      <c r="S45" s="115">
        <v>0.23</v>
      </c>
      <c r="T45" s="115">
        <v>0.31</v>
      </c>
      <c r="U45" s="114">
        <v>1</v>
      </c>
    </row>
    <row r="46" spans="1:21" x14ac:dyDescent="0.2">
      <c r="A46" s="98" t="s">
        <v>27</v>
      </c>
      <c r="B46" s="114">
        <v>7.0000000000000007E-2</v>
      </c>
      <c r="C46" s="114">
        <v>7.0000000000000007E-2</v>
      </c>
      <c r="D46" s="114">
        <v>0.08</v>
      </c>
      <c r="E46" s="114">
        <v>0.08</v>
      </c>
      <c r="F46" s="114">
        <v>0.08</v>
      </c>
      <c r="G46" s="114">
        <v>0.09</v>
      </c>
      <c r="H46" s="114">
        <v>0.08</v>
      </c>
      <c r="I46" s="114">
        <v>0.08</v>
      </c>
      <c r="J46" s="114">
        <v>0.08</v>
      </c>
      <c r="K46" s="114">
        <v>0.1</v>
      </c>
      <c r="L46" s="114">
        <v>0.1</v>
      </c>
      <c r="M46" s="114">
        <v>0.11</v>
      </c>
      <c r="N46" s="114">
        <v>1</v>
      </c>
      <c r="O46" s="83"/>
      <c r="P46" s="98" t="s">
        <v>27</v>
      </c>
      <c r="Q46" s="115">
        <v>0.22</v>
      </c>
      <c r="R46" s="115">
        <v>0.25</v>
      </c>
      <c r="S46" s="115">
        <v>0.23</v>
      </c>
      <c r="T46" s="115">
        <v>0.3</v>
      </c>
      <c r="U46" s="114">
        <v>1</v>
      </c>
    </row>
    <row r="47" spans="1:21" x14ac:dyDescent="0.2">
      <c r="A47" s="98" t="s">
        <v>29</v>
      </c>
      <c r="B47" s="114">
        <v>7.0000000000000007E-2</v>
      </c>
      <c r="C47" s="114">
        <v>7.0000000000000007E-2</v>
      </c>
      <c r="D47" s="114">
        <v>0.08</v>
      </c>
      <c r="E47" s="114">
        <v>0.08</v>
      </c>
      <c r="F47" s="114">
        <v>0.08</v>
      </c>
      <c r="G47" s="114">
        <v>0.09</v>
      </c>
      <c r="H47" s="114">
        <v>0.08</v>
      </c>
      <c r="I47" s="114">
        <v>0.08</v>
      </c>
      <c r="J47" s="114">
        <v>0.08</v>
      </c>
      <c r="K47" s="114">
        <v>0.1</v>
      </c>
      <c r="L47" s="114">
        <v>0.1</v>
      </c>
      <c r="M47" s="114">
        <v>0.11</v>
      </c>
      <c r="N47" s="114">
        <v>1</v>
      </c>
      <c r="O47" s="83"/>
      <c r="P47" s="98" t="s">
        <v>29</v>
      </c>
      <c r="Q47" s="115">
        <v>0.22</v>
      </c>
      <c r="R47" s="115">
        <v>0.25</v>
      </c>
      <c r="S47" s="115">
        <v>0.23</v>
      </c>
      <c r="T47" s="115">
        <v>0.3</v>
      </c>
      <c r="U47" s="114">
        <v>1</v>
      </c>
    </row>
    <row r="48" spans="1:21" x14ac:dyDescent="0.2">
      <c r="A48" s="98" t="s">
        <v>31</v>
      </c>
      <c r="B48" s="114">
        <v>7.0000000000000007E-2</v>
      </c>
      <c r="C48" s="114">
        <v>7.0000000000000007E-2</v>
      </c>
      <c r="D48" s="114">
        <v>0.08</v>
      </c>
      <c r="E48" s="114">
        <v>0.08</v>
      </c>
      <c r="F48" s="114">
        <v>0.08</v>
      </c>
      <c r="G48" s="114">
        <v>0.09</v>
      </c>
      <c r="H48" s="114">
        <v>0.08</v>
      </c>
      <c r="I48" s="114">
        <v>0.08</v>
      </c>
      <c r="J48" s="114">
        <v>0.08</v>
      </c>
      <c r="K48" s="114">
        <v>0.1</v>
      </c>
      <c r="L48" s="114">
        <v>0.1</v>
      </c>
      <c r="M48" s="114">
        <v>0.11</v>
      </c>
      <c r="N48" s="114">
        <v>1</v>
      </c>
      <c r="O48" s="83"/>
      <c r="P48" s="98" t="s">
        <v>31</v>
      </c>
      <c r="Q48" s="115">
        <v>0.22</v>
      </c>
      <c r="R48" s="115">
        <v>0.25</v>
      </c>
      <c r="S48" s="115">
        <v>0.23</v>
      </c>
      <c r="T48" s="115">
        <v>0.3</v>
      </c>
      <c r="U48" s="114">
        <v>1</v>
      </c>
    </row>
    <row r="49" spans="1:21" x14ac:dyDescent="0.2">
      <c r="A49" s="98" t="s">
        <v>32</v>
      </c>
      <c r="B49" s="114">
        <v>7.0000000000000007E-2</v>
      </c>
      <c r="C49" s="114">
        <v>7.0000000000000007E-2</v>
      </c>
      <c r="D49" s="114">
        <v>0.08</v>
      </c>
      <c r="E49" s="114">
        <v>0.08</v>
      </c>
      <c r="F49" s="114">
        <v>0.08</v>
      </c>
      <c r="G49" s="114">
        <v>0.09</v>
      </c>
      <c r="H49" s="114">
        <v>0.08</v>
      </c>
      <c r="I49" s="114">
        <v>0.08</v>
      </c>
      <c r="J49" s="114">
        <v>0.08</v>
      </c>
      <c r="K49" s="114">
        <v>0.1</v>
      </c>
      <c r="L49" s="114">
        <v>0.1</v>
      </c>
      <c r="M49" s="114">
        <v>0.11</v>
      </c>
      <c r="N49" s="114">
        <v>1</v>
      </c>
      <c r="O49" s="83"/>
      <c r="P49" s="98" t="s">
        <v>32</v>
      </c>
      <c r="Q49" s="115">
        <v>0.22</v>
      </c>
      <c r="R49" s="115">
        <v>0.25</v>
      </c>
      <c r="S49" s="115">
        <v>0.23</v>
      </c>
      <c r="T49" s="115">
        <v>0.3</v>
      </c>
      <c r="U49" s="114">
        <v>1</v>
      </c>
    </row>
    <row r="50" spans="1:21" x14ac:dyDescent="0.2">
      <c r="A50" s="98" t="s">
        <v>33</v>
      </c>
      <c r="B50" s="114">
        <v>7.0000000000000007E-2</v>
      </c>
      <c r="C50" s="114">
        <v>7.0000000000000007E-2</v>
      </c>
      <c r="D50" s="114">
        <v>0.08</v>
      </c>
      <c r="E50" s="114">
        <v>0.08</v>
      </c>
      <c r="F50" s="114">
        <v>0.08</v>
      </c>
      <c r="G50" s="114">
        <v>0.09</v>
      </c>
      <c r="H50" s="114">
        <v>0.08</v>
      </c>
      <c r="I50" s="114">
        <v>0.08</v>
      </c>
      <c r="J50" s="114">
        <v>0.08</v>
      </c>
      <c r="K50" s="114">
        <v>0.1</v>
      </c>
      <c r="L50" s="114">
        <v>0.1</v>
      </c>
      <c r="M50" s="114">
        <v>0.11</v>
      </c>
      <c r="N50" s="114">
        <v>1</v>
      </c>
      <c r="O50" s="83"/>
      <c r="P50" s="98" t="s">
        <v>33</v>
      </c>
      <c r="Q50" s="115">
        <v>0.22</v>
      </c>
      <c r="R50" s="115">
        <v>0.25</v>
      </c>
      <c r="S50" s="115">
        <v>0.23</v>
      </c>
      <c r="T50" s="115">
        <v>0.3</v>
      </c>
      <c r="U50" s="114">
        <v>1</v>
      </c>
    </row>
    <row r="51" spans="1:21" x14ac:dyDescent="0.2">
      <c r="A51" s="98" t="s">
        <v>34</v>
      </c>
      <c r="B51" s="114">
        <v>7.0000000000000007E-2</v>
      </c>
      <c r="C51" s="114">
        <v>7.0000000000000007E-2</v>
      </c>
      <c r="D51" s="114">
        <v>0.08</v>
      </c>
      <c r="E51" s="114">
        <v>0.08</v>
      </c>
      <c r="F51" s="114">
        <v>0.08</v>
      </c>
      <c r="G51" s="114">
        <v>0.09</v>
      </c>
      <c r="H51" s="114">
        <v>0.08</v>
      </c>
      <c r="I51" s="114">
        <v>0.08</v>
      </c>
      <c r="J51" s="114">
        <v>0.08</v>
      </c>
      <c r="K51" s="114">
        <v>0.1</v>
      </c>
      <c r="L51" s="114">
        <v>0.1</v>
      </c>
      <c r="M51" s="114">
        <v>0.11</v>
      </c>
      <c r="N51" s="114">
        <v>1</v>
      </c>
      <c r="O51" s="83"/>
      <c r="P51" s="98" t="s">
        <v>34</v>
      </c>
      <c r="Q51" s="115">
        <v>0.22</v>
      </c>
      <c r="R51" s="115">
        <v>0.25</v>
      </c>
      <c r="S51" s="115">
        <v>0.23</v>
      </c>
      <c r="T51" s="115">
        <v>0.3</v>
      </c>
      <c r="U51" s="114">
        <v>1</v>
      </c>
    </row>
    <row r="52" spans="1:21" x14ac:dyDescent="0.2">
      <c r="A52" s="98" t="s">
        <v>35</v>
      </c>
      <c r="B52" s="114">
        <v>0.08</v>
      </c>
      <c r="C52" s="114">
        <v>0.08</v>
      </c>
      <c r="D52" s="114">
        <v>0.09</v>
      </c>
      <c r="E52" s="114">
        <v>0.08</v>
      </c>
      <c r="F52" s="114">
        <v>0.08</v>
      </c>
      <c r="G52" s="114">
        <v>0.09</v>
      </c>
      <c r="H52" s="114">
        <v>0.08</v>
      </c>
      <c r="I52" s="114">
        <v>0.08</v>
      </c>
      <c r="J52" s="114">
        <v>0.08</v>
      </c>
      <c r="K52" s="114">
        <v>0.08</v>
      </c>
      <c r="L52" s="114">
        <v>0.09</v>
      </c>
      <c r="M52" s="114">
        <v>0.1</v>
      </c>
      <c r="N52" s="114">
        <v>1</v>
      </c>
      <c r="O52" s="83"/>
      <c r="P52" s="98" t="s">
        <v>35</v>
      </c>
      <c r="Q52" s="115">
        <v>0.25</v>
      </c>
      <c r="R52" s="115">
        <v>0.25</v>
      </c>
      <c r="S52" s="115">
        <v>0.24</v>
      </c>
      <c r="T52" s="115">
        <v>0.27</v>
      </c>
      <c r="U52" s="114">
        <v>1</v>
      </c>
    </row>
    <row r="53" spans="1:21" x14ac:dyDescent="0.2">
      <c r="A53" s="116" t="s">
        <v>42</v>
      </c>
      <c r="B53" s="117">
        <v>7.0999999999999994E-2</v>
      </c>
      <c r="C53" s="117">
        <v>7.0999999999999994E-2</v>
      </c>
      <c r="D53" s="117">
        <v>8.1000000000000003E-2</v>
      </c>
      <c r="E53" s="117">
        <v>7.9000000000000001E-2</v>
      </c>
      <c r="F53" s="117">
        <v>7.9000000000000001E-2</v>
      </c>
      <c r="G53" s="117">
        <v>0.09</v>
      </c>
      <c r="H53" s="117">
        <v>7.4999999999999997E-2</v>
      </c>
      <c r="I53" s="117">
        <v>7.5999999999999998E-2</v>
      </c>
      <c r="J53" s="117">
        <v>0.08</v>
      </c>
      <c r="K53" s="117">
        <v>9.4E-2</v>
      </c>
      <c r="L53" s="117">
        <v>9.5000000000000001E-2</v>
      </c>
      <c r="M53" s="117">
        <v>0.108</v>
      </c>
      <c r="N53" s="118">
        <v>1</v>
      </c>
      <c r="O53" s="83"/>
      <c r="P53" s="116" t="s">
        <v>42</v>
      </c>
      <c r="Q53" s="117">
        <v>7.0999999999999994E-2</v>
      </c>
      <c r="R53" s="117">
        <v>7.0999999999999994E-2</v>
      </c>
      <c r="S53" s="117">
        <v>8.1000000000000003E-2</v>
      </c>
      <c r="T53" s="117">
        <v>7.9000000000000001E-2</v>
      </c>
      <c r="U53" s="118">
        <v>1</v>
      </c>
    </row>
  </sheetData>
  <mergeCells count="5">
    <mergeCell ref="A11:N11"/>
    <mergeCell ref="P11:U11"/>
    <mergeCell ref="A43:N43"/>
    <mergeCell ref="P43:U43"/>
    <mergeCell ref="A1:J1"/>
  </mergeCells>
  <pageMargins left="0.7" right="0.7" top="0.75" bottom="0.75" header="0.3" footer="0.3"/>
  <ignoredErrors>
    <ignoredError sqref="Q32:T3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9DBA-A3F9-6D4A-8360-1847745CC2E0}">
  <dimension ref="A1:T128"/>
  <sheetViews>
    <sheetView showGridLines="0" topLeftCell="A28" zoomScaleNormal="100" workbookViewId="0">
      <selection activeCell="L29" sqref="L29:T68"/>
    </sheetView>
  </sheetViews>
  <sheetFormatPr baseColWidth="10" defaultColWidth="11.5" defaultRowHeight="16" x14ac:dyDescent="0.2"/>
  <cols>
    <col min="1" max="1" width="26.5" style="213" customWidth="1"/>
    <col min="2" max="2" width="13" style="213" bestFit="1" customWidth="1"/>
    <col min="3" max="4" width="14.33203125" style="213" bestFit="1" customWidth="1"/>
    <col min="5" max="5" width="12.33203125" style="213" customWidth="1"/>
    <col min="6" max="6" width="13.33203125" style="213" bestFit="1" customWidth="1"/>
    <col min="7" max="8" width="14.5" style="213" bestFit="1" customWidth="1"/>
    <col min="9" max="9" width="13" style="213" customWidth="1"/>
    <col min="10" max="10" width="13.33203125" style="213" bestFit="1" customWidth="1"/>
    <col min="11" max="11" width="2.83203125" style="213" customWidth="1"/>
    <col min="12" max="12" width="20.83203125" style="213" customWidth="1"/>
    <col min="13" max="13" width="12.6640625" style="213" bestFit="1" customWidth="1"/>
    <col min="14" max="15" width="11.5" style="213" bestFit="1" customWidth="1"/>
    <col min="16" max="16" width="11.33203125" style="213" bestFit="1" customWidth="1"/>
    <col min="17" max="17" width="10.33203125" style="213" bestFit="1" customWidth="1"/>
    <col min="18" max="21" width="10.1640625" style="213" bestFit="1" customWidth="1"/>
    <col min="22" max="22" width="11.1640625" style="213" bestFit="1" customWidth="1"/>
    <col min="23" max="16384" width="11.5" style="213"/>
  </cols>
  <sheetData>
    <row r="1" spans="1:15" x14ac:dyDescent="0.2">
      <c r="A1" s="211" t="s">
        <v>93</v>
      </c>
      <c r="B1" s="212">
        <v>0.3</v>
      </c>
    </row>
    <row r="2" spans="1:15" x14ac:dyDescent="0.2">
      <c r="G2" s="214"/>
    </row>
    <row r="3" spans="1:15" x14ac:dyDescent="0.2">
      <c r="B3" s="214"/>
      <c r="C3" s="214"/>
      <c r="D3" s="214"/>
      <c r="E3" s="214"/>
      <c r="F3" s="214"/>
    </row>
    <row r="4" spans="1:15" x14ac:dyDescent="0.2">
      <c r="A4" s="377" t="s">
        <v>94</v>
      </c>
      <c r="B4" s="377"/>
      <c r="C4" s="377"/>
      <c r="D4" s="377"/>
      <c r="E4" s="377"/>
      <c r="F4" s="377"/>
      <c r="G4" s="377"/>
      <c r="H4" s="377"/>
      <c r="I4" s="377"/>
      <c r="J4" s="377"/>
    </row>
    <row r="5" spans="1:15" ht="34" x14ac:dyDescent="0.2">
      <c r="A5" s="215" t="s">
        <v>75</v>
      </c>
      <c r="B5" s="215" t="s">
        <v>95</v>
      </c>
      <c r="C5" s="215" t="s">
        <v>96</v>
      </c>
      <c r="D5" s="215" t="s">
        <v>97</v>
      </c>
      <c r="E5" s="215" t="s">
        <v>98</v>
      </c>
      <c r="F5" s="215" t="s">
        <v>99</v>
      </c>
      <c r="G5" s="215" t="s">
        <v>93</v>
      </c>
      <c r="H5" s="216" t="s">
        <v>100</v>
      </c>
      <c r="I5" s="216" t="s">
        <v>101</v>
      </c>
      <c r="J5" s="215" t="s">
        <v>102</v>
      </c>
    </row>
    <row r="6" spans="1:15" x14ac:dyDescent="0.2">
      <c r="A6" s="213" t="s">
        <v>25</v>
      </c>
      <c r="B6" s="214">
        <v>70053607</v>
      </c>
      <c r="C6" s="214">
        <v>143242813</v>
      </c>
      <c r="D6" s="214">
        <f t="shared" ref="D6:D12" si="0">B6+C6</f>
        <v>213296420</v>
      </c>
      <c r="E6" s="217">
        <v>0.4</v>
      </c>
      <c r="F6" s="214">
        <f>'2026 Bütçe - 600 (Yıllık)'!I6*1000</f>
        <v>105080410.5</v>
      </c>
      <c r="G6" s="214">
        <f>'2026 Bütçe - 600 (Yıllık)'!M6*1000</f>
        <v>177871727.22499999</v>
      </c>
      <c r="H6" s="218">
        <f t="shared" ref="H6:H13" si="1">F6+G6</f>
        <v>282952137.72500002</v>
      </c>
      <c r="I6" s="219">
        <f>H6/D6-1</f>
        <v>0.3265676832503801</v>
      </c>
      <c r="J6" s="220">
        <f t="shared" ref="J6:J14" si="2">H6/$H$14</f>
        <v>0.15223598229673835</v>
      </c>
    </row>
    <row r="7" spans="1:15" x14ac:dyDescent="0.2">
      <c r="A7" s="213" t="s">
        <v>29</v>
      </c>
      <c r="B7" s="214">
        <v>25018010.299999997</v>
      </c>
      <c r="C7" s="214">
        <v>19223724.843200002</v>
      </c>
      <c r="D7" s="214">
        <f t="shared" si="0"/>
        <v>44241735.143199995</v>
      </c>
      <c r="E7" s="217">
        <v>0.4</v>
      </c>
      <c r="F7" s="214">
        <f>'2026 Bütçe - 600 (Yıllık)'!I7*1000</f>
        <v>41258034</v>
      </c>
      <c r="G7" s="214">
        <f>'2026 Bütçe - 600 (Yıllık)'!M7*1000</f>
        <v>16451099.300000001</v>
      </c>
      <c r="H7" s="218">
        <f t="shared" si="1"/>
        <v>57709133.299999997</v>
      </c>
      <c r="I7" s="219">
        <f t="shared" ref="I7:I13" si="3">H7/D7-1</f>
        <v>0.30440483659172113</v>
      </c>
      <c r="J7" s="220">
        <f t="shared" si="2"/>
        <v>3.1049090726281817E-2</v>
      </c>
    </row>
    <row r="8" spans="1:15" x14ac:dyDescent="0.2">
      <c r="A8" s="213" t="s">
        <v>27</v>
      </c>
      <c r="B8" s="214">
        <v>13752678</v>
      </c>
      <c r="C8" s="214">
        <v>13930924</v>
      </c>
      <c r="D8" s="214">
        <f t="shared" si="0"/>
        <v>27683602</v>
      </c>
      <c r="E8" s="217">
        <v>2</v>
      </c>
      <c r="F8" s="214">
        <f>'2026 Bütçe - 600 (Yıllık)'!I8*1000</f>
        <v>37527015</v>
      </c>
      <c r="G8" s="214">
        <f>'2026 Bütçe - 600 (Yıllık)'!M8*1000</f>
        <v>22410685.625</v>
      </c>
      <c r="H8" s="218">
        <f t="shared" si="1"/>
        <v>59937700.625</v>
      </c>
      <c r="I8" s="219">
        <f t="shared" si="3"/>
        <v>1.1650976135619926</v>
      </c>
      <c r="J8" s="220">
        <f t="shared" si="2"/>
        <v>3.2248120846936082E-2</v>
      </c>
    </row>
    <row r="9" spans="1:15" x14ac:dyDescent="0.2">
      <c r="A9" s="213" t="s">
        <v>69</v>
      </c>
      <c r="B9" s="214">
        <v>8415735.7799999993</v>
      </c>
      <c r="C9" s="214">
        <v>4773940.58</v>
      </c>
      <c r="D9" s="214">
        <f t="shared" si="0"/>
        <v>13189676.359999999</v>
      </c>
      <c r="E9" s="217">
        <v>1.5</v>
      </c>
      <c r="F9" s="214">
        <f>'2026 Bütçe - 600 (Yıllık)'!I9*1000</f>
        <v>25247208.000000004</v>
      </c>
      <c r="G9" s="214">
        <f>'2026 Bütçe - 600 (Yıllık)'!M9*1000</f>
        <v>362971.82499999972</v>
      </c>
      <c r="H9" s="218">
        <f t="shared" si="1"/>
        <v>25610179.825000003</v>
      </c>
      <c r="I9" s="219">
        <f t="shared" si="3"/>
        <v>0.94168371732511602</v>
      </c>
      <c r="J9" s="220">
        <f t="shared" si="2"/>
        <v>1.3778976592303411E-2</v>
      </c>
    </row>
    <row r="10" spans="1:15" x14ac:dyDescent="0.2">
      <c r="A10" s="213" t="s">
        <v>32</v>
      </c>
      <c r="B10" s="214">
        <v>3806445</v>
      </c>
      <c r="C10" s="214">
        <v>2987175.04</v>
      </c>
      <c r="D10" s="214">
        <f t="shared" si="0"/>
        <v>6793620.04</v>
      </c>
      <c r="E10" s="217">
        <v>0.5</v>
      </c>
      <c r="F10" s="214">
        <f>'2026 Bütçe - 600 (Yıllık)'!I10*1000</f>
        <v>5709667.5000000009</v>
      </c>
      <c r="G10" s="214">
        <f>'2026 Bütçe - 600 (Yıllık)'!M10*1000</f>
        <v>3825506.875</v>
      </c>
      <c r="H10" s="218">
        <f t="shared" si="1"/>
        <v>9535174.375</v>
      </c>
      <c r="I10" s="219">
        <f t="shared" si="3"/>
        <v>0.4035483761025882</v>
      </c>
      <c r="J10" s="220">
        <f t="shared" si="2"/>
        <v>5.1301843803690005E-3</v>
      </c>
    </row>
    <row r="11" spans="1:15" x14ac:dyDescent="0.2">
      <c r="A11" s="213" t="s">
        <v>34</v>
      </c>
      <c r="B11" s="214">
        <v>690653.09318800026</v>
      </c>
      <c r="C11" s="214">
        <v>48585094.599262007</v>
      </c>
      <c r="D11" s="214">
        <f t="shared" si="0"/>
        <v>49275747.692450009</v>
      </c>
      <c r="E11" s="217">
        <v>10</v>
      </c>
      <c r="F11" s="214">
        <f>'2026 Bütçe - 600 (Yıllık)'!I12*1000</f>
        <v>7597183</v>
      </c>
      <c r="G11" s="214">
        <f>'2026 Bütçe - 600 (Yıllık)'!M12*1000</f>
        <v>64375250.875</v>
      </c>
      <c r="H11" s="218">
        <f t="shared" si="1"/>
        <v>71972433.875</v>
      </c>
      <c r="I11" s="219">
        <f t="shared" si="3"/>
        <v>0.46060561727463267</v>
      </c>
      <c r="J11" s="220">
        <f t="shared" si="2"/>
        <v>3.8723136207214431E-2</v>
      </c>
      <c r="L11" s="214"/>
      <c r="M11" s="214"/>
    </row>
    <row r="12" spans="1:15" x14ac:dyDescent="0.2">
      <c r="A12" s="213" t="s">
        <v>53</v>
      </c>
      <c r="B12" s="214">
        <v>25326464</v>
      </c>
      <c r="C12" s="214"/>
      <c r="D12" s="214">
        <f t="shared" si="0"/>
        <v>25326464</v>
      </c>
      <c r="E12" s="217">
        <v>2</v>
      </c>
      <c r="F12" s="214">
        <f>'2026 Bütçe - 600 (Yıllık)'!I11*1000</f>
        <v>40000000</v>
      </c>
      <c r="G12" s="213">
        <f>'2026 Bütçe - 600 (Yıllık)'!M11*'2026 Bütçe - 600 (Yıllık)'!M11</f>
        <v>1294488441</v>
      </c>
      <c r="H12" s="218">
        <f>F12+G12</f>
        <v>1334488441</v>
      </c>
      <c r="I12" s="219">
        <f t="shared" si="3"/>
        <v>51.691463008811652</v>
      </c>
      <c r="J12" s="220">
        <f t="shared" si="2"/>
        <v>0.71799124867091668</v>
      </c>
      <c r="M12" s="214"/>
    </row>
    <row r="13" spans="1:15" x14ac:dyDescent="0.2">
      <c r="A13" s="213" t="s">
        <v>54</v>
      </c>
      <c r="B13" s="214">
        <v>4980743</v>
      </c>
      <c r="C13" s="214"/>
      <c r="D13" s="214">
        <v>4980743</v>
      </c>
      <c r="E13" s="217">
        <v>2.2999999999999998</v>
      </c>
      <c r="F13" s="214">
        <f>'2026 Bütçe - 600 (Yıllık)'!I13*1000</f>
        <v>16436451.9</v>
      </c>
      <c r="G13" s="214">
        <f>'2026 Bütçe - 600 (Yıllık)'!M13*1000</f>
        <v>0</v>
      </c>
      <c r="H13" s="218">
        <f t="shared" si="1"/>
        <v>16436451.9</v>
      </c>
      <c r="I13" s="219">
        <f t="shared" si="3"/>
        <v>2.3000000000000003</v>
      </c>
      <c r="J13" s="220">
        <f t="shared" si="2"/>
        <v>8.8432602792401869E-3</v>
      </c>
      <c r="M13" s="214"/>
    </row>
    <row r="14" spans="1:15" x14ac:dyDescent="0.2">
      <c r="A14" s="221" t="s">
        <v>56</v>
      </c>
      <c r="B14" s="222">
        <f>SUM(B6:B13)</f>
        <v>152044336.173188</v>
      </c>
      <c r="C14" s="222">
        <f>SUM(C6:C13)</f>
        <v>232743672.062462</v>
      </c>
      <c r="D14" s="222">
        <f>SUM(D6:D13)</f>
        <v>384788008.23565</v>
      </c>
      <c r="E14" s="222"/>
      <c r="F14" s="222">
        <f>SUM(F6:F13)</f>
        <v>278855969.89999998</v>
      </c>
      <c r="G14" s="222">
        <f>SUM(G6:G13)</f>
        <v>1579785682.7249999</v>
      </c>
      <c r="H14" s="223">
        <f>SUM(H6:H13)</f>
        <v>1858641652.625</v>
      </c>
      <c r="I14" s="224">
        <f>H14/D14-1</f>
        <v>3.8303003545961332</v>
      </c>
      <c r="J14" s="225">
        <f t="shared" si="2"/>
        <v>1</v>
      </c>
      <c r="M14" s="214"/>
    </row>
    <row r="15" spans="1:15" x14ac:dyDescent="0.2">
      <c r="H15" s="226"/>
      <c r="J15" s="214"/>
      <c r="M15" s="214"/>
    </row>
    <row r="16" spans="1:15" x14ac:dyDescent="0.2">
      <c r="A16" s="377" t="s">
        <v>103</v>
      </c>
      <c r="B16" s="377"/>
      <c r="C16" s="377"/>
      <c r="D16" s="377"/>
      <c r="E16" s="377"/>
      <c r="F16" s="377"/>
      <c r="G16" s="377"/>
      <c r="H16" s="377"/>
      <c r="I16" s="377"/>
      <c r="J16" s="377"/>
      <c r="L16" s="315"/>
      <c r="M16" s="315" t="s">
        <v>26</v>
      </c>
      <c r="N16" s="315" t="s">
        <v>28</v>
      </c>
      <c r="O16" s="315" t="s">
        <v>30</v>
      </c>
    </row>
    <row r="17" spans="1:20" ht="17" x14ac:dyDescent="0.2">
      <c r="A17" s="227" t="s">
        <v>75</v>
      </c>
      <c r="B17" s="228" t="s">
        <v>25</v>
      </c>
      <c r="C17" s="228" t="s">
        <v>29</v>
      </c>
      <c r="D17" s="228" t="s">
        <v>27</v>
      </c>
      <c r="E17" s="228" t="s">
        <v>69</v>
      </c>
      <c r="F17" s="228" t="s">
        <v>32</v>
      </c>
      <c r="G17" s="228" t="s">
        <v>34</v>
      </c>
      <c r="H17" s="228" t="s">
        <v>53</v>
      </c>
      <c r="I17" s="228" t="s">
        <v>54</v>
      </c>
      <c r="J17" s="228" t="s">
        <v>56</v>
      </c>
      <c r="L17" s="12" t="s">
        <v>25</v>
      </c>
      <c r="M17" s="314">
        <v>105080.4105</v>
      </c>
      <c r="N17" s="314">
        <v>177871.72722499998</v>
      </c>
      <c r="O17" s="314">
        <f t="shared" ref="O17:O24" si="4">SUM(M17:N17)</f>
        <v>282952.13772499998</v>
      </c>
    </row>
    <row r="18" spans="1:20" ht="17" x14ac:dyDescent="0.2">
      <c r="A18" s="229" t="s">
        <v>95</v>
      </c>
      <c r="B18" s="214">
        <v>70053607</v>
      </c>
      <c r="C18" s="214">
        <v>25018010.299999997</v>
      </c>
      <c r="D18" s="214">
        <v>13752678</v>
      </c>
      <c r="E18" s="214">
        <v>8415735.7799999993</v>
      </c>
      <c r="F18" s="214">
        <v>3806445</v>
      </c>
      <c r="G18" s="214">
        <v>690653.09318800026</v>
      </c>
      <c r="H18" s="214">
        <v>25326464</v>
      </c>
      <c r="I18" s="214">
        <v>4980743</v>
      </c>
      <c r="J18" s="230">
        <f>SUM(B18:I18)</f>
        <v>152044336.173188</v>
      </c>
      <c r="L18" s="12" t="s">
        <v>27</v>
      </c>
      <c r="M18" s="314">
        <v>41258.034</v>
      </c>
      <c r="N18" s="314">
        <v>16451.099300000002</v>
      </c>
      <c r="O18" s="314">
        <f t="shared" si="4"/>
        <v>57709.133300000001</v>
      </c>
    </row>
    <row r="19" spans="1:20" ht="17" x14ac:dyDescent="0.2">
      <c r="A19" s="229" t="s">
        <v>96</v>
      </c>
      <c r="B19" s="214">
        <v>143242813</v>
      </c>
      <c r="C19" s="214">
        <v>19223724.843200002</v>
      </c>
      <c r="D19" s="214">
        <v>13930924</v>
      </c>
      <c r="E19" s="214">
        <v>4773940.58</v>
      </c>
      <c r="F19" s="214">
        <v>2987175.04</v>
      </c>
      <c r="G19" s="214">
        <v>48585094.599262007</v>
      </c>
      <c r="H19" s="214"/>
      <c r="I19" s="214"/>
      <c r="J19" s="230">
        <f>SUM(B19:I19)</f>
        <v>232743672.062462</v>
      </c>
      <c r="L19" s="12" t="s">
        <v>29</v>
      </c>
      <c r="M19" s="314">
        <v>37527.014999999999</v>
      </c>
      <c r="N19" s="314">
        <v>22410.685624999998</v>
      </c>
      <c r="O19" s="314">
        <f t="shared" si="4"/>
        <v>59937.700624999998</v>
      </c>
    </row>
    <row r="20" spans="1:20" ht="17" x14ac:dyDescent="0.2">
      <c r="A20" s="229" t="s">
        <v>97</v>
      </c>
      <c r="B20" s="230">
        <f>(B18+B19)</f>
        <v>213296420</v>
      </c>
      <c r="C20" s="230">
        <f t="shared" ref="C20:I20" si="5">(C18+C19)</f>
        <v>44241735.143199995</v>
      </c>
      <c r="D20" s="230">
        <f t="shared" si="5"/>
        <v>27683602</v>
      </c>
      <c r="E20" s="230">
        <f t="shared" si="5"/>
        <v>13189676.359999999</v>
      </c>
      <c r="F20" s="230">
        <f t="shared" si="5"/>
        <v>6793620.04</v>
      </c>
      <c r="G20" s="230">
        <f t="shared" si="5"/>
        <v>49275747.692450009</v>
      </c>
      <c r="H20" s="230">
        <f t="shared" si="5"/>
        <v>25326464</v>
      </c>
      <c r="I20" s="230">
        <f t="shared" si="5"/>
        <v>4980743</v>
      </c>
      <c r="J20" s="230">
        <f>SUM(B20:I20)</f>
        <v>384788008.23565</v>
      </c>
      <c r="L20" s="12" t="s">
        <v>69</v>
      </c>
      <c r="M20" s="314">
        <v>25247.208000000002</v>
      </c>
      <c r="N20" s="314">
        <v>362.97182499999974</v>
      </c>
      <c r="O20" s="314">
        <f t="shared" si="4"/>
        <v>25610.179825000003</v>
      </c>
    </row>
    <row r="21" spans="1:20" x14ac:dyDescent="0.2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12" t="s">
        <v>32</v>
      </c>
      <c r="M21" s="314">
        <f>5709+3826</f>
        <v>9535</v>
      </c>
      <c r="N21" s="314">
        <v>0</v>
      </c>
      <c r="O21" s="314">
        <f t="shared" si="4"/>
        <v>9535</v>
      </c>
    </row>
    <row r="22" spans="1:20" ht="17" x14ac:dyDescent="0.2">
      <c r="A22" s="227" t="s">
        <v>98</v>
      </c>
      <c r="B22" s="231">
        <v>0.4</v>
      </c>
      <c r="C22" s="231">
        <v>0.4</v>
      </c>
      <c r="D22" s="231">
        <v>2</v>
      </c>
      <c r="E22" s="231">
        <v>1.5</v>
      </c>
      <c r="F22" s="231">
        <v>0.5</v>
      </c>
      <c r="G22" s="231">
        <v>10</v>
      </c>
      <c r="H22" s="231">
        <v>2</v>
      </c>
      <c r="I22" s="231">
        <v>2.2999999999999998</v>
      </c>
      <c r="J22" s="222"/>
      <c r="L22" s="12" t="s">
        <v>33</v>
      </c>
      <c r="M22" s="314">
        <v>40000</v>
      </c>
      <c r="N22" s="314">
        <v>35979</v>
      </c>
      <c r="O22" s="314">
        <f t="shared" si="4"/>
        <v>75979</v>
      </c>
      <c r="P22" s="12"/>
      <c r="Q22" s="12"/>
      <c r="R22" s="12"/>
      <c r="S22" s="12"/>
      <c r="T22" s="12"/>
    </row>
    <row r="23" spans="1:20" ht="17" x14ac:dyDescent="0.2">
      <c r="A23" s="227" t="s">
        <v>104</v>
      </c>
      <c r="B23" s="231">
        <v>0.3</v>
      </c>
      <c r="C23" s="231">
        <f>B23</f>
        <v>0.3</v>
      </c>
      <c r="D23" s="231">
        <f t="shared" ref="D23:I23" si="6">C23</f>
        <v>0.3</v>
      </c>
      <c r="E23" s="231">
        <f t="shared" si="6"/>
        <v>0.3</v>
      </c>
      <c r="F23" s="231">
        <f t="shared" si="6"/>
        <v>0.3</v>
      </c>
      <c r="G23" s="231">
        <v>0.33100000000000002</v>
      </c>
      <c r="H23" s="231">
        <f t="shared" si="6"/>
        <v>0.33100000000000002</v>
      </c>
      <c r="I23" s="231">
        <f t="shared" si="6"/>
        <v>0.33100000000000002</v>
      </c>
      <c r="J23" s="222"/>
      <c r="L23" s="12" t="s">
        <v>34</v>
      </c>
      <c r="M23" s="314">
        <v>7597.183</v>
      </c>
      <c r="N23" s="314">
        <v>64375.250874999998</v>
      </c>
      <c r="O23" s="314">
        <f t="shared" si="4"/>
        <v>71972.433875000002</v>
      </c>
      <c r="P23" s="314"/>
      <c r="Q23" s="314"/>
      <c r="R23" s="314"/>
      <c r="S23" s="314"/>
      <c r="T23" s="314"/>
    </row>
    <row r="24" spans="1:20" ht="17" x14ac:dyDescent="0.2">
      <c r="A24" s="227" t="s">
        <v>99</v>
      </c>
      <c r="B24" s="214">
        <v>105080410.5</v>
      </c>
      <c r="C24" s="214">
        <v>41258034</v>
      </c>
      <c r="D24" s="214">
        <v>37527015</v>
      </c>
      <c r="E24" s="214">
        <v>25247208.000000004</v>
      </c>
      <c r="F24" s="214">
        <v>5709667.5000000009</v>
      </c>
      <c r="G24" s="214">
        <v>7597183</v>
      </c>
      <c r="H24" s="214">
        <v>40000000</v>
      </c>
      <c r="I24" s="214">
        <v>16436451.9</v>
      </c>
      <c r="J24" s="222">
        <f>SUM(B24:I24)</f>
        <v>278855969.89999998</v>
      </c>
      <c r="L24" s="12" t="s">
        <v>35</v>
      </c>
      <c r="M24" s="314">
        <v>16436.4519</v>
      </c>
      <c r="N24" s="314">
        <v>0</v>
      </c>
      <c r="O24" s="314">
        <f t="shared" si="4"/>
        <v>16436.4519</v>
      </c>
      <c r="P24" s="314"/>
      <c r="Q24" s="314"/>
      <c r="R24" s="314"/>
      <c r="S24" s="314"/>
      <c r="T24" s="314"/>
    </row>
    <row r="25" spans="1:20" ht="17" x14ac:dyDescent="0.2">
      <c r="A25" s="227" t="s">
        <v>93</v>
      </c>
      <c r="B25" s="214">
        <v>177871727.22499999</v>
      </c>
      <c r="C25" s="214">
        <v>16451099.300000001</v>
      </c>
      <c r="D25" s="214">
        <v>22410685.625</v>
      </c>
      <c r="E25" s="214">
        <v>362971.82499999972</v>
      </c>
      <c r="F25" s="214">
        <v>3825506.875</v>
      </c>
      <c r="G25" s="214">
        <v>64375250.875</v>
      </c>
      <c r="H25" s="214">
        <v>35979000</v>
      </c>
      <c r="I25" s="214">
        <v>0</v>
      </c>
      <c r="J25" s="222">
        <f>SUM(B25:I25)</f>
        <v>321276241.72500002</v>
      </c>
      <c r="L25" s="226" t="s">
        <v>30</v>
      </c>
      <c r="M25" s="316">
        <f>SUM(M17:M24)</f>
        <v>282681.30239999999</v>
      </c>
      <c r="N25" s="316">
        <f t="shared" ref="N25:O25" si="7">SUM(N17:N24)</f>
        <v>317450.73484999995</v>
      </c>
      <c r="O25" s="316">
        <f t="shared" si="7"/>
        <v>600132.03724999994</v>
      </c>
      <c r="P25" s="314"/>
      <c r="Q25" s="314"/>
      <c r="R25" s="314"/>
      <c r="S25" s="314"/>
      <c r="T25" s="314"/>
    </row>
    <row r="26" spans="1:20" ht="17" x14ac:dyDescent="0.2">
      <c r="A26" s="232" t="s">
        <v>100</v>
      </c>
      <c r="B26" s="233">
        <f t="shared" ref="B26:I26" si="8">B24+B25</f>
        <v>282952137.72500002</v>
      </c>
      <c r="C26" s="233">
        <f t="shared" si="8"/>
        <v>57709133.299999997</v>
      </c>
      <c r="D26" s="233">
        <f t="shared" si="8"/>
        <v>59937700.625</v>
      </c>
      <c r="E26" s="233">
        <f t="shared" si="8"/>
        <v>25610179.825000003</v>
      </c>
      <c r="F26" s="233">
        <f t="shared" si="8"/>
        <v>9535174.375</v>
      </c>
      <c r="G26" s="233">
        <f t="shared" si="8"/>
        <v>71972433.875</v>
      </c>
      <c r="H26" s="233">
        <f t="shared" si="8"/>
        <v>75979000</v>
      </c>
      <c r="I26" s="233">
        <f t="shared" si="8"/>
        <v>16436451.9</v>
      </c>
      <c r="J26" s="233">
        <f>SUM(B26:I26)</f>
        <v>600132211.625</v>
      </c>
      <c r="M26" s="163"/>
      <c r="N26" s="163"/>
      <c r="O26" s="163"/>
      <c r="P26" s="163"/>
      <c r="Q26" s="163"/>
      <c r="R26" s="163"/>
      <c r="S26" s="163"/>
      <c r="T26" s="163"/>
    </row>
    <row r="27" spans="1:20" ht="17" x14ac:dyDescent="0.2">
      <c r="A27" s="234" t="s">
        <v>105</v>
      </c>
      <c r="B27" s="235">
        <f>B26/$J$26</f>
        <v>0.47148300365154561</v>
      </c>
      <c r="C27" s="235">
        <f t="shared" ref="C27:I27" si="9">C26/$J$26</f>
        <v>9.6160699562749447E-2</v>
      </c>
      <c r="D27" s="235">
        <f t="shared" si="9"/>
        <v>9.9874160166648102E-2</v>
      </c>
      <c r="E27" s="235">
        <f t="shared" si="9"/>
        <v>4.2674229659585144E-2</v>
      </c>
      <c r="F27" s="235">
        <f t="shared" si="9"/>
        <v>1.5888456227305746E-2</v>
      </c>
      <c r="G27" s="235">
        <f t="shared" si="9"/>
        <v>0.11992763008024115</v>
      </c>
      <c r="H27" s="235">
        <f t="shared" si="9"/>
        <v>0.12660376918324193</v>
      </c>
      <c r="I27" s="235">
        <f t="shared" si="9"/>
        <v>2.7388051468682905E-2</v>
      </c>
      <c r="J27" s="223"/>
    </row>
    <row r="29" spans="1:20" x14ac:dyDescent="0.2">
      <c r="A29" s="376" t="s">
        <v>74</v>
      </c>
      <c r="B29" s="376"/>
      <c r="C29" s="376"/>
      <c r="D29" s="376"/>
      <c r="E29" s="376"/>
      <c r="F29" s="376"/>
      <c r="G29" s="376"/>
      <c r="H29" s="376"/>
      <c r="I29" s="376"/>
      <c r="J29" s="376"/>
      <c r="L29" s="376" t="s">
        <v>74</v>
      </c>
      <c r="M29" s="376"/>
      <c r="N29" s="376"/>
      <c r="O29" s="376"/>
      <c r="P29" s="376"/>
      <c r="Q29" s="376"/>
      <c r="R29" s="376"/>
      <c r="S29" s="376"/>
      <c r="T29" s="376"/>
    </row>
    <row r="30" spans="1:20" ht="17" x14ac:dyDescent="0.2">
      <c r="A30" s="236" t="s">
        <v>75</v>
      </c>
      <c r="B30" s="237" t="s">
        <v>25</v>
      </c>
      <c r="C30" s="237" t="s">
        <v>29</v>
      </c>
      <c r="D30" s="237" t="s">
        <v>27</v>
      </c>
      <c r="E30" s="237" t="s">
        <v>69</v>
      </c>
      <c r="F30" s="237" t="s">
        <v>32</v>
      </c>
      <c r="G30" s="237" t="s">
        <v>34</v>
      </c>
      <c r="H30" s="237" t="s">
        <v>53</v>
      </c>
      <c r="I30" s="237" t="s">
        <v>54</v>
      </c>
      <c r="J30" s="237" t="s">
        <v>56</v>
      </c>
      <c r="L30" s="236" t="s">
        <v>75</v>
      </c>
      <c r="M30" s="237" t="s">
        <v>25</v>
      </c>
      <c r="N30" s="237" t="s">
        <v>29</v>
      </c>
      <c r="O30" s="237" t="s">
        <v>27</v>
      </c>
      <c r="P30" s="237" t="s">
        <v>69</v>
      </c>
      <c r="Q30" s="237" t="s">
        <v>32</v>
      </c>
      <c r="R30" s="237" t="s">
        <v>34</v>
      </c>
      <c r="S30" s="237" t="s">
        <v>53</v>
      </c>
      <c r="T30" s="237" t="s">
        <v>54</v>
      </c>
    </row>
    <row r="31" spans="1:20" s="226" customFormat="1" ht="34" x14ac:dyDescent="0.2">
      <c r="A31" s="234" t="s">
        <v>76</v>
      </c>
      <c r="B31" s="223">
        <f t="shared" ref="B31:J31" si="10">B35+B59</f>
        <v>282952.25079999998</v>
      </c>
      <c r="C31" s="223">
        <f t="shared" si="10"/>
        <v>57709.2448</v>
      </c>
      <c r="D31" s="223">
        <f t="shared" si="10"/>
        <v>59936.679362505973</v>
      </c>
      <c r="E31" s="223">
        <f t="shared" si="10"/>
        <v>25610.179825000003</v>
      </c>
      <c r="F31" s="223">
        <f>F35+F59</f>
        <v>9536</v>
      </c>
      <c r="G31" s="223">
        <f t="shared" si="10"/>
        <v>71971.589000000007</v>
      </c>
      <c r="H31" s="223">
        <f t="shared" si="10"/>
        <v>75979.391999999993</v>
      </c>
      <c r="I31" s="223">
        <f t="shared" si="10"/>
        <v>16436</v>
      </c>
      <c r="J31" s="223">
        <f t="shared" si="10"/>
        <v>600131.33578750596</v>
      </c>
      <c r="L31" s="234" t="s">
        <v>76</v>
      </c>
      <c r="M31" s="235">
        <f t="shared" ref="M31:T31" si="11">SUM(M32:M33)</f>
        <v>1</v>
      </c>
      <c r="N31" s="235">
        <f t="shared" si="11"/>
        <v>1</v>
      </c>
      <c r="O31" s="235">
        <f t="shared" si="11"/>
        <v>1</v>
      </c>
      <c r="P31" s="235">
        <f t="shared" si="11"/>
        <v>1</v>
      </c>
      <c r="Q31" s="235">
        <f t="shared" si="11"/>
        <v>1</v>
      </c>
      <c r="R31" s="235">
        <f t="shared" si="11"/>
        <v>0.99999999999999989</v>
      </c>
      <c r="S31" s="235">
        <f t="shared" si="11"/>
        <v>1</v>
      </c>
      <c r="T31" s="235">
        <f t="shared" si="11"/>
        <v>1</v>
      </c>
    </row>
    <row r="32" spans="1:20" s="240" customFormat="1" x14ac:dyDescent="0.2">
      <c r="A32" s="238" t="s">
        <v>26</v>
      </c>
      <c r="B32" s="239">
        <f>B37+B40+B43+B46+B49+B52+B67+B61+B64+B55</f>
        <v>105080</v>
      </c>
      <c r="C32" s="239">
        <f t="shared" ref="C32:I32" si="12">C37+C40+C43+C46+C49+C52+C67+C61+C64+C55</f>
        <v>41258.081599999998</v>
      </c>
      <c r="D32" s="239">
        <f t="shared" si="12"/>
        <v>37527</v>
      </c>
      <c r="E32" s="239">
        <f t="shared" si="12"/>
        <v>25247.208000000002</v>
      </c>
      <c r="F32" s="239">
        <f t="shared" si="12"/>
        <v>5710</v>
      </c>
      <c r="G32" s="239">
        <f t="shared" si="12"/>
        <v>7597</v>
      </c>
      <c r="H32" s="239">
        <f t="shared" si="12"/>
        <v>40000</v>
      </c>
      <c r="I32" s="239">
        <f t="shared" si="12"/>
        <v>16436</v>
      </c>
      <c r="J32" s="239">
        <f>SUM(B32:I32)</f>
        <v>278855.28960000002</v>
      </c>
      <c r="K32" s="378"/>
      <c r="L32" s="238" t="s">
        <v>26</v>
      </c>
      <c r="M32" s="329">
        <f>B32/$B$31</f>
        <v>0.37137007994424481</v>
      </c>
      <c r="N32" s="329">
        <f>C32/$C$31</f>
        <v>0.71493019433863736</v>
      </c>
      <c r="O32" s="329">
        <f>D32/$D$31</f>
        <v>0.62611076221008355</v>
      </c>
      <c r="P32" s="329">
        <f>E32/$E$31</f>
        <v>0.98582704895161744</v>
      </c>
      <c r="Q32" s="329">
        <f>F32/$F$31</f>
        <v>0.59878355704697983</v>
      </c>
      <c r="R32" s="329">
        <f>G32/$G$31</f>
        <v>0.10555554081208349</v>
      </c>
      <c r="S32" s="329">
        <f>H32/$H$31</f>
        <v>0.52645854286383342</v>
      </c>
      <c r="T32" s="329">
        <f>I32/$I$31</f>
        <v>1</v>
      </c>
    </row>
    <row r="33" spans="1:20" s="240" customFormat="1" x14ac:dyDescent="0.2">
      <c r="A33" s="238" t="s">
        <v>28</v>
      </c>
      <c r="B33" s="239">
        <f>B38+B41+B44+B47+B50+B53+B68+B62+B65+B56</f>
        <v>177872.25079999998</v>
      </c>
      <c r="C33" s="239">
        <f t="shared" ref="C33:I33" si="13">C38+C41+C44+C47+C50+C53+C68+C62+C65+C56</f>
        <v>16451.163199999999</v>
      </c>
      <c r="D33" s="239">
        <f t="shared" si="13"/>
        <v>22409.679362505973</v>
      </c>
      <c r="E33" s="239">
        <f t="shared" si="13"/>
        <v>362.97182499999974</v>
      </c>
      <c r="F33" s="239">
        <f t="shared" si="13"/>
        <v>3826</v>
      </c>
      <c r="G33" s="239">
        <f t="shared" si="13"/>
        <v>64374.589</v>
      </c>
      <c r="H33" s="239">
        <f t="shared" si="13"/>
        <v>35979.392</v>
      </c>
      <c r="I33" s="239">
        <f t="shared" si="13"/>
        <v>0</v>
      </c>
      <c r="J33" s="239">
        <f>SUM(B33:I33)</f>
        <v>321276.04618750594</v>
      </c>
      <c r="K33" s="378"/>
      <c r="L33" s="238" t="s">
        <v>28</v>
      </c>
      <c r="M33" s="329">
        <f>B33/$B$31</f>
        <v>0.62862992005575524</v>
      </c>
      <c r="N33" s="329">
        <f>C33/$C$31</f>
        <v>0.28506980566136259</v>
      </c>
      <c r="O33" s="329">
        <f>D33/$D$31</f>
        <v>0.37388923778991645</v>
      </c>
      <c r="P33" s="329">
        <f>E33/$E$31</f>
        <v>1.4172951048382563E-2</v>
      </c>
      <c r="Q33" s="329">
        <f>F33/$F$31</f>
        <v>0.40121644295302011</v>
      </c>
      <c r="R33" s="329">
        <f>G33/$G$31</f>
        <v>0.89444445918791637</v>
      </c>
      <c r="S33" s="329">
        <f>H33/$H$31</f>
        <v>0.47354145713616663</v>
      </c>
      <c r="T33" s="329">
        <f>I33/$I$31</f>
        <v>0</v>
      </c>
    </row>
    <row r="34" spans="1:20" s="226" customFormat="1" x14ac:dyDescent="0.2">
      <c r="B34" s="218"/>
      <c r="C34" s="218"/>
      <c r="D34" s="218"/>
      <c r="E34" s="218"/>
      <c r="F34" s="218"/>
      <c r="G34" s="218"/>
      <c r="H34" s="218"/>
      <c r="I34" s="218"/>
      <c r="M34" s="218"/>
      <c r="N34" s="218"/>
      <c r="O34" s="218"/>
      <c r="P34" s="218"/>
      <c r="Q34" s="218"/>
      <c r="R34" s="218"/>
      <c r="S34" s="218"/>
      <c r="T34" s="218"/>
    </row>
    <row r="35" spans="1:20" s="226" customFormat="1" ht="17" x14ac:dyDescent="0.2">
      <c r="A35" s="234" t="s">
        <v>80</v>
      </c>
      <c r="B35" s="223">
        <f>B36+B39+B42+B45+B48+B51+B54</f>
        <v>264917</v>
      </c>
      <c r="C35" s="223">
        <f t="shared" ref="C35:I35" si="14">C36+C39+C42+C45+C48+C51+C54</f>
        <v>53391</v>
      </c>
      <c r="D35" s="223">
        <f t="shared" si="14"/>
        <v>59590.338562505975</v>
      </c>
      <c r="E35" s="223">
        <f t="shared" si="14"/>
        <v>25610.179825000003</v>
      </c>
      <c r="F35" s="223">
        <f t="shared" si="14"/>
        <v>9536</v>
      </c>
      <c r="G35" s="223">
        <f t="shared" si="14"/>
        <v>69326</v>
      </c>
      <c r="H35" s="223">
        <f t="shared" si="14"/>
        <v>0</v>
      </c>
      <c r="I35" s="223">
        <f t="shared" si="14"/>
        <v>15936</v>
      </c>
      <c r="J35" s="223">
        <f>SUM(B35:I35)</f>
        <v>498306.51838750596</v>
      </c>
      <c r="L35" s="234" t="s">
        <v>80</v>
      </c>
      <c r="M35" s="235">
        <f t="shared" ref="M35:T35" si="15">B35/B31</f>
        <v>0.9362604441243767</v>
      </c>
      <c r="N35" s="235">
        <f t="shared" si="15"/>
        <v>0.92517239109668614</v>
      </c>
      <c r="O35" s="235">
        <f t="shared" si="15"/>
        <v>0.99422155508640586</v>
      </c>
      <c r="P35" s="235">
        <f t="shared" si="15"/>
        <v>1</v>
      </c>
      <c r="Q35" s="235">
        <f t="shared" si="15"/>
        <v>1</v>
      </c>
      <c r="R35" s="235">
        <f t="shared" si="15"/>
        <v>0.9632412034143083</v>
      </c>
      <c r="S35" s="332">
        <f t="shared" si="15"/>
        <v>0</v>
      </c>
      <c r="T35" s="235">
        <f t="shared" si="15"/>
        <v>0.96957897298612805</v>
      </c>
    </row>
    <row r="36" spans="1:20" s="226" customFormat="1" x14ac:dyDescent="0.2">
      <c r="A36" s="226" t="s">
        <v>62</v>
      </c>
      <c r="B36" s="218">
        <f t="shared" ref="B36:J36" si="16">SUM(B37:B38)</f>
        <v>98500</v>
      </c>
      <c r="C36" s="218">
        <f t="shared" si="16"/>
        <v>10000</v>
      </c>
      <c r="D36" s="218">
        <f t="shared" si="16"/>
        <v>20400</v>
      </c>
      <c r="E36" s="218">
        <f t="shared" si="16"/>
        <v>0</v>
      </c>
      <c r="F36" s="218">
        <f t="shared" si="16"/>
        <v>1010</v>
      </c>
      <c r="G36" s="218">
        <f t="shared" si="16"/>
        <v>35468</v>
      </c>
      <c r="H36" s="218">
        <f t="shared" si="16"/>
        <v>0</v>
      </c>
      <c r="I36" s="218">
        <f t="shared" si="16"/>
        <v>4000</v>
      </c>
      <c r="J36" s="218">
        <f t="shared" si="16"/>
        <v>169378</v>
      </c>
      <c r="L36" s="226" t="s">
        <v>62</v>
      </c>
      <c r="M36" s="331">
        <f t="shared" ref="M36:T36" si="17">SUM(M37:M38)</f>
        <v>0.34811527288264288</v>
      </c>
      <c r="N36" s="331">
        <f t="shared" si="17"/>
        <v>0.17328246166894909</v>
      </c>
      <c r="O36" s="331">
        <f t="shared" si="17"/>
        <v>0.34035919602115022</v>
      </c>
      <c r="P36" s="331">
        <f t="shared" si="17"/>
        <v>0</v>
      </c>
      <c r="Q36" s="331">
        <f t="shared" si="17"/>
        <v>0.10591442953020135</v>
      </c>
      <c r="R36" s="331">
        <f t="shared" si="17"/>
        <v>0.49280557082045245</v>
      </c>
      <c r="S36" s="331">
        <f t="shared" si="17"/>
        <v>0</v>
      </c>
      <c r="T36" s="331">
        <f t="shared" si="17"/>
        <v>0.24336821611097589</v>
      </c>
    </row>
    <row r="37" spans="1:20" s="240" customFormat="1" x14ac:dyDescent="0.2">
      <c r="A37" s="238" t="s">
        <v>26</v>
      </c>
      <c r="B37" s="239">
        <v>35000</v>
      </c>
      <c r="C37" s="239">
        <v>10000</v>
      </c>
      <c r="D37" s="239">
        <v>12000</v>
      </c>
      <c r="E37" s="239"/>
      <c r="F37" s="239">
        <v>1010</v>
      </c>
      <c r="G37" s="239">
        <v>1000</v>
      </c>
      <c r="H37" s="239"/>
      <c r="I37" s="239">
        <v>4000</v>
      </c>
      <c r="J37" s="239">
        <f>SUM(B37:I37)</f>
        <v>63010</v>
      </c>
      <c r="L37" s="238" t="s">
        <v>26</v>
      </c>
      <c r="M37" s="330">
        <f>B37/$B$31</f>
        <v>0.12369578224256346</v>
      </c>
      <c r="N37" s="329">
        <f>C37/$C$31</f>
        <v>0.17328246166894909</v>
      </c>
      <c r="O37" s="330">
        <f>D37/$D$31</f>
        <v>0.20021129177714719</v>
      </c>
      <c r="P37" s="329">
        <f>E37/$E$31</f>
        <v>0</v>
      </c>
      <c r="Q37" s="329">
        <f>F37/$F$31</f>
        <v>0.10591442953020135</v>
      </c>
      <c r="R37" s="329">
        <f>G37/$G$31</f>
        <v>1.3894371569314662E-2</v>
      </c>
      <c r="S37" s="329">
        <f>H37/$H$31</f>
        <v>0</v>
      </c>
      <c r="T37" s="329">
        <f>I37/$I$31</f>
        <v>0.24336821611097589</v>
      </c>
    </row>
    <row r="38" spans="1:20" s="240" customFormat="1" x14ac:dyDescent="0.2">
      <c r="A38" s="238" t="s">
        <v>28</v>
      </c>
      <c r="B38" s="239">
        <v>63500</v>
      </c>
      <c r="C38" s="239">
        <v>0</v>
      </c>
      <c r="D38" s="239">
        <v>8400</v>
      </c>
      <c r="E38" s="239"/>
      <c r="F38" s="239">
        <v>0</v>
      </c>
      <c r="G38" s="241">
        <v>34468</v>
      </c>
      <c r="I38" s="239">
        <f>(I$25*$B$101)/1000</f>
        <v>0</v>
      </c>
      <c r="J38" s="239">
        <f>SUM(B38:I38)</f>
        <v>106368</v>
      </c>
      <c r="L38" s="238" t="s">
        <v>28</v>
      </c>
      <c r="M38" s="330">
        <f>B38/$B$31</f>
        <v>0.22441949064007943</v>
      </c>
      <c r="N38" s="329">
        <f>C38/$C$31</f>
        <v>0</v>
      </c>
      <c r="O38" s="330">
        <f>D38/$D$31</f>
        <v>0.14014790424400303</v>
      </c>
      <c r="P38" s="329">
        <f>E38/$E$31</f>
        <v>0</v>
      </c>
      <c r="Q38" s="329">
        <f>F38/$F$31</f>
        <v>0</v>
      </c>
      <c r="R38" s="329">
        <f>G38/$G$31</f>
        <v>0.47891119925113779</v>
      </c>
      <c r="S38" s="329">
        <f>H38/$H$31</f>
        <v>0</v>
      </c>
      <c r="T38" s="329">
        <f>I38/$I$31</f>
        <v>0</v>
      </c>
    </row>
    <row r="39" spans="1:20" s="226" customFormat="1" x14ac:dyDescent="0.2">
      <c r="A39" s="226" t="s">
        <v>57</v>
      </c>
      <c r="B39" s="218">
        <f t="shared" ref="B39:J39" si="18">SUM(B40:B41)</f>
        <v>76000</v>
      </c>
      <c r="C39" s="218">
        <f t="shared" si="18"/>
        <v>14699</v>
      </c>
      <c r="D39" s="218">
        <f t="shared" si="18"/>
        <v>15800</v>
      </c>
      <c r="E39" s="218">
        <f t="shared" si="18"/>
        <v>0</v>
      </c>
      <c r="F39" s="218">
        <f t="shared" si="18"/>
        <v>1100</v>
      </c>
      <c r="G39" s="218">
        <f t="shared" si="18"/>
        <v>16610</v>
      </c>
      <c r="H39" s="218">
        <f t="shared" si="18"/>
        <v>0</v>
      </c>
      <c r="I39" s="218">
        <f t="shared" si="18"/>
        <v>4000</v>
      </c>
      <c r="J39" s="218">
        <f t="shared" si="18"/>
        <v>128209</v>
      </c>
      <c r="L39" s="226" t="s">
        <v>57</v>
      </c>
      <c r="M39" s="331">
        <f t="shared" ref="M39:T39" si="19">SUM(M40:M41)</f>
        <v>0.26859655572670921</v>
      </c>
      <c r="N39" s="331">
        <f t="shared" si="19"/>
        <v>0.25470789040718828</v>
      </c>
      <c r="O39" s="331">
        <f t="shared" si="19"/>
        <v>0.26361153417324379</v>
      </c>
      <c r="P39" s="331">
        <f t="shared" si="19"/>
        <v>0</v>
      </c>
      <c r="Q39" s="331">
        <f t="shared" si="19"/>
        <v>0.11535234899328858</v>
      </c>
      <c r="R39" s="331">
        <f t="shared" si="19"/>
        <v>0.23078551176631654</v>
      </c>
      <c r="S39" s="331">
        <f t="shared" si="19"/>
        <v>0</v>
      </c>
      <c r="T39" s="331">
        <f t="shared" si="19"/>
        <v>0.24336821611097589</v>
      </c>
    </row>
    <row r="40" spans="1:20" s="240" customFormat="1" x14ac:dyDescent="0.2">
      <c r="A40" s="238" t="s">
        <v>26</v>
      </c>
      <c r="B40" s="239">
        <v>30000</v>
      </c>
      <c r="C40" s="239">
        <v>9000</v>
      </c>
      <c r="D40" s="239">
        <v>9400</v>
      </c>
      <c r="E40" s="239"/>
      <c r="F40" s="239">
        <v>1100</v>
      </c>
      <c r="G40" s="239">
        <v>1000</v>
      </c>
      <c r="H40" s="239"/>
      <c r="I40" s="239">
        <v>4000</v>
      </c>
      <c r="J40" s="239">
        <f>SUM(B40:I40)</f>
        <v>54500</v>
      </c>
      <c r="L40" s="238" t="s">
        <v>26</v>
      </c>
      <c r="M40" s="330">
        <f>B40/$B$31</f>
        <v>0.10602495620791154</v>
      </c>
      <c r="N40" s="329">
        <f>C40/$C$31</f>
        <v>0.15595421550205418</v>
      </c>
      <c r="O40" s="330">
        <f>D40/$D$31</f>
        <v>0.1568321785587653</v>
      </c>
      <c r="P40" s="329">
        <f>E40/$E$31</f>
        <v>0</v>
      </c>
      <c r="Q40" s="329">
        <f>F40/$F$31</f>
        <v>0.11535234899328858</v>
      </c>
      <c r="R40" s="329">
        <f>G40/$G$31</f>
        <v>1.3894371569314662E-2</v>
      </c>
      <c r="S40" s="329">
        <f>H40/$H$31</f>
        <v>0</v>
      </c>
      <c r="T40" s="329">
        <f>I40/$I$31</f>
        <v>0.24336821611097589</v>
      </c>
    </row>
    <row r="41" spans="1:20" s="240" customFormat="1" x14ac:dyDescent="0.2">
      <c r="A41" s="238" t="s">
        <v>28</v>
      </c>
      <c r="B41" s="239">
        <v>46000</v>
      </c>
      <c r="C41" s="239">
        <v>5699</v>
      </c>
      <c r="D41" s="239">
        <v>6400</v>
      </c>
      <c r="E41" s="239"/>
      <c r="F41" s="239">
        <v>0</v>
      </c>
      <c r="G41" s="241">
        <v>15610</v>
      </c>
      <c r="I41" s="239">
        <f>(I$25*$C$101)/1000</f>
        <v>0</v>
      </c>
      <c r="J41" s="239">
        <f>SUM(B41:I41)</f>
        <v>73709</v>
      </c>
      <c r="L41" s="238" t="s">
        <v>28</v>
      </c>
      <c r="M41" s="330">
        <f>B41/$B$31</f>
        <v>0.16257159951879768</v>
      </c>
      <c r="N41" s="329">
        <f>C41/$C$31</f>
        <v>9.8753674905134092E-2</v>
      </c>
      <c r="O41" s="330">
        <f>D41/$D$31</f>
        <v>0.1067793556144785</v>
      </c>
      <c r="P41" s="329">
        <f>E41/$E$31</f>
        <v>0</v>
      </c>
      <c r="Q41" s="329">
        <f>F41/$F$31</f>
        <v>0</v>
      </c>
      <c r="R41" s="329">
        <f>G41/$G$31</f>
        <v>0.21689114019700187</v>
      </c>
      <c r="S41" s="329">
        <f>H41/$H$31</f>
        <v>0</v>
      </c>
      <c r="T41" s="329">
        <f>I41/$I$31</f>
        <v>0</v>
      </c>
    </row>
    <row r="42" spans="1:20" s="226" customFormat="1" x14ac:dyDescent="0.2">
      <c r="A42" s="226" t="s">
        <v>66</v>
      </c>
      <c r="B42" s="218">
        <f t="shared" ref="B42:J42" si="20">SUM(B43:B44)</f>
        <v>42500</v>
      </c>
      <c r="C42" s="218">
        <f t="shared" si="20"/>
        <v>11527</v>
      </c>
      <c r="D42" s="218">
        <f t="shared" si="20"/>
        <v>5215</v>
      </c>
      <c r="E42" s="218">
        <f t="shared" si="20"/>
        <v>25610.179825000003</v>
      </c>
      <c r="F42" s="218">
        <f t="shared" si="20"/>
        <v>1100</v>
      </c>
      <c r="G42" s="218">
        <f t="shared" si="20"/>
        <v>5226</v>
      </c>
      <c r="H42" s="218">
        <f t="shared" si="20"/>
        <v>0</v>
      </c>
      <c r="I42" s="218">
        <f t="shared" si="20"/>
        <v>3000</v>
      </c>
      <c r="J42" s="218">
        <f t="shared" si="20"/>
        <v>94178.179824999999</v>
      </c>
      <c r="L42" s="226" t="s">
        <v>66</v>
      </c>
      <c r="M42" s="331">
        <f t="shared" ref="M42:T42" si="21">SUM(M43:M44)</f>
        <v>0.15020202129454135</v>
      </c>
      <c r="N42" s="331">
        <f t="shared" si="21"/>
        <v>0.19974269356579763</v>
      </c>
      <c r="O42" s="331">
        <f t="shared" si="21"/>
        <v>8.7008490551485212E-2</v>
      </c>
      <c r="P42" s="331">
        <f t="shared" si="21"/>
        <v>1</v>
      </c>
      <c r="Q42" s="331">
        <f t="shared" si="21"/>
        <v>0.11535234899328858</v>
      </c>
      <c r="R42" s="331">
        <f t="shared" si="21"/>
        <v>7.2611985821238428E-2</v>
      </c>
      <c r="S42" s="331">
        <f t="shared" si="21"/>
        <v>0</v>
      </c>
      <c r="T42" s="331">
        <f t="shared" si="21"/>
        <v>0.18252616208323194</v>
      </c>
    </row>
    <row r="43" spans="1:20" s="240" customFormat="1" x14ac:dyDescent="0.2">
      <c r="A43" s="238" t="s">
        <v>26</v>
      </c>
      <c r="B43" s="239">
        <v>17500</v>
      </c>
      <c r="C43" s="239">
        <v>8000</v>
      </c>
      <c r="D43" s="239">
        <v>2000</v>
      </c>
      <c r="E43" s="242">
        <f>(E24)/1000</f>
        <v>25247.208000000002</v>
      </c>
      <c r="F43" s="239">
        <v>1100</v>
      </c>
      <c r="G43" s="239">
        <v>1000</v>
      </c>
      <c r="H43" s="239"/>
      <c r="I43" s="242">
        <v>3000</v>
      </c>
      <c r="J43" s="239">
        <f>SUM(B43:I43)</f>
        <v>57847.207999999999</v>
      </c>
      <c r="L43" s="238" t="s">
        <v>26</v>
      </c>
      <c r="M43" s="330">
        <f>B43/$B$31</f>
        <v>6.184789112128173E-2</v>
      </c>
      <c r="N43" s="329">
        <f>C43/$C$31</f>
        <v>0.13862596933515928</v>
      </c>
      <c r="O43" s="330">
        <f>D43/$D$31</f>
        <v>3.3368548629524535E-2</v>
      </c>
      <c r="P43" s="329">
        <f>E43/$E$31</f>
        <v>0.98582704895161744</v>
      </c>
      <c r="Q43" s="329">
        <f>F43/$F$31</f>
        <v>0.11535234899328858</v>
      </c>
      <c r="R43" s="329">
        <f>G43/$G$31</f>
        <v>1.3894371569314662E-2</v>
      </c>
      <c r="S43" s="329">
        <f>H43/$H$31</f>
        <v>0</v>
      </c>
      <c r="T43" s="329">
        <f>I43/$I$31</f>
        <v>0.18252616208323194</v>
      </c>
    </row>
    <row r="44" spans="1:20" s="240" customFormat="1" x14ac:dyDescent="0.2">
      <c r="A44" s="238" t="s">
        <v>28</v>
      </c>
      <c r="B44" s="239">
        <v>25000</v>
      </c>
      <c r="C44" s="239">
        <v>3527</v>
      </c>
      <c r="D44" s="239">
        <v>3215</v>
      </c>
      <c r="E44" s="242">
        <f>(E25)/1000</f>
        <v>362.97182499999974</v>
      </c>
      <c r="F44" s="239">
        <v>0</v>
      </c>
      <c r="G44" s="241">
        <v>4226</v>
      </c>
      <c r="I44" s="242"/>
      <c r="J44" s="239">
        <f>SUM(B44:I44)</f>
        <v>36330.971825000001</v>
      </c>
      <c r="L44" s="238" t="s">
        <v>28</v>
      </c>
      <c r="M44" s="330">
        <f>B44/$B$31</f>
        <v>8.8354130173259618E-2</v>
      </c>
      <c r="N44" s="329">
        <f>C44/$C$31</f>
        <v>6.1116724230638346E-2</v>
      </c>
      <c r="O44" s="330">
        <f>D44/$D$31</f>
        <v>5.3639941921960685E-2</v>
      </c>
      <c r="P44" s="329">
        <f>E44/$E$31</f>
        <v>1.4172951048382563E-2</v>
      </c>
      <c r="Q44" s="329">
        <f>F44/$F$31</f>
        <v>0</v>
      </c>
      <c r="R44" s="329">
        <f>G44/$G$31</f>
        <v>5.8717614251923761E-2</v>
      </c>
      <c r="S44" s="329">
        <f>H44/$H$31</f>
        <v>0</v>
      </c>
      <c r="T44" s="329">
        <f>I44/$I$31</f>
        <v>0</v>
      </c>
    </row>
    <row r="45" spans="1:20" s="226" customFormat="1" x14ac:dyDescent="0.2">
      <c r="A45" s="243" t="s">
        <v>81</v>
      </c>
      <c r="B45" s="218">
        <f t="shared" ref="B45:J45" si="22">SUM(B46:B47)</f>
        <v>13750</v>
      </c>
      <c r="C45" s="218">
        <f t="shared" si="22"/>
        <v>4962</v>
      </c>
      <c r="D45" s="218">
        <f t="shared" si="22"/>
        <v>4860</v>
      </c>
      <c r="E45" s="218">
        <f t="shared" si="22"/>
        <v>0</v>
      </c>
      <c r="F45" s="218">
        <f t="shared" si="22"/>
        <v>500</v>
      </c>
      <c r="G45" s="218">
        <f t="shared" si="22"/>
        <v>1000</v>
      </c>
      <c r="H45" s="218">
        <f t="shared" si="22"/>
        <v>0</v>
      </c>
      <c r="I45" s="218">
        <f t="shared" si="22"/>
        <v>1500</v>
      </c>
      <c r="J45" s="218">
        <f t="shared" si="22"/>
        <v>26572</v>
      </c>
      <c r="L45" s="243" t="s">
        <v>81</v>
      </c>
      <c r="M45" s="331">
        <f t="shared" ref="M45:T45" si="23">SUM(M46:M47)</f>
        <v>4.8594771595292789E-2</v>
      </c>
      <c r="N45" s="331">
        <f t="shared" si="23"/>
        <v>8.5982757480132538E-2</v>
      </c>
      <c r="O45" s="331">
        <f t="shared" si="23"/>
        <v>8.1085573169744601E-2</v>
      </c>
      <c r="P45" s="331">
        <f t="shared" si="23"/>
        <v>0</v>
      </c>
      <c r="Q45" s="331">
        <f t="shared" si="23"/>
        <v>5.2432885906040269E-2</v>
      </c>
      <c r="R45" s="331">
        <f t="shared" si="23"/>
        <v>1.3894371569314662E-2</v>
      </c>
      <c r="S45" s="331">
        <f t="shared" si="23"/>
        <v>0</v>
      </c>
      <c r="T45" s="331">
        <f t="shared" si="23"/>
        <v>9.126308104161597E-2</v>
      </c>
    </row>
    <row r="46" spans="1:20" s="240" customFormat="1" x14ac:dyDescent="0.2">
      <c r="A46" s="238" t="s">
        <v>26</v>
      </c>
      <c r="B46" s="239">
        <v>5000</v>
      </c>
      <c r="C46" s="239">
        <v>3152</v>
      </c>
      <c r="D46" s="239">
        <v>3760</v>
      </c>
      <c r="E46" s="239"/>
      <c r="F46" s="239">
        <v>500</v>
      </c>
      <c r="G46" s="239">
        <v>1000</v>
      </c>
      <c r="H46" s="239"/>
      <c r="I46" s="239">
        <v>1500</v>
      </c>
      <c r="J46" s="239">
        <f>SUM(B46:I46)</f>
        <v>14912</v>
      </c>
      <c r="L46" s="238" t="s">
        <v>26</v>
      </c>
      <c r="M46" s="330">
        <f>B46/$B$31</f>
        <v>1.7670826034651924E-2</v>
      </c>
      <c r="N46" s="329">
        <f>C46/$C$31</f>
        <v>5.4618631918052753E-2</v>
      </c>
      <c r="O46" s="330">
        <f>D46/$D$31</f>
        <v>6.2732871423506115E-2</v>
      </c>
      <c r="P46" s="329">
        <f>E46/$E$31</f>
        <v>0</v>
      </c>
      <c r="Q46" s="329">
        <f>F46/$F$31</f>
        <v>5.2432885906040269E-2</v>
      </c>
      <c r="R46" s="329">
        <f>G46/$G$31</f>
        <v>1.3894371569314662E-2</v>
      </c>
      <c r="S46" s="329">
        <f>H46/$H$31</f>
        <v>0</v>
      </c>
      <c r="T46" s="329">
        <f>I46/$I$31</f>
        <v>9.126308104161597E-2</v>
      </c>
    </row>
    <row r="47" spans="1:20" s="240" customFormat="1" x14ac:dyDescent="0.2">
      <c r="A47" s="238" t="s">
        <v>28</v>
      </c>
      <c r="B47" s="239">
        <v>8750</v>
      </c>
      <c r="C47" s="239">
        <v>1810</v>
      </c>
      <c r="D47" s="239">
        <v>1100</v>
      </c>
      <c r="E47" s="239"/>
      <c r="F47" s="239">
        <v>0</v>
      </c>
      <c r="G47" s="241"/>
      <c r="I47" s="239">
        <f>(I$25*$E$101)/1000</f>
        <v>0</v>
      </c>
      <c r="J47" s="239">
        <f>SUM(B47:I47)</f>
        <v>11660</v>
      </c>
      <c r="L47" s="238" t="s">
        <v>28</v>
      </c>
      <c r="M47" s="330">
        <f>B47/$B$31</f>
        <v>3.0923945560640865E-2</v>
      </c>
      <c r="N47" s="329">
        <f>C47/$C$31</f>
        <v>3.1364125562079785E-2</v>
      </c>
      <c r="O47" s="330">
        <f>D47/$D$31</f>
        <v>1.8352701746238494E-2</v>
      </c>
      <c r="P47" s="329">
        <f>E47/$E$31</f>
        <v>0</v>
      </c>
      <c r="Q47" s="329">
        <f>F47/$F$31</f>
        <v>0</v>
      </c>
      <c r="R47" s="329">
        <f>G47/$G$31</f>
        <v>0</v>
      </c>
      <c r="S47" s="329">
        <f>H47/$H$31</f>
        <v>0</v>
      </c>
      <c r="T47" s="329">
        <f>I47/$I$31</f>
        <v>0</v>
      </c>
    </row>
    <row r="48" spans="1:20" s="226" customFormat="1" x14ac:dyDescent="0.2">
      <c r="A48" s="243" t="s">
        <v>82</v>
      </c>
      <c r="B48" s="218">
        <f t="shared" ref="B48:J48" si="24">SUM(B49:B50)</f>
        <v>18000</v>
      </c>
      <c r="C48" s="218">
        <f t="shared" si="24"/>
        <v>4399</v>
      </c>
      <c r="D48" s="218">
        <f t="shared" si="24"/>
        <v>5050.1284738670365</v>
      </c>
      <c r="E48" s="218">
        <f t="shared" si="24"/>
        <v>0</v>
      </c>
      <c r="F48" s="218">
        <f t="shared" si="24"/>
        <v>750</v>
      </c>
      <c r="G48" s="218">
        <f t="shared" si="24"/>
        <v>7441</v>
      </c>
      <c r="H48" s="218">
        <f t="shared" si="24"/>
        <v>0</v>
      </c>
      <c r="I48" s="218">
        <f t="shared" si="24"/>
        <v>1436</v>
      </c>
      <c r="J48" s="218">
        <f t="shared" si="24"/>
        <v>37076.128473867037</v>
      </c>
      <c r="L48" s="243" t="s">
        <v>82</v>
      </c>
      <c r="M48" s="331">
        <f t="shared" ref="M48:T48" si="25">SUM(M49:M50)</f>
        <v>6.361497372474692E-2</v>
      </c>
      <c r="N48" s="331">
        <f t="shared" si="25"/>
        <v>7.6226954888170717E-2</v>
      </c>
      <c r="O48" s="331">
        <f t="shared" si="25"/>
        <v>8.4257728782789365E-2</v>
      </c>
      <c r="P48" s="331">
        <f t="shared" si="25"/>
        <v>0</v>
      </c>
      <c r="Q48" s="331">
        <f t="shared" si="25"/>
        <v>7.8649328859060397E-2</v>
      </c>
      <c r="R48" s="331">
        <f t="shared" si="25"/>
        <v>0.1033880188472704</v>
      </c>
      <c r="S48" s="331">
        <f t="shared" si="25"/>
        <v>0</v>
      </c>
      <c r="T48" s="331">
        <f t="shared" si="25"/>
        <v>8.7369189583840351E-2</v>
      </c>
    </row>
    <row r="49" spans="1:20" s="240" customFormat="1" x14ac:dyDescent="0.2">
      <c r="A49" s="238" t="s">
        <v>26</v>
      </c>
      <c r="B49" s="239">
        <v>5000</v>
      </c>
      <c r="C49" s="239">
        <v>2000</v>
      </c>
      <c r="D49" s="239">
        <v>3145</v>
      </c>
      <c r="E49" s="239"/>
      <c r="F49" s="239">
        <v>750</v>
      </c>
      <c r="G49" s="239">
        <v>1000</v>
      </c>
      <c r="H49" s="239"/>
      <c r="I49" s="239">
        <v>1436</v>
      </c>
      <c r="J49" s="239">
        <f>SUM(B49:I49)</f>
        <v>13331</v>
      </c>
      <c r="L49" s="238" t="s">
        <v>26</v>
      </c>
      <c r="M49" s="330">
        <f>B49/$B$31</f>
        <v>1.7670826034651924E-2</v>
      </c>
      <c r="N49" s="329">
        <f>C49/$C$31</f>
        <v>3.4656492333789819E-2</v>
      </c>
      <c r="O49" s="330">
        <f>D49/$D$31</f>
        <v>5.247204271992733E-2</v>
      </c>
      <c r="P49" s="329">
        <f>E49/$E$31</f>
        <v>0</v>
      </c>
      <c r="Q49" s="329">
        <f>F49/$F$31</f>
        <v>7.8649328859060397E-2</v>
      </c>
      <c r="R49" s="329">
        <f>G49/$G$31</f>
        <v>1.3894371569314662E-2</v>
      </c>
      <c r="S49" s="329">
        <f>H49/$H$31</f>
        <v>0</v>
      </c>
      <c r="T49" s="329">
        <f>I49/$I$31</f>
        <v>8.7369189583840351E-2</v>
      </c>
    </row>
    <row r="50" spans="1:20" s="240" customFormat="1" x14ac:dyDescent="0.2">
      <c r="A50" s="238" t="s">
        <v>28</v>
      </c>
      <c r="B50" s="239">
        <v>13000</v>
      </c>
      <c r="C50" s="239">
        <v>2399</v>
      </c>
      <c r="D50" s="239">
        <f>(D$25*$F$101)/1000</f>
        <v>1905.1284738670361</v>
      </c>
      <c r="E50" s="239"/>
      <c r="F50" s="239">
        <v>0</v>
      </c>
      <c r="G50" s="244">
        <v>6441</v>
      </c>
      <c r="I50" s="239">
        <f>(I$25*$F$101)/1000</f>
        <v>0</v>
      </c>
      <c r="J50" s="239">
        <f>SUM(B50:I50)</f>
        <v>23745.128473867037</v>
      </c>
      <c r="L50" s="238" t="s">
        <v>28</v>
      </c>
      <c r="M50" s="330">
        <f>B50/$B$31</f>
        <v>4.5944147690095E-2</v>
      </c>
      <c r="N50" s="329">
        <f>C50/$C$31</f>
        <v>4.1570462554380891E-2</v>
      </c>
      <c r="O50" s="330">
        <f>D50/$D$31</f>
        <v>3.1785686062862029E-2</v>
      </c>
      <c r="P50" s="329">
        <f>E50/$E$31</f>
        <v>0</v>
      </c>
      <c r="Q50" s="329">
        <f>F50/$F$31</f>
        <v>0</v>
      </c>
      <c r="R50" s="329">
        <f>G50/$G$31</f>
        <v>8.9493647277955737E-2</v>
      </c>
      <c r="S50" s="329">
        <f>H50/$H$31</f>
        <v>0</v>
      </c>
      <c r="T50" s="329">
        <f>I50/$I$31</f>
        <v>0</v>
      </c>
    </row>
    <row r="51" spans="1:20" s="226" customFormat="1" ht="17" x14ac:dyDescent="0.2">
      <c r="A51" s="234" t="s">
        <v>83</v>
      </c>
      <c r="B51" s="218">
        <f t="shared" ref="B51:J51" si="26">SUM(B52:B53)</f>
        <v>16167</v>
      </c>
      <c r="C51" s="218">
        <f t="shared" si="26"/>
        <v>7804</v>
      </c>
      <c r="D51" s="218">
        <f t="shared" si="26"/>
        <v>8265.210088638938</v>
      </c>
      <c r="E51" s="218">
        <f t="shared" si="26"/>
        <v>0</v>
      </c>
      <c r="F51" s="218">
        <f t="shared" si="26"/>
        <v>1250</v>
      </c>
      <c r="G51" s="218">
        <f t="shared" si="26"/>
        <v>3581</v>
      </c>
      <c r="H51" s="218">
        <f t="shared" si="26"/>
        <v>0</v>
      </c>
      <c r="I51" s="218">
        <f t="shared" si="26"/>
        <v>2000</v>
      </c>
      <c r="J51" s="218">
        <f t="shared" si="26"/>
        <v>39067.210088638938</v>
      </c>
      <c r="L51" s="234" t="s">
        <v>83</v>
      </c>
      <c r="M51" s="331">
        <f t="shared" ref="M51:T51" si="27">SUM(M52:M53)</f>
        <v>5.7136848900443529E-2</v>
      </c>
      <c r="N51" s="331">
        <f t="shared" si="27"/>
        <v>0.13522963308644786</v>
      </c>
      <c r="O51" s="331">
        <f t="shared" si="27"/>
        <v>0.13789903238799259</v>
      </c>
      <c r="P51" s="331">
        <f t="shared" si="27"/>
        <v>0</v>
      </c>
      <c r="Q51" s="331">
        <f t="shared" si="27"/>
        <v>0.13108221476510068</v>
      </c>
      <c r="R51" s="331">
        <f t="shared" si="27"/>
        <v>4.9755744589715808E-2</v>
      </c>
      <c r="S51" s="331">
        <f t="shared" si="27"/>
        <v>0</v>
      </c>
      <c r="T51" s="331">
        <f t="shared" si="27"/>
        <v>0.12168410805548795</v>
      </c>
    </row>
    <row r="52" spans="1:20" s="240" customFormat="1" x14ac:dyDescent="0.2">
      <c r="A52" s="238" t="s">
        <v>26</v>
      </c>
      <c r="B52" s="239">
        <v>7580</v>
      </c>
      <c r="C52" s="239">
        <v>7000</v>
      </c>
      <c r="D52" s="239">
        <v>7222</v>
      </c>
      <c r="E52" s="239"/>
      <c r="F52" s="239">
        <v>1250</v>
      </c>
      <c r="G52" s="239">
        <v>1597</v>
      </c>
      <c r="H52" s="239"/>
      <c r="I52" s="239">
        <v>2000</v>
      </c>
      <c r="J52" s="239">
        <f>SUM(B52:I52)</f>
        <v>26649</v>
      </c>
      <c r="L52" s="238" t="s">
        <v>26</v>
      </c>
      <c r="M52" s="330">
        <f>B52/$B$31</f>
        <v>2.6788972268532316E-2</v>
      </c>
      <c r="N52" s="329">
        <f>C52/$C$31</f>
        <v>0.12129772316826437</v>
      </c>
      <c r="O52" s="330">
        <f>D52/$D$31</f>
        <v>0.12049382910121309</v>
      </c>
      <c r="P52" s="329">
        <f>E52/$E$31</f>
        <v>0</v>
      </c>
      <c r="Q52" s="329">
        <f>F52/$F$31</f>
        <v>0.13108221476510068</v>
      </c>
      <c r="R52" s="329">
        <f>G52/$G$31</f>
        <v>2.2189311396195517E-2</v>
      </c>
      <c r="S52" s="329">
        <f>H52/$H$31</f>
        <v>0</v>
      </c>
      <c r="T52" s="329">
        <f>I52/$I$31</f>
        <v>0.12168410805548795</v>
      </c>
    </row>
    <row r="53" spans="1:20" s="240" customFormat="1" x14ac:dyDescent="0.2">
      <c r="A53" s="238" t="s">
        <v>28</v>
      </c>
      <c r="B53" s="239">
        <v>8587</v>
      </c>
      <c r="C53" s="239">
        <v>804</v>
      </c>
      <c r="D53" s="239">
        <f>(D$25*$G$101)/1000</f>
        <v>1043.2100886389371</v>
      </c>
      <c r="E53" s="239"/>
      <c r="F53" s="239">
        <v>0</v>
      </c>
      <c r="G53" s="244">
        <v>1984</v>
      </c>
      <c r="H53" s="239">
        <f>(K$25*$G$101)/1000</f>
        <v>0</v>
      </c>
      <c r="I53" s="239">
        <f>(I$25*$G$101)/1000</f>
        <v>0</v>
      </c>
      <c r="J53" s="239">
        <f>SUM(B53:I53)</f>
        <v>12418.210088638938</v>
      </c>
      <c r="L53" s="238" t="s">
        <v>28</v>
      </c>
      <c r="M53" s="330">
        <f>B53/$B$31</f>
        <v>3.0347876631911214E-2</v>
      </c>
      <c r="N53" s="329">
        <f>C53/$C$31</f>
        <v>1.3931909918183508E-2</v>
      </c>
      <c r="O53" s="330">
        <f>D53/$D$31</f>
        <v>1.7405203286779487E-2</v>
      </c>
      <c r="P53" s="329">
        <f>E53/$E$31</f>
        <v>0</v>
      </c>
      <c r="Q53" s="329">
        <f>F53/$F$31</f>
        <v>0</v>
      </c>
      <c r="R53" s="329">
        <f>G53/$G$31</f>
        <v>2.7566433193520291E-2</v>
      </c>
      <c r="S53" s="329">
        <f>H53/$H$31</f>
        <v>0</v>
      </c>
      <c r="T53" s="329">
        <f>I53/$I$31</f>
        <v>0</v>
      </c>
    </row>
    <row r="54" spans="1:20" s="226" customFormat="1" x14ac:dyDescent="0.2">
      <c r="A54" s="243" t="s">
        <v>169</v>
      </c>
      <c r="B54" s="218">
        <f t="shared" ref="B54:J54" si="28">SUM(B55:B56)</f>
        <v>0</v>
      </c>
      <c r="C54" s="218">
        <f t="shared" si="28"/>
        <v>0</v>
      </c>
      <c r="D54" s="218">
        <f t="shared" si="28"/>
        <v>0</v>
      </c>
      <c r="E54" s="218">
        <f t="shared" si="28"/>
        <v>0</v>
      </c>
      <c r="F54" s="218">
        <f t="shared" si="28"/>
        <v>3826</v>
      </c>
      <c r="G54" s="218">
        <f t="shared" si="28"/>
        <v>0</v>
      </c>
      <c r="H54" s="218">
        <f t="shared" si="28"/>
        <v>0</v>
      </c>
      <c r="I54" s="218">
        <f t="shared" si="28"/>
        <v>0</v>
      </c>
      <c r="J54" s="218">
        <f t="shared" si="28"/>
        <v>0</v>
      </c>
      <c r="L54" s="243" t="s">
        <v>169</v>
      </c>
      <c r="M54" s="331">
        <f t="shared" ref="M54:T54" si="29">SUM(M55:M56)</f>
        <v>0</v>
      </c>
      <c r="N54" s="331">
        <f t="shared" si="29"/>
        <v>0</v>
      </c>
      <c r="O54" s="331">
        <f t="shared" si="29"/>
        <v>0</v>
      </c>
      <c r="P54" s="331">
        <f t="shared" si="29"/>
        <v>0</v>
      </c>
      <c r="Q54" s="331">
        <f t="shared" si="29"/>
        <v>0.40121644295302011</v>
      </c>
      <c r="R54" s="331">
        <f t="shared" si="29"/>
        <v>0</v>
      </c>
      <c r="S54" s="331">
        <f t="shared" si="29"/>
        <v>0</v>
      </c>
      <c r="T54" s="331">
        <f t="shared" si="29"/>
        <v>0</v>
      </c>
    </row>
    <row r="55" spans="1:20" s="240" customFormat="1" x14ac:dyDescent="0.2">
      <c r="A55" s="238" t="s">
        <v>26</v>
      </c>
      <c r="B55" s="239"/>
      <c r="C55" s="239"/>
      <c r="D55" s="239"/>
      <c r="E55" s="239"/>
      <c r="F55" s="239"/>
      <c r="G55" s="239"/>
      <c r="H55" s="239"/>
      <c r="I55" s="239"/>
      <c r="J55" s="239"/>
      <c r="L55" s="238" t="s">
        <v>26</v>
      </c>
      <c r="M55" s="330">
        <f>B55/$B$31</f>
        <v>0</v>
      </c>
      <c r="N55" s="329">
        <f>C55/$C$31</f>
        <v>0</v>
      </c>
      <c r="O55" s="330">
        <f>D55/$D$31</f>
        <v>0</v>
      </c>
      <c r="P55" s="329">
        <f>E55/$E$31</f>
        <v>0</v>
      </c>
      <c r="Q55" s="329">
        <f>F55/$F$31</f>
        <v>0</v>
      </c>
      <c r="R55" s="329">
        <f>G55/$G$31</f>
        <v>0</v>
      </c>
      <c r="S55" s="329">
        <f>H55/$H$31</f>
        <v>0</v>
      </c>
      <c r="T55" s="329">
        <f>I55/$I$31</f>
        <v>0</v>
      </c>
    </row>
    <row r="56" spans="1:20" s="240" customFormat="1" x14ac:dyDescent="0.2">
      <c r="A56" s="238" t="s">
        <v>28</v>
      </c>
      <c r="B56" s="239"/>
      <c r="C56" s="239"/>
      <c r="D56" s="239"/>
      <c r="E56" s="239"/>
      <c r="F56" s="244">
        <v>3826</v>
      </c>
      <c r="G56" s="239"/>
      <c r="H56" s="239"/>
      <c r="I56" s="239"/>
      <c r="J56" s="239"/>
      <c r="L56" s="238" t="s">
        <v>28</v>
      </c>
      <c r="M56" s="330">
        <f>B56/$B$31</f>
        <v>0</v>
      </c>
      <c r="N56" s="329">
        <f>C56/$C$31</f>
        <v>0</v>
      </c>
      <c r="O56" s="330">
        <f>D56/$D$31</f>
        <v>0</v>
      </c>
      <c r="P56" s="329">
        <f>E56/$E$31</f>
        <v>0</v>
      </c>
      <c r="Q56" s="329">
        <f>F56/$F$31</f>
        <v>0.40121644295302011</v>
      </c>
      <c r="R56" s="329">
        <f>G56/$G$31</f>
        <v>0</v>
      </c>
      <c r="S56" s="329">
        <f>H56/$H$31</f>
        <v>0</v>
      </c>
      <c r="T56" s="329">
        <f>I56/$I$31</f>
        <v>0</v>
      </c>
    </row>
    <row r="57" spans="1:20" s="240" customFormat="1" x14ac:dyDescent="0.2">
      <c r="A57" s="238"/>
      <c r="B57" s="239"/>
      <c r="C57" s="239"/>
      <c r="D57" s="239"/>
      <c r="E57" s="239"/>
      <c r="F57" s="239"/>
      <c r="G57" s="239"/>
      <c r="H57" s="239"/>
      <c r="I57" s="239"/>
      <c r="J57" s="239"/>
      <c r="K57" s="239"/>
    </row>
    <row r="58" spans="1:20" ht="17" x14ac:dyDescent="0.2">
      <c r="A58" s="236" t="s">
        <v>75</v>
      </c>
      <c r="B58" s="237" t="s">
        <v>25</v>
      </c>
      <c r="C58" s="237" t="s">
        <v>29</v>
      </c>
      <c r="D58" s="237" t="s">
        <v>27</v>
      </c>
      <c r="E58" s="237" t="s">
        <v>69</v>
      </c>
      <c r="F58" s="237" t="s">
        <v>32</v>
      </c>
      <c r="G58" s="237" t="s">
        <v>34</v>
      </c>
      <c r="H58" s="237" t="s">
        <v>53</v>
      </c>
      <c r="I58" s="237" t="s">
        <v>54</v>
      </c>
      <c r="J58" s="237" t="s">
        <v>56</v>
      </c>
      <c r="L58" s="236" t="s">
        <v>75</v>
      </c>
      <c r="M58" s="237" t="s">
        <v>25</v>
      </c>
      <c r="N58" s="237" t="s">
        <v>29</v>
      </c>
      <c r="O58" s="237" t="s">
        <v>27</v>
      </c>
      <c r="P58" s="237" t="s">
        <v>69</v>
      </c>
      <c r="Q58" s="237" t="s">
        <v>32</v>
      </c>
      <c r="R58" s="237" t="s">
        <v>34</v>
      </c>
      <c r="S58" s="237" t="s">
        <v>53</v>
      </c>
      <c r="T58" s="237" t="s">
        <v>54</v>
      </c>
    </row>
    <row r="59" spans="1:20" s="226" customFormat="1" ht="17" x14ac:dyDescent="0.2">
      <c r="A59" s="234" t="s">
        <v>84</v>
      </c>
      <c r="B59" s="223">
        <f t="shared" ref="B59:J59" si="30">+B60+B63+B66</f>
        <v>18035.250800000002</v>
      </c>
      <c r="C59" s="223">
        <f t="shared" si="30"/>
        <v>4318.2448000000004</v>
      </c>
      <c r="D59" s="223">
        <f t="shared" si="30"/>
        <v>346.3408</v>
      </c>
      <c r="E59" s="223">
        <f t="shared" si="30"/>
        <v>0</v>
      </c>
      <c r="F59" s="223">
        <f t="shared" si="30"/>
        <v>0</v>
      </c>
      <c r="G59" s="223">
        <f t="shared" si="30"/>
        <v>2645.5889999999999</v>
      </c>
      <c r="H59" s="223">
        <f t="shared" si="30"/>
        <v>75979.391999999993</v>
      </c>
      <c r="I59" s="223">
        <f t="shared" si="30"/>
        <v>500</v>
      </c>
      <c r="J59" s="223">
        <f t="shared" si="30"/>
        <v>101824.8174</v>
      </c>
      <c r="L59" s="234" t="s">
        <v>84</v>
      </c>
      <c r="M59" s="235">
        <f t="shared" ref="M59:S59" si="31">B59/B31</f>
        <v>6.3739555875623383E-2</v>
      </c>
      <c r="N59" s="235">
        <f t="shared" si="31"/>
        <v>7.4827608903313886E-2</v>
      </c>
      <c r="O59" s="235">
        <f t="shared" si="31"/>
        <v>5.7784449135942148E-3</v>
      </c>
      <c r="P59" s="235">
        <f t="shared" si="31"/>
        <v>0</v>
      </c>
      <c r="Q59" s="235">
        <f t="shared" si="31"/>
        <v>0</v>
      </c>
      <c r="R59" s="235">
        <f t="shared" si="31"/>
        <v>3.675879658569161E-2</v>
      </c>
      <c r="S59" s="332">
        <f t="shared" si="31"/>
        <v>1</v>
      </c>
      <c r="T59" s="235">
        <f t="shared" ref="T59" si="32">+T60+T63+T66</f>
        <v>3.0421027013871987E-2</v>
      </c>
    </row>
    <row r="60" spans="1:20" s="226" customFormat="1" x14ac:dyDescent="0.2">
      <c r="A60" s="226" t="s">
        <v>85</v>
      </c>
      <c r="B60" s="218">
        <f t="shared" ref="B60:J60" si="33">SUM(B61:B62)</f>
        <v>9017.6254000000008</v>
      </c>
      <c r="C60" s="218">
        <f t="shared" si="33"/>
        <v>2106.0816</v>
      </c>
      <c r="D60" s="218">
        <f t="shared" si="33"/>
        <v>173.1704</v>
      </c>
      <c r="E60" s="218">
        <f t="shared" si="33"/>
        <v>0</v>
      </c>
      <c r="F60" s="218">
        <f t="shared" si="33"/>
        <v>0</v>
      </c>
      <c r="G60" s="218">
        <f t="shared" si="33"/>
        <v>1015.5890000000001</v>
      </c>
      <c r="H60" s="218">
        <f t="shared" si="33"/>
        <v>13000</v>
      </c>
      <c r="I60" s="218">
        <f t="shared" si="33"/>
        <v>250</v>
      </c>
      <c r="J60" s="218">
        <f t="shared" si="33"/>
        <v>25562.466400000001</v>
      </c>
      <c r="L60" s="226" t="s">
        <v>85</v>
      </c>
      <c r="M60" s="331">
        <f t="shared" ref="M60:S60" si="34">SUM(M61:M62)</f>
        <v>3.1869777937811698E-2</v>
      </c>
      <c r="N60" s="331">
        <f t="shared" si="34"/>
        <v>3.6494700412367895E-2</v>
      </c>
      <c r="O60" s="331">
        <f t="shared" si="34"/>
        <v>2.8892224567971074E-3</v>
      </c>
      <c r="P60" s="331">
        <f t="shared" si="34"/>
        <v>0</v>
      </c>
      <c r="Q60" s="331">
        <f t="shared" si="34"/>
        <v>0</v>
      </c>
      <c r="R60" s="331">
        <f t="shared" si="34"/>
        <v>1.4110970927708709E-2</v>
      </c>
      <c r="S60" s="331">
        <f t="shared" si="34"/>
        <v>0.17109902643074587</v>
      </c>
      <c r="T60" s="331">
        <f t="shared" ref="T60" si="35">SUM(T61:T62)</f>
        <v>1.5210513506935993E-2</v>
      </c>
    </row>
    <row r="61" spans="1:20" s="240" customFormat="1" x14ac:dyDescent="0.2">
      <c r="A61" s="238" t="s">
        <v>26</v>
      </c>
      <c r="B61" s="239">
        <v>2500</v>
      </c>
      <c r="C61" s="239">
        <v>1000</v>
      </c>
      <c r="D61" s="239"/>
      <c r="E61" s="239"/>
      <c r="F61" s="239"/>
      <c r="G61" s="239">
        <v>500</v>
      </c>
      <c r="H61" s="240">
        <v>11000</v>
      </c>
      <c r="I61" s="239">
        <v>250</v>
      </c>
      <c r="J61" s="239">
        <f>SUM(B61:I61)</f>
        <v>15250</v>
      </c>
      <c r="L61" s="238" t="s">
        <v>26</v>
      </c>
      <c r="M61" s="330">
        <f>B61/$B$31</f>
        <v>8.8354130173259621E-3</v>
      </c>
      <c r="N61" s="329">
        <f>C61/$C$31</f>
        <v>1.732824616689491E-2</v>
      </c>
      <c r="O61" s="330">
        <f>D61/$D$31</f>
        <v>0</v>
      </c>
      <c r="P61" s="329">
        <f>E61/$E$31</f>
        <v>0</v>
      </c>
      <c r="Q61" s="329">
        <f>F61/$F$31</f>
        <v>0</v>
      </c>
      <c r="R61" s="329">
        <f>G61/$G$31</f>
        <v>6.9471857846573311E-3</v>
      </c>
      <c r="S61" s="329">
        <f>H61/$H$31</f>
        <v>0.14477609928755419</v>
      </c>
      <c r="T61" s="329">
        <f>I61/$I$31</f>
        <v>1.5210513506935993E-2</v>
      </c>
    </row>
    <row r="62" spans="1:20" s="240" customFormat="1" x14ac:dyDescent="0.2">
      <c r="A62" s="238" t="s">
        <v>28</v>
      </c>
      <c r="B62" s="239">
        <f>(((9523352+503764)*1.3)/2)/1000</f>
        <v>6517.6254000000008</v>
      </c>
      <c r="C62" s="239">
        <f>(((1494119+207545)*1.3)/2)/1000</f>
        <v>1106.0816</v>
      </c>
      <c r="D62" s="239">
        <f>((266416*1.3)/2)/1000</f>
        <v>173.1704</v>
      </c>
      <c r="E62" s="239"/>
      <c r="F62" s="239"/>
      <c r="G62" s="239">
        <v>515.58900000000006</v>
      </c>
      <c r="H62" s="240">
        <v>2000</v>
      </c>
      <c r="I62" s="239"/>
      <c r="J62" s="239">
        <f>SUM(B62:I62)</f>
        <v>10312.466400000001</v>
      </c>
      <c r="L62" s="238" t="s">
        <v>28</v>
      </c>
      <c r="M62" s="330">
        <f>B62/$B$31</f>
        <v>2.3034364920485734E-2</v>
      </c>
      <c r="N62" s="329">
        <f>C62/$C$31</f>
        <v>1.9166454245472989E-2</v>
      </c>
      <c r="O62" s="330">
        <f>D62/$D$31</f>
        <v>2.8892224567971074E-3</v>
      </c>
      <c r="P62" s="329">
        <f>E62/$E$31</f>
        <v>0</v>
      </c>
      <c r="Q62" s="329">
        <f>F62/$F$31</f>
        <v>0</v>
      </c>
      <c r="R62" s="329">
        <f>G62/$G$31</f>
        <v>7.1637851430513787E-3</v>
      </c>
      <c r="S62" s="329">
        <f>H62/$H$31</f>
        <v>2.6322927143191673E-2</v>
      </c>
      <c r="T62" s="329">
        <f>I62/$I$31</f>
        <v>0</v>
      </c>
    </row>
    <row r="63" spans="1:20" s="226" customFormat="1" x14ac:dyDescent="0.2">
      <c r="A63" s="226" t="s">
        <v>86</v>
      </c>
      <c r="B63" s="218">
        <f t="shared" ref="B63:J63" si="36">SUM(B64:B65)</f>
        <v>9017.6254000000008</v>
      </c>
      <c r="C63" s="218">
        <f t="shared" si="36"/>
        <v>2212.1632</v>
      </c>
      <c r="D63" s="218">
        <f t="shared" si="36"/>
        <v>173.1704</v>
      </c>
      <c r="E63" s="218">
        <f t="shared" si="36"/>
        <v>0</v>
      </c>
      <c r="F63" s="218">
        <f t="shared" si="36"/>
        <v>0</v>
      </c>
      <c r="G63" s="218">
        <f t="shared" si="36"/>
        <v>1630</v>
      </c>
      <c r="H63" s="218">
        <f t="shared" si="36"/>
        <v>13000</v>
      </c>
      <c r="I63" s="218">
        <f t="shared" si="36"/>
        <v>250</v>
      </c>
      <c r="J63" s="218">
        <f t="shared" si="36"/>
        <v>26282.959000000003</v>
      </c>
      <c r="L63" s="226" t="s">
        <v>86</v>
      </c>
      <c r="M63" s="331">
        <f t="shared" ref="M63:S63" si="37">SUM(M64:M65)</f>
        <v>3.1869777937811698E-2</v>
      </c>
      <c r="N63" s="331">
        <f t="shared" si="37"/>
        <v>3.8332908490945977E-2</v>
      </c>
      <c r="O63" s="331">
        <f t="shared" si="37"/>
        <v>2.8892224567971074E-3</v>
      </c>
      <c r="P63" s="331">
        <f t="shared" si="37"/>
        <v>0</v>
      </c>
      <c r="Q63" s="331">
        <f t="shared" si="37"/>
        <v>0</v>
      </c>
      <c r="R63" s="331">
        <f t="shared" si="37"/>
        <v>2.2647825657982897E-2</v>
      </c>
      <c r="S63" s="331">
        <f t="shared" si="37"/>
        <v>0.17109902643074587</v>
      </c>
      <c r="T63" s="331">
        <f t="shared" ref="T63" si="38">SUM(T64:T65)</f>
        <v>1.5210513506935993E-2</v>
      </c>
    </row>
    <row r="64" spans="1:20" s="240" customFormat="1" x14ac:dyDescent="0.2">
      <c r="A64" s="238" t="s">
        <v>26</v>
      </c>
      <c r="B64" s="239">
        <v>2500</v>
      </c>
      <c r="C64" s="239">
        <f>(((1494119+207545)*1.3)/2)/1000</f>
        <v>1106.0816</v>
      </c>
      <c r="D64" s="239"/>
      <c r="E64" s="239"/>
      <c r="F64" s="239"/>
      <c r="G64" s="239">
        <v>500</v>
      </c>
      <c r="H64" s="240">
        <v>11000</v>
      </c>
      <c r="I64" s="239">
        <v>250</v>
      </c>
      <c r="J64" s="239">
        <f>SUM(B64:I64)</f>
        <v>15356.0816</v>
      </c>
      <c r="L64" s="238" t="s">
        <v>26</v>
      </c>
      <c r="M64" s="330">
        <f>B64/$B$31</f>
        <v>8.8354130173259621E-3</v>
      </c>
      <c r="N64" s="329">
        <f>C64/$C$31</f>
        <v>1.9166454245472989E-2</v>
      </c>
      <c r="O64" s="330">
        <f>D64/$D$31</f>
        <v>0</v>
      </c>
      <c r="P64" s="329">
        <f>E64/$E$31</f>
        <v>0</v>
      </c>
      <c r="Q64" s="329">
        <f>F64/$F$31</f>
        <v>0</v>
      </c>
      <c r="R64" s="329">
        <f>G64/$G$31</f>
        <v>6.9471857846573311E-3</v>
      </c>
      <c r="S64" s="329">
        <f>H64/$H$31</f>
        <v>0.14477609928755419</v>
      </c>
      <c r="T64" s="329">
        <f>I64/$I$31</f>
        <v>1.5210513506935993E-2</v>
      </c>
    </row>
    <row r="65" spans="1:20" s="240" customFormat="1" x14ac:dyDescent="0.2">
      <c r="A65" s="238" t="s">
        <v>28</v>
      </c>
      <c r="B65" s="239">
        <f>(((9523352+503764)*1.3)/2)/1000</f>
        <v>6517.6254000000008</v>
      </c>
      <c r="C65" s="239">
        <f>(((1494119+207545)*1.3)/2)/1000</f>
        <v>1106.0816</v>
      </c>
      <c r="D65" s="239">
        <f>((266416*1.3)/2)/1000</f>
        <v>173.1704</v>
      </c>
      <c r="E65" s="239"/>
      <c r="F65" s="239"/>
      <c r="G65" s="239">
        <v>1130</v>
      </c>
      <c r="H65" s="240">
        <v>2000</v>
      </c>
      <c r="I65" s="239"/>
      <c r="J65" s="239">
        <f>SUM(B65:I65)</f>
        <v>10926.877400000001</v>
      </c>
      <c r="L65" s="238" t="s">
        <v>28</v>
      </c>
      <c r="M65" s="330">
        <f>B65/$B$31</f>
        <v>2.3034364920485734E-2</v>
      </c>
      <c r="N65" s="329">
        <f>C65/$C$31</f>
        <v>1.9166454245472989E-2</v>
      </c>
      <c r="O65" s="330">
        <f>D65/$D$31</f>
        <v>2.8892224567971074E-3</v>
      </c>
      <c r="P65" s="329">
        <f>E65/$E$31</f>
        <v>0</v>
      </c>
      <c r="Q65" s="329">
        <f>F65/$F$31</f>
        <v>0</v>
      </c>
      <c r="R65" s="329">
        <f>G65/$G$31</f>
        <v>1.5700639873325567E-2</v>
      </c>
      <c r="S65" s="329">
        <f>H65/$H$31</f>
        <v>2.6322927143191673E-2</v>
      </c>
      <c r="T65" s="329">
        <f>I65/$I$31</f>
        <v>0</v>
      </c>
    </row>
    <row r="66" spans="1:20" s="226" customFormat="1" x14ac:dyDescent="0.2">
      <c r="A66" s="226" t="s">
        <v>87</v>
      </c>
      <c r="B66" s="218">
        <f t="shared" ref="B66:J66" si="39">SUM(B67:B68)</f>
        <v>0</v>
      </c>
      <c r="C66" s="218">
        <f t="shared" si="39"/>
        <v>0</v>
      </c>
      <c r="D66" s="218">
        <f t="shared" si="39"/>
        <v>0</v>
      </c>
      <c r="E66" s="218">
        <f t="shared" si="39"/>
        <v>0</v>
      </c>
      <c r="F66" s="218">
        <f t="shared" si="39"/>
        <v>0</v>
      </c>
      <c r="G66" s="218">
        <f t="shared" si="39"/>
        <v>0</v>
      </c>
      <c r="H66" s="218">
        <f t="shared" si="39"/>
        <v>49979.392</v>
      </c>
      <c r="I66" s="218">
        <f t="shared" si="39"/>
        <v>0</v>
      </c>
      <c r="J66" s="218">
        <f t="shared" si="39"/>
        <v>49979.392</v>
      </c>
      <c r="L66" s="226" t="s">
        <v>87</v>
      </c>
      <c r="M66" s="331">
        <f t="shared" ref="M66:S66" si="40">SUM(M67:M68)</f>
        <v>0</v>
      </c>
      <c r="N66" s="331">
        <f t="shared" si="40"/>
        <v>0</v>
      </c>
      <c r="O66" s="331">
        <f t="shared" si="40"/>
        <v>0</v>
      </c>
      <c r="P66" s="331">
        <f t="shared" si="40"/>
        <v>0</v>
      </c>
      <c r="Q66" s="331">
        <f t="shared" si="40"/>
        <v>0</v>
      </c>
      <c r="R66" s="331">
        <f t="shared" si="40"/>
        <v>0</v>
      </c>
      <c r="S66" s="331">
        <f t="shared" si="40"/>
        <v>0.65780194713850837</v>
      </c>
      <c r="T66" s="331">
        <f t="shared" ref="T66" si="41">SUM(T67:T68)</f>
        <v>0</v>
      </c>
    </row>
    <row r="67" spans="1:20" s="240" customFormat="1" x14ac:dyDescent="0.2">
      <c r="A67" s="238" t="s">
        <v>26</v>
      </c>
      <c r="B67" s="239"/>
      <c r="C67" s="239"/>
      <c r="D67" s="239"/>
      <c r="E67" s="239"/>
      <c r="F67" s="239"/>
      <c r="G67" s="239"/>
      <c r="H67" s="239">
        <v>18000</v>
      </c>
      <c r="I67" s="239"/>
      <c r="J67" s="239">
        <f>SUM(B67:I67)</f>
        <v>18000</v>
      </c>
      <c r="L67" s="238" t="s">
        <v>26</v>
      </c>
      <c r="M67" s="330">
        <f>B67/$B$31</f>
        <v>0</v>
      </c>
      <c r="N67" s="329">
        <f>C67/$C$31</f>
        <v>0</v>
      </c>
      <c r="O67" s="330">
        <f>D67/$D$31</f>
        <v>0</v>
      </c>
      <c r="P67" s="329">
        <f>E67/$E$31</f>
        <v>0</v>
      </c>
      <c r="Q67" s="329">
        <f>F67/$F$31</f>
        <v>0</v>
      </c>
      <c r="R67" s="329">
        <f>G67/$G$31</f>
        <v>0</v>
      </c>
      <c r="S67" s="329">
        <f>H67/$H$31</f>
        <v>0.23690634428872506</v>
      </c>
      <c r="T67" s="329">
        <f>I67/$I$31</f>
        <v>0</v>
      </c>
    </row>
    <row r="68" spans="1:20" s="240" customFormat="1" x14ac:dyDescent="0.2">
      <c r="A68" s="238" t="s">
        <v>28</v>
      </c>
      <c r="B68" s="239"/>
      <c r="C68" s="239"/>
      <c r="D68" s="239"/>
      <c r="E68" s="239"/>
      <c r="F68" s="239"/>
      <c r="G68" s="239"/>
      <c r="H68" s="239">
        <f>(32000000-20608)/1000</f>
        <v>31979.392</v>
      </c>
      <c r="I68" s="239"/>
      <c r="J68" s="239">
        <f>SUM(B68:I68)</f>
        <v>31979.392</v>
      </c>
      <c r="L68" s="238" t="s">
        <v>28</v>
      </c>
      <c r="M68" s="330">
        <f>B68/$B$31</f>
        <v>0</v>
      </c>
      <c r="N68" s="329">
        <f>C68/$C$31</f>
        <v>0</v>
      </c>
      <c r="O68" s="330">
        <f>D68/$D$31</f>
        <v>0</v>
      </c>
      <c r="P68" s="329">
        <f>E68/$E$31</f>
        <v>0</v>
      </c>
      <c r="Q68" s="329">
        <f>F68/$F$31</f>
        <v>0</v>
      </c>
      <c r="R68" s="329">
        <f>G68/$G$31</f>
        <v>0</v>
      </c>
      <c r="S68" s="329">
        <f>H68/$H$31</f>
        <v>0.42089560284978328</v>
      </c>
      <c r="T68" s="329">
        <f>I68/$I$31</f>
        <v>0</v>
      </c>
    </row>
    <row r="69" spans="1:20" s="240" customFormat="1" x14ac:dyDescent="0.2">
      <c r="A69" s="238"/>
      <c r="B69" s="239"/>
      <c r="C69" s="239"/>
      <c r="D69" s="239"/>
      <c r="E69" s="239"/>
      <c r="F69" s="239"/>
      <c r="G69" s="239"/>
      <c r="H69" s="239"/>
      <c r="I69" s="239"/>
      <c r="J69" s="239"/>
    </row>
    <row r="70" spans="1:20" s="240" customFormat="1" hidden="1" x14ac:dyDescent="0.2">
      <c r="A70" s="238"/>
      <c r="B70" s="239"/>
      <c r="C70" s="239"/>
      <c r="D70" s="239"/>
      <c r="E70" s="239"/>
      <c r="F70" s="239"/>
      <c r="G70" s="239"/>
      <c r="H70" s="239"/>
      <c r="I70" s="239"/>
      <c r="J70" s="239"/>
    </row>
    <row r="71" spans="1:20" s="240" customFormat="1" hidden="1" x14ac:dyDescent="0.2">
      <c r="A71" s="379" t="s">
        <v>106</v>
      </c>
      <c r="B71" s="379"/>
      <c r="C71" s="379"/>
      <c r="D71" s="379"/>
      <c r="E71" s="379"/>
      <c r="F71" s="379"/>
      <c r="G71" s="379"/>
      <c r="H71" s="239"/>
      <c r="I71" s="239"/>
      <c r="J71" s="239"/>
    </row>
    <row r="72" spans="1:20" s="240" customFormat="1" ht="17" hidden="1" x14ac:dyDescent="0.2">
      <c r="A72" s="245" t="s">
        <v>51</v>
      </c>
      <c r="B72" s="246" t="s">
        <v>25</v>
      </c>
      <c r="C72" s="246" t="s">
        <v>29</v>
      </c>
      <c r="D72" s="246" t="s">
        <v>34</v>
      </c>
      <c r="E72" s="246" t="s">
        <v>27</v>
      </c>
      <c r="F72" s="246" t="s">
        <v>33</v>
      </c>
      <c r="G72" s="246" t="s">
        <v>30</v>
      </c>
      <c r="H72" s="239"/>
      <c r="I72" s="239"/>
      <c r="J72" s="239"/>
    </row>
    <row r="73" spans="1:20" s="240" customFormat="1" ht="17" hidden="1" x14ac:dyDescent="0.2">
      <c r="A73" s="245" t="s">
        <v>107</v>
      </c>
      <c r="B73" s="247">
        <v>9523352.2026000004</v>
      </c>
      <c r="C73" s="247">
        <v>1494119</v>
      </c>
      <c r="D73" s="247">
        <v>811089.98160000041</v>
      </c>
      <c r="E73" s="247">
        <v>266415.84999999998</v>
      </c>
      <c r="F73" s="247">
        <v>2060183.4100000008</v>
      </c>
      <c r="G73" s="248">
        <f>SUM(B73:F73)</f>
        <v>14155160.4442</v>
      </c>
      <c r="H73" s="239"/>
      <c r="I73" s="239"/>
      <c r="J73" s="239"/>
    </row>
    <row r="74" spans="1:20" s="240" customFormat="1" ht="17" hidden="1" x14ac:dyDescent="0.2">
      <c r="A74" s="245" t="s">
        <v>86</v>
      </c>
      <c r="B74" s="247">
        <v>503764</v>
      </c>
      <c r="C74" s="247">
        <v>207545</v>
      </c>
      <c r="D74" s="247"/>
      <c r="E74" s="247"/>
      <c r="F74" s="247">
        <v>110228.5</v>
      </c>
      <c r="G74" s="248">
        <f>SUM(B74:F74)</f>
        <v>821537.5</v>
      </c>
      <c r="H74" s="239"/>
      <c r="I74" s="239"/>
      <c r="J74" s="239"/>
    </row>
    <row r="75" spans="1:20" s="240" customFormat="1" ht="17" hidden="1" x14ac:dyDescent="0.2">
      <c r="A75" s="245" t="s">
        <v>30</v>
      </c>
      <c r="B75" s="247">
        <f>SUM(B73:B74)</f>
        <v>10027116.2026</v>
      </c>
      <c r="C75" s="247">
        <f t="shared" ref="C75:G75" si="42">SUM(C73:C74)</f>
        <v>1701664</v>
      </c>
      <c r="D75" s="247">
        <f t="shared" si="42"/>
        <v>811089.98160000041</v>
      </c>
      <c r="E75" s="247">
        <f t="shared" si="42"/>
        <v>266415.84999999998</v>
      </c>
      <c r="F75" s="247">
        <f t="shared" si="42"/>
        <v>2170411.9100000011</v>
      </c>
      <c r="G75" s="248">
        <f t="shared" si="42"/>
        <v>14976697.9442</v>
      </c>
      <c r="H75" s="239"/>
      <c r="I75" s="239"/>
      <c r="J75" s="239"/>
    </row>
    <row r="76" spans="1:20" s="240" customFormat="1" hidden="1" x14ac:dyDescent="0.2">
      <c r="A76" s="238"/>
      <c r="B76" s="239"/>
      <c r="C76" s="239"/>
      <c r="D76" s="239"/>
      <c r="E76" s="239"/>
      <c r="F76" s="239"/>
      <c r="G76" s="239"/>
      <c r="H76" s="239"/>
      <c r="I76" s="239"/>
      <c r="J76" s="239"/>
    </row>
    <row r="77" spans="1:20" s="226" customFormat="1" hidden="1" x14ac:dyDescent="0.2">
      <c r="A77" s="226" t="s">
        <v>108</v>
      </c>
      <c r="F77" s="239"/>
      <c r="G77" s="239"/>
      <c r="K77" s="249"/>
    </row>
    <row r="78" spans="1:20" hidden="1" x14ac:dyDescent="0.2">
      <c r="A78" s="213" t="s">
        <v>109</v>
      </c>
      <c r="H78" s="226"/>
      <c r="J78" s="214"/>
    </row>
    <row r="79" spans="1:20" hidden="1" x14ac:dyDescent="0.2">
      <c r="A79" s="213" t="s">
        <v>110</v>
      </c>
      <c r="H79" s="226"/>
      <c r="J79" s="214"/>
    </row>
    <row r="80" spans="1:20" hidden="1" x14ac:dyDescent="0.2">
      <c r="A80" s="213" t="s">
        <v>111</v>
      </c>
      <c r="H80" s="226"/>
      <c r="J80" s="214"/>
    </row>
    <row r="81" spans="1:19" hidden="1" x14ac:dyDescent="0.2">
      <c r="A81" s="213" t="s">
        <v>112</v>
      </c>
      <c r="H81" s="226"/>
      <c r="J81" s="214"/>
    </row>
    <row r="82" spans="1:19" hidden="1" x14ac:dyDescent="0.2">
      <c r="A82" s="213" t="s">
        <v>113</v>
      </c>
      <c r="H82" s="226"/>
      <c r="J82" s="250" t="s">
        <v>49</v>
      </c>
      <c r="K82" s="250" t="s">
        <v>50</v>
      </c>
      <c r="L82" s="250"/>
      <c r="M82" s="250"/>
      <c r="N82" s="250"/>
    </row>
    <row r="83" spans="1:19" hidden="1" x14ac:dyDescent="0.2">
      <c r="A83" s="213" t="s">
        <v>114</v>
      </c>
      <c r="H83" s="226"/>
      <c r="J83" s="250"/>
      <c r="K83" s="250">
        <v>2025</v>
      </c>
      <c r="L83" s="250"/>
      <c r="M83" s="250"/>
      <c r="N83" s="250" t="s">
        <v>115</v>
      </c>
    </row>
    <row r="84" spans="1:19" hidden="1" x14ac:dyDescent="0.2">
      <c r="J84" s="250" t="s">
        <v>51</v>
      </c>
      <c r="K84" s="251" t="s">
        <v>116</v>
      </c>
      <c r="L84" s="251" t="s">
        <v>117</v>
      </c>
      <c r="M84" s="251" t="s">
        <v>118</v>
      </c>
      <c r="N84" s="250"/>
    </row>
    <row r="85" spans="1:19" hidden="1" x14ac:dyDescent="0.2">
      <c r="J85" s="252" t="s">
        <v>63</v>
      </c>
      <c r="K85" s="253">
        <v>12842828.189999999</v>
      </c>
      <c r="L85" s="253"/>
      <c r="M85" s="253"/>
      <c r="N85" s="253">
        <v>86075877.70757401</v>
      </c>
    </row>
    <row r="86" spans="1:19" hidden="1" x14ac:dyDescent="0.2">
      <c r="J86" s="252" t="s">
        <v>57</v>
      </c>
      <c r="K86" s="253">
        <v>15740483.049999999</v>
      </c>
      <c r="L86" s="253"/>
      <c r="M86" s="253"/>
      <c r="N86" s="253">
        <v>70065190.574976012</v>
      </c>
    </row>
    <row r="87" spans="1:19" hidden="1" x14ac:dyDescent="0.2">
      <c r="J87" s="252" t="s">
        <v>119</v>
      </c>
      <c r="K87" s="253">
        <v>9876114.9000000004</v>
      </c>
      <c r="L87" s="253"/>
      <c r="M87" s="253"/>
      <c r="N87" s="253">
        <v>64295411.151034027</v>
      </c>
    </row>
    <row r="88" spans="1:19" s="254" customFormat="1" ht="85" hidden="1" x14ac:dyDescent="0.2">
      <c r="B88" s="254" t="s">
        <v>89</v>
      </c>
      <c r="C88" s="254" t="s">
        <v>90</v>
      </c>
      <c r="D88" s="254" t="s">
        <v>91</v>
      </c>
      <c r="E88" s="254" t="s">
        <v>92</v>
      </c>
      <c r="F88" s="254" t="s">
        <v>30</v>
      </c>
      <c r="J88" s="255" t="s">
        <v>66</v>
      </c>
      <c r="K88" s="256">
        <v>4348138.6199999992</v>
      </c>
      <c r="L88" s="256"/>
      <c r="M88" s="256"/>
      <c r="N88" s="256">
        <v>40638236.454899989</v>
      </c>
      <c r="P88" s="254">
        <v>2025</v>
      </c>
    </row>
    <row r="89" spans="1:19" hidden="1" x14ac:dyDescent="0.2">
      <c r="A89" s="213" t="s">
        <v>62</v>
      </c>
      <c r="B89" s="217">
        <v>0.39425700677297171</v>
      </c>
      <c r="C89" s="217">
        <v>0.37992754226433922</v>
      </c>
      <c r="D89" s="214">
        <v>115309551.57342194</v>
      </c>
      <c r="E89" s="214">
        <v>105523680.54799403</v>
      </c>
      <c r="F89" s="214">
        <v>220833232.12141597</v>
      </c>
      <c r="J89" s="252" t="s">
        <v>64</v>
      </c>
      <c r="K89" s="253">
        <v>3635415.0760000004</v>
      </c>
      <c r="L89" s="253"/>
      <c r="M89" s="253"/>
      <c r="N89" s="253">
        <v>26506095.810399998</v>
      </c>
      <c r="Q89" s="213" t="s">
        <v>120</v>
      </c>
      <c r="R89" s="213" t="s">
        <v>33</v>
      </c>
      <c r="S89" s="213" t="s">
        <v>30</v>
      </c>
    </row>
    <row r="90" spans="1:19" hidden="1" x14ac:dyDescent="0.2">
      <c r="A90" s="213" t="s">
        <v>57</v>
      </c>
      <c r="B90" s="217">
        <v>0.32003246973140814</v>
      </c>
      <c r="C90" s="217">
        <v>0.2856602111512811</v>
      </c>
      <c r="D90" s="214">
        <v>93600874.403516814</v>
      </c>
      <c r="E90" s="214">
        <v>79341225.664095998</v>
      </c>
      <c r="F90" s="214">
        <v>172942100.06761283</v>
      </c>
      <c r="J90" s="252" t="s">
        <v>121</v>
      </c>
      <c r="K90" s="253">
        <v>3974091.46</v>
      </c>
      <c r="L90" s="253">
        <v>14267008.5</v>
      </c>
      <c r="M90" s="253">
        <v>48000</v>
      </c>
      <c r="N90" s="253">
        <v>18881099.960000001</v>
      </c>
      <c r="P90" s="213" t="s">
        <v>122</v>
      </c>
      <c r="Q90" s="257">
        <f>SUM(K90:M91,K95:L95,L96)</f>
        <v>25620610.127</v>
      </c>
    </row>
    <row r="91" spans="1:19" hidden="1" x14ac:dyDescent="0.2">
      <c r="A91" s="213" t="s">
        <v>66</v>
      </c>
      <c r="B91" s="217">
        <v>0.18419939414914829</v>
      </c>
      <c r="C91" s="217">
        <v>0.15362091334410377</v>
      </c>
      <c r="D91" s="214">
        <v>53873359.698246427</v>
      </c>
      <c r="E91" s="214">
        <v>42667725.768445417</v>
      </c>
      <c r="F91" s="214">
        <v>96541085.466691852</v>
      </c>
      <c r="J91" s="252" t="s">
        <v>107</v>
      </c>
      <c r="K91" s="253">
        <v>4784830.2569999993</v>
      </c>
      <c r="L91" s="253">
        <v>2060183.4100000008</v>
      </c>
      <c r="M91" s="253"/>
      <c r="N91" s="253">
        <v>14155160.444199996</v>
      </c>
    </row>
    <row r="92" spans="1:19" hidden="1" x14ac:dyDescent="0.2">
      <c r="A92" s="213" t="s">
        <v>64</v>
      </c>
      <c r="B92" s="217">
        <v>4.8075188069685471E-2</v>
      </c>
      <c r="C92" s="217">
        <v>4.9231834711726229E-2</v>
      </c>
      <c r="D92" s="214">
        <v>14060697.166798946</v>
      </c>
      <c r="E92" s="214">
        <v>13673987.329134645</v>
      </c>
      <c r="F92" s="214">
        <v>27734684.495933592</v>
      </c>
      <c r="J92" s="252" t="s">
        <v>123</v>
      </c>
      <c r="K92" s="253">
        <v>2471076</v>
      </c>
      <c r="L92" s="253"/>
      <c r="M92" s="253"/>
      <c r="N92" s="253">
        <v>9551974.2750000004</v>
      </c>
    </row>
    <row r="93" spans="1:19" hidden="1" x14ac:dyDescent="0.2">
      <c r="A93" s="213" t="s">
        <v>65</v>
      </c>
      <c r="B93" s="217">
        <v>3.05804403973488E-2</v>
      </c>
      <c r="C93" s="217">
        <v>8.5009825479939377E-2</v>
      </c>
      <c r="D93" s="214">
        <v>8943954.8532020841</v>
      </c>
      <c r="E93" s="214">
        <v>23611211.795602009</v>
      </c>
      <c r="F93" s="214">
        <v>32555166.648804091</v>
      </c>
      <c r="J93" s="252" t="s">
        <v>124</v>
      </c>
      <c r="K93" s="253">
        <v>2588</v>
      </c>
      <c r="L93" s="253">
        <v>4217588.5520000001</v>
      </c>
      <c r="M93" s="253"/>
      <c r="N93" s="253">
        <v>4220176.5520000001</v>
      </c>
    </row>
    <row r="94" spans="1:19" hidden="1" x14ac:dyDescent="0.2">
      <c r="A94" s="213" t="s">
        <v>125</v>
      </c>
      <c r="B94" s="217">
        <v>2.2855500879437343E-2</v>
      </c>
      <c r="C94" s="217">
        <v>4.6549673048610136E-2</v>
      </c>
      <c r="D94" s="214">
        <v>6684618.1859019389</v>
      </c>
      <c r="E94" s="214">
        <v>12929025.358676037</v>
      </c>
      <c r="F94" s="214">
        <v>19613643.544577975</v>
      </c>
      <c r="J94" s="252" t="s">
        <v>126</v>
      </c>
      <c r="K94" s="253"/>
      <c r="L94" s="253"/>
      <c r="M94" s="253"/>
      <c r="N94" s="253">
        <v>1372125</v>
      </c>
    </row>
    <row r="95" spans="1:19" hidden="1" x14ac:dyDescent="0.2">
      <c r="A95" s="213" t="s">
        <v>87</v>
      </c>
      <c r="B95" s="217"/>
      <c r="C95" s="217"/>
      <c r="D95" s="214"/>
      <c r="E95" s="214"/>
      <c r="F95" s="214">
        <v>0</v>
      </c>
      <c r="J95" s="252" t="s">
        <v>86</v>
      </c>
      <c r="K95" s="253">
        <v>374310</v>
      </c>
      <c r="L95" s="253">
        <v>110228.5</v>
      </c>
      <c r="M95" s="253"/>
      <c r="N95" s="253">
        <v>821537.5</v>
      </c>
    </row>
    <row r="96" spans="1:19" hidden="1" x14ac:dyDescent="0.2">
      <c r="A96" s="213" t="s">
        <v>88</v>
      </c>
      <c r="B96" s="217"/>
      <c r="C96" s="217"/>
      <c r="D96" s="214"/>
      <c r="E96" s="214"/>
      <c r="F96" s="214">
        <v>0</v>
      </c>
      <c r="J96" s="252" t="s">
        <v>127</v>
      </c>
      <c r="K96" s="253"/>
      <c r="L96" s="253">
        <v>1958</v>
      </c>
      <c r="M96" s="253"/>
      <c r="N96" s="253">
        <v>1958</v>
      </c>
    </row>
    <row r="97" spans="1:14" hidden="1" x14ac:dyDescent="0.2">
      <c r="B97" s="217">
        <v>0.96678466653897799</v>
      </c>
      <c r="C97" s="217">
        <v>0.91796879440766355</v>
      </c>
      <c r="D97" s="214">
        <v>302521405.23506796</v>
      </c>
      <c r="E97" s="214">
        <v>302566773.68120062</v>
      </c>
      <c r="F97" s="214">
        <v>605088178.91626859</v>
      </c>
      <c r="J97" s="252" t="s">
        <v>56</v>
      </c>
      <c r="K97" s="253">
        <v>58049875.552999988</v>
      </c>
      <c r="L97" s="253">
        <v>20656966.962000001</v>
      </c>
      <c r="M97" s="253">
        <v>48000</v>
      </c>
      <c r="N97" s="253">
        <v>336584843.43008399</v>
      </c>
    </row>
    <row r="98" spans="1:14" hidden="1" x14ac:dyDescent="0.2"/>
    <row r="99" spans="1:14" s="254" customFormat="1" ht="34" hidden="1" x14ac:dyDescent="0.2">
      <c r="B99" s="258" t="s">
        <v>62</v>
      </c>
      <c r="C99" s="258" t="s">
        <v>57</v>
      </c>
      <c r="D99" s="258" t="s">
        <v>66</v>
      </c>
      <c r="E99" s="258" t="s">
        <v>64</v>
      </c>
      <c r="F99" s="258" t="s">
        <v>65</v>
      </c>
      <c r="G99" s="258" t="s">
        <v>58</v>
      </c>
      <c r="H99" s="258" t="s">
        <v>87</v>
      </c>
      <c r="I99" s="258" t="s">
        <v>88</v>
      </c>
    </row>
    <row r="100" spans="1:14" hidden="1" x14ac:dyDescent="0.2">
      <c r="A100" s="213" t="s">
        <v>89</v>
      </c>
      <c r="B100" s="259">
        <v>0.32</v>
      </c>
      <c r="C100" s="259">
        <v>0.25</v>
      </c>
      <c r="D100" s="259">
        <v>0.15</v>
      </c>
      <c r="E100" s="259">
        <v>4.8075188069685471E-2</v>
      </c>
      <c r="F100" s="259">
        <v>3.05804403973488E-2</v>
      </c>
      <c r="G100" s="259">
        <v>2.2855500879437343E-2</v>
      </c>
      <c r="H100" s="217"/>
      <c r="I100" s="217"/>
      <c r="J100" s="217">
        <v>0.96678466653897799</v>
      </c>
    </row>
    <row r="101" spans="1:14" hidden="1" x14ac:dyDescent="0.2">
      <c r="A101" s="213" t="s">
        <v>90</v>
      </c>
      <c r="B101" s="259">
        <v>0.37992754226433922</v>
      </c>
      <c r="C101" s="259">
        <v>0.2856602111512811</v>
      </c>
      <c r="D101" s="259">
        <v>0.15362091334410377</v>
      </c>
      <c r="E101" s="259">
        <v>4.9231834711726229E-2</v>
      </c>
      <c r="F101" s="259">
        <v>8.5009825479939377E-2</v>
      </c>
      <c r="G101" s="259">
        <v>4.6549673048610136E-2</v>
      </c>
      <c r="H101" s="217"/>
      <c r="I101" s="217"/>
      <c r="J101" s="217">
        <v>0.91796879440766355</v>
      </c>
    </row>
    <row r="102" spans="1:14" hidden="1" x14ac:dyDescent="0.2">
      <c r="A102" s="213" t="s">
        <v>91</v>
      </c>
      <c r="B102" s="214">
        <v>115309551.57342194</v>
      </c>
      <c r="C102" s="214">
        <v>93600874.403516814</v>
      </c>
      <c r="D102" s="214">
        <v>53873359.698246427</v>
      </c>
      <c r="E102" s="214">
        <v>14060697.166798946</v>
      </c>
      <c r="F102" s="214">
        <v>8943954.8532020841</v>
      </c>
      <c r="G102" s="214">
        <v>6684618.1859019389</v>
      </c>
      <c r="H102" s="214"/>
      <c r="I102" s="214"/>
      <c r="J102" s="214">
        <v>302521405.23506796</v>
      </c>
    </row>
    <row r="103" spans="1:14" hidden="1" x14ac:dyDescent="0.2">
      <c r="A103" s="213" t="s">
        <v>92</v>
      </c>
      <c r="B103" s="214">
        <v>105523680.54799403</v>
      </c>
      <c r="C103" s="214">
        <v>79341225.664095998</v>
      </c>
      <c r="D103" s="214">
        <v>42667725.768445417</v>
      </c>
      <c r="E103" s="214">
        <v>13673987.329134645</v>
      </c>
      <c r="F103" s="214">
        <v>23611211.795602009</v>
      </c>
      <c r="G103" s="214">
        <v>12929025.358676037</v>
      </c>
      <c r="H103" s="214"/>
      <c r="I103" s="214"/>
      <c r="J103" s="214">
        <v>302566773.68120062</v>
      </c>
    </row>
    <row r="104" spans="1:14" hidden="1" x14ac:dyDescent="0.2">
      <c r="A104" s="213" t="s">
        <v>30</v>
      </c>
      <c r="B104" s="214">
        <v>220833232.12141597</v>
      </c>
      <c r="C104" s="214">
        <v>172942100.06761283</v>
      </c>
      <c r="D104" s="214">
        <v>96541085.466691852</v>
      </c>
      <c r="E104" s="214">
        <v>27734684.495933592</v>
      </c>
      <c r="F104" s="214">
        <v>32555166.648804091</v>
      </c>
      <c r="G104" s="214">
        <v>19613643.544577975</v>
      </c>
      <c r="H104" s="214">
        <v>0</v>
      </c>
      <c r="I104" s="214">
        <v>0</v>
      </c>
      <c r="J104" s="214">
        <v>605088178.91626859</v>
      </c>
    </row>
    <row r="105" spans="1:14" hidden="1" x14ac:dyDescent="0.2"/>
    <row r="106" spans="1:14" hidden="1" x14ac:dyDescent="0.2"/>
    <row r="107" spans="1:14" hidden="1" x14ac:dyDescent="0.2"/>
    <row r="108" spans="1:14" hidden="1" x14ac:dyDescent="0.2">
      <c r="A108" s="250" t="s">
        <v>48</v>
      </c>
      <c r="B108" s="252">
        <v>2025</v>
      </c>
      <c r="C108" s="250"/>
      <c r="D108" s="250"/>
    </row>
    <row r="109" spans="1:14" hidden="1" x14ac:dyDescent="0.2">
      <c r="A109" s="250"/>
      <c r="B109" s="250"/>
      <c r="C109" s="250"/>
      <c r="D109" s="250"/>
    </row>
    <row r="110" spans="1:14" hidden="1" x14ac:dyDescent="0.2">
      <c r="A110" s="250" t="s">
        <v>49</v>
      </c>
      <c r="B110" s="250" t="s">
        <v>50</v>
      </c>
      <c r="C110" s="250"/>
      <c r="D110" s="250"/>
    </row>
    <row r="111" spans="1:14" hidden="1" x14ac:dyDescent="0.2">
      <c r="A111" s="250" t="s">
        <v>51</v>
      </c>
      <c r="B111" s="250" t="s">
        <v>26</v>
      </c>
      <c r="C111" s="250" t="s">
        <v>28</v>
      </c>
      <c r="D111" s="250" t="s">
        <v>56</v>
      </c>
    </row>
    <row r="112" spans="1:14" hidden="1" x14ac:dyDescent="0.2">
      <c r="A112" s="252" t="s">
        <v>128</v>
      </c>
      <c r="B112" s="253">
        <v>1800141</v>
      </c>
      <c r="C112" s="253">
        <v>9352629.4800000004</v>
      </c>
      <c r="D112" s="253">
        <v>11152770.48</v>
      </c>
    </row>
    <row r="113" spans="1:4" hidden="1" x14ac:dyDescent="0.2">
      <c r="A113" s="252" t="s">
        <v>63</v>
      </c>
      <c r="B113" s="253">
        <v>29147202.787499998</v>
      </c>
      <c r="C113" s="253">
        <v>56928674.920074001</v>
      </c>
      <c r="D113" s="253">
        <v>86075877.707573995</v>
      </c>
    </row>
    <row r="114" spans="1:4" hidden="1" x14ac:dyDescent="0.2">
      <c r="A114" s="252" t="s">
        <v>57</v>
      </c>
      <c r="B114" s="253">
        <v>34555057.508688003</v>
      </c>
      <c r="C114" s="253">
        <v>35510133.066287987</v>
      </c>
      <c r="D114" s="253">
        <v>70065190.574975997</v>
      </c>
    </row>
    <row r="115" spans="1:4" hidden="1" x14ac:dyDescent="0.2">
      <c r="A115" s="252" t="s">
        <v>66</v>
      </c>
      <c r="B115" s="253">
        <v>11947199.506200004</v>
      </c>
      <c r="C115" s="253">
        <v>28691036.948700007</v>
      </c>
      <c r="D115" s="253">
        <v>40638236.454900011</v>
      </c>
    </row>
    <row r="116" spans="1:4" hidden="1" x14ac:dyDescent="0.2">
      <c r="A116" s="252" t="s">
        <v>119</v>
      </c>
      <c r="B116" s="253">
        <v>24231633.048209995</v>
      </c>
      <c r="C116" s="253">
        <v>40063778.10282404</v>
      </c>
      <c r="D116" s="253">
        <v>64295411.151034035</v>
      </c>
    </row>
    <row r="117" spans="1:4" hidden="1" x14ac:dyDescent="0.2">
      <c r="A117" s="252" t="s">
        <v>129</v>
      </c>
      <c r="B117" s="253"/>
      <c r="C117" s="253">
        <v>83842</v>
      </c>
      <c r="D117" s="253">
        <v>83842</v>
      </c>
    </row>
    <row r="118" spans="1:4" hidden="1" x14ac:dyDescent="0.2">
      <c r="A118" s="252" t="s">
        <v>64</v>
      </c>
      <c r="B118" s="253">
        <v>7478352.6306000017</v>
      </c>
      <c r="C118" s="253">
        <v>19027743.179800004</v>
      </c>
      <c r="D118" s="253">
        <v>26506095.810400005</v>
      </c>
    </row>
    <row r="119" spans="1:4" hidden="1" x14ac:dyDescent="0.2">
      <c r="A119" s="252" t="s">
        <v>130</v>
      </c>
      <c r="B119" s="253">
        <v>3017528.4444999993</v>
      </c>
      <c r="C119" s="253">
        <v>32273433.754688997</v>
      </c>
      <c r="D119" s="253">
        <v>35290962.199188992</v>
      </c>
    </row>
    <row r="120" spans="1:4" hidden="1" x14ac:dyDescent="0.2">
      <c r="A120" s="252" t="s">
        <v>121</v>
      </c>
      <c r="B120" s="253">
        <v>18881099.960000001</v>
      </c>
      <c r="C120" s="253"/>
      <c r="D120" s="253">
        <v>18881099.960000001</v>
      </c>
    </row>
    <row r="121" spans="1:4" hidden="1" x14ac:dyDescent="0.2">
      <c r="A121" s="252" t="s">
        <v>107</v>
      </c>
      <c r="B121" s="253">
        <v>7415701.6669999994</v>
      </c>
      <c r="C121" s="253">
        <v>6739458.7771999948</v>
      </c>
      <c r="D121" s="253">
        <v>14155160.444199994</v>
      </c>
    </row>
    <row r="122" spans="1:4" hidden="1" x14ac:dyDescent="0.2">
      <c r="A122" s="252" t="s">
        <v>86</v>
      </c>
      <c r="B122" s="253">
        <v>561097.5</v>
      </c>
      <c r="C122" s="253">
        <v>260440</v>
      </c>
      <c r="D122" s="253">
        <v>821537.5</v>
      </c>
    </row>
    <row r="123" spans="1:4" hidden="1" x14ac:dyDescent="0.2">
      <c r="A123" s="252" t="s">
        <v>127</v>
      </c>
      <c r="B123" s="253">
        <v>1958</v>
      </c>
      <c r="C123" s="253"/>
      <c r="D123" s="253">
        <v>1958</v>
      </c>
    </row>
    <row r="124" spans="1:4" hidden="1" x14ac:dyDescent="0.2">
      <c r="A124" s="252" t="s">
        <v>124</v>
      </c>
      <c r="B124" s="253">
        <v>4220176.5520000001</v>
      </c>
      <c r="C124" s="253"/>
      <c r="D124" s="253">
        <v>4220176.5520000001</v>
      </c>
    </row>
    <row r="125" spans="1:4" hidden="1" x14ac:dyDescent="0.2">
      <c r="A125" s="252" t="s">
        <v>126</v>
      </c>
      <c r="B125" s="253">
        <v>1372125</v>
      </c>
      <c r="C125" s="253"/>
      <c r="D125" s="253">
        <v>1372125</v>
      </c>
    </row>
    <row r="126" spans="1:4" hidden="1" x14ac:dyDescent="0.2">
      <c r="A126" s="252" t="s">
        <v>123</v>
      </c>
      <c r="B126" s="253">
        <v>7080898.2750000004</v>
      </c>
      <c r="C126" s="253">
        <v>2471076</v>
      </c>
      <c r="D126" s="253">
        <v>9551974.2750000004</v>
      </c>
    </row>
    <row r="127" spans="1:4" hidden="1" x14ac:dyDescent="0.2">
      <c r="A127" s="252" t="s">
        <v>56</v>
      </c>
      <c r="B127" s="253">
        <v>151710171.87969798</v>
      </c>
      <c r="C127" s="253">
        <v>231402246.22957504</v>
      </c>
      <c r="D127" s="253">
        <v>383112418.10927302</v>
      </c>
    </row>
    <row r="128" spans="1:4" hidden="1" x14ac:dyDescent="0.2"/>
  </sheetData>
  <mergeCells count="6">
    <mergeCell ref="A71:G71"/>
    <mergeCell ref="L29:T29"/>
    <mergeCell ref="A4:J4"/>
    <mergeCell ref="A16:J16"/>
    <mergeCell ref="A29:J29"/>
    <mergeCell ref="K32:K33"/>
  </mergeCells>
  <pageMargins left="0.7" right="0.7" top="0.75" bottom="0.75" header="0.3" footer="0.3"/>
  <ignoredErrors>
    <ignoredError sqref="J36:J53 J63:J66 M39:M56 M63:M66 N39:T68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C290A-A3C1-894F-9CED-45985D63CE3B}">
  <dimension ref="A1:W167"/>
  <sheetViews>
    <sheetView showGridLines="0" topLeftCell="C1" zoomScale="120" zoomScaleNormal="120" workbookViewId="0">
      <pane ySplit="1" topLeftCell="A31" activePane="bottomLeft" state="frozen"/>
      <selection pane="bottomLeft" activeCell="J112" sqref="J112"/>
    </sheetView>
  </sheetViews>
  <sheetFormatPr baseColWidth="10" defaultRowHeight="14" outlineLevelRow="1" x14ac:dyDescent="0.2"/>
  <cols>
    <col min="1" max="1" width="30.6640625" style="269" bestFit="1" customWidth="1"/>
    <col min="2" max="2" width="9.5" style="269" bestFit="1" customWidth="1"/>
    <col min="3" max="14" width="10.1640625" style="269" bestFit="1" customWidth="1"/>
    <col min="15" max="15" width="11.83203125" style="269" bestFit="1" customWidth="1"/>
    <col min="16" max="16" width="2.5" style="269" customWidth="1"/>
    <col min="17" max="17" width="30.6640625" style="269" bestFit="1" customWidth="1"/>
    <col min="18" max="18" width="9.5" style="269" bestFit="1" customWidth="1"/>
    <col min="19" max="22" width="8.6640625" style="292" bestFit="1" customWidth="1"/>
    <col min="23" max="23" width="11.6640625" style="292" bestFit="1" customWidth="1"/>
    <col min="24" max="16384" width="10.83203125" style="269"/>
  </cols>
  <sheetData>
    <row r="1" spans="1:23" x14ac:dyDescent="0.2">
      <c r="A1" s="381" t="s">
        <v>160</v>
      </c>
      <c r="B1" s="381"/>
      <c r="C1" s="381"/>
      <c r="D1" s="381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Q1" s="380" t="s">
        <v>161</v>
      </c>
      <c r="R1" s="380"/>
      <c r="S1" s="380"/>
      <c r="T1" s="380"/>
      <c r="U1" s="380"/>
      <c r="V1" s="380"/>
      <c r="W1" s="380"/>
    </row>
    <row r="2" spans="1:23" s="262" customFormat="1" ht="15" customHeight="1" x14ac:dyDescent="0.15">
      <c r="A2" s="323" t="s">
        <v>42</v>
      </c>
      <c r="B2" s="323"/>
      <c r="C2" s="327">
        <v>7.1250000000000008E-2</v>
      </c>
      <c r="D2" s="327">
        <v>7.1250000000000008E-2</v>
      </c>
      <c r="E2" s="327">
        <v>8.1250000000000003E-2</v>
      </c>
      <c r="F2" s="327">
        <v>7.9375000000000001E-2</v>
      </c>
      <c r="G2" s="327">
        <v>7.9375000000000001E-2</v>
      </c>
      <c r="H2" s="327">
        <v>8.9999999999999983E-2</v>
      </c>
      <c r="I2" s="327">
        <v>7.4999999999999997E-2</v>
      </c>
      <c r="J2" s="327">
        <v>7.5624999999999998E-2</v>
      </c>
      <c r="K2" s="327">
        <v>0.08</v>
      </c>
      <c r="L2" s="327">
        <v>9.3749999999999986E-2</v>
      </c>
      <c r="M2" s="327">
        <v>9.4999999999999987E-2</v>
      </c>
      <c r="N2" s="327">
        <v>0.108125</v>
      </c>
      <c r="O2" s="323">
        <v>0.99999999999999989</v>
      </c>
      <c r="Q2" s="323" t="s">
        <v>162</v>
      </c>
      <c r="S2" s="324">
        <f>SUM(C2:E2)</f>
        <v>0.22375</v>
      </c>
      <c r="T2" s="324">
        <f>SUM(F2:H2)</f>
        <v>0.24874999999999997</v>
      </c>
      <c r="U2" s="324">
        <f>SUM(I2:K2)</f>
        <v>0.23062500000000002</v>
      </c>
      <c r="V2" s="324">
        <f>SUM(L2:N2)</f>
        <v>0.296875</v>
      </c>
      <c r="W2" s="324">
        <f t="shared" ref="W2" si="0">SUM(S2:V2)</f>
        <v>1</v>
      </c>
    </row>
    <row r="3" spans="1:23" ht="18" customHeight="1" x14ac:dyDescent="0.2">
      <c r="A3" s="272"/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S3" s="273"/>
      <c r="T3" s="273"/>
      <c r="U3" s="273"/>
      <c r="V3" s="273"/>
      <c r="W3" s="273"/>
    </row>
    <row r="4" spans="1:23" x14ac:dyDescent="0.2">
      <c r="A4" s="264" t="s">
        <v>145</v>
      </c>
      <c r="B4" s="264"/>
      <c r="C4" s="266" t="s">
        <v>131</v>
      </c>
      <c r="D4" s="266" t="s">
        <v>132</v>
      </c>
      <c r="E4" s="266" t="s">
        <v>133</v>
      </c>
      <c r="F4" s="266" t="s">
        <v>134</v>
      </c>
      <c r="G4" s="266" t="s">
        <v>135</v>
      </c>
      <c r="H4" s="266" t="s">
        <v>136</v>
      </c>
      <c r="I4" s="266" t="s">
        <v>137</v>
      </c>
      <c r="J4" s="266" t="s">
        <v>138</v>
      </c>
      <c r="K4" s="266" t="s">
        <v>139</v>
      </c>
      <c r="L4" s="266" t="s">
        <v>140</v>
      </c>
      <c r="M4" s="266" t="s">
        <v>141</v>
      </c>
      <c r="N4" s="266" t="s">
        <v>142</v>
      </c>
      <c r="O4" s="266" t="s">
        <v>143</v>
      </c>
      <c r="Q4" s="301" t="str">
        <f t="shared" ref="Q4:Q13" si="1">A4</f>
        <v>Mülkiye Akdoğaner  —  Direkt Satış</v>
      </c>
      <c r="R4" s="301"/>
      <c r="S4" s="266" t="s">
        <v>154</v>
      </c>
      <c r="T4" s="266" t="s">
        <v>155</v>
      </c>
      <c r="U4" s="266" t="s">
        <v>156</v>
      </c>
      <c r="V4" s="266" t="s">
        <v>157</v>
      </c>
      <c r="W4" s="266" t="s">
        <v>143</v>
      </c>
    </row>
    <row r="5" spans="1:23" ht="16" customHeight="1" outlineLevel="1" x14ac:dyDescent="0.2">
      <c r="A5" s="274" t="s">
        <v>25</v>
      </c>
      <c r="B5" s="275" t="s">
        <v>26</v>
      </c>
      <c r="C5" s="276">
        <f>'SatışEkibi YS-Yen. Hed - 600'!$B$31*'SatışEkibi YS-Yen. Hed - 600'!$M37*'Satış YS-Yen.Hed (Ayık) - 600'!C$2</f>
        <v>2493.7500000000005</v>
      </c>
      <c r="D5" s="276">
        <f>'SatışEkibi YS-Yen. Hed - 600'!$B$31*'SatışEkibi YS-Yen. Hed - 600'!$M37*'Satış YS-Yen.Hed (Ayık) - 600'!D$2</f>
        <v>2493.7500000000005</v>
      </c>
      <c r="E5" s="276">
        <f>'SatışEkibi YS-Yen. Hed - 600'!$B$31*'SatışEkibi YS-Yen. Hed - 600'!$M37*'Satış YS-Yen.Hed (Ayık) - 600'!E$2</f>
        <v>2843.75</v>
      </c>
      <c r="F5" s="276">
        <f>'SatışEkibi YS-Yen. Hed - 600'!$B$31*'SatışEkibi YS-Yen. Hed - 600'!$M37*'Satış YS-Yen.Hed (Ayık) - 600'!F$2</f>
        <v>2778.125</v>
      </c>
      <c r="G5" s="276">
        <f>'SatışEkibi YS-Yen. Hed - 600'!$B$31*'SatışEkibi YS-Yen. Hed - 600'!$M37*'Satış YS-Yen.Hed (Ayık) - 600'!G$2</f>
        <v>2778.125</v>
      </c>
      <c r="H5" s="276">
        <f>'SatışEkibi YS-Yen. Hed - 600'!$B$31*'SatışEkibi YS-Yen. Hed - 600'!$M37*'Satış YS-Yen.Hed (Ayık) - 600'!H$2</f>
        <v>3149.9999999999995</v>
      </c>
      <c r="I5" s="276">
        <f>'SatışEkibi YS-Yen. Hed - 600'!$B$31*'SatışEkibi YS-Yen. Hed - 600'!$M37*'Satış YS-Yen.Hed (Ayık) - 600'!I$2</f>
        <v>2625</v>
      </c>
      <c r="J5" s="276">
        <f>'SatışEkibi YS-Yen. Hed - 600'!$B$31*'SatışEkibi YS-Yen. Hed - 600'!$M37*'Satış YS-Yen.Hed (Ayık) - 600'!J$2</f>
        <v>2646.875</v>
      </c>
      <c r="K5" s="276">
        <f>'SatışEkibi YS-Yen. Hed - 600'!$B$31*'SatışEkibi YS-Yen. Hed - 600'!$M37*'Satış YS-Yen.Hed (Ayık) - 600'!K$2</f>
        <v>2800</v>
      </c>
      <c r="L5" s="276">
        <f>'SatışEkibi YS-Yen. Hed - 600'!$B$31*'SatışEkibi YS-Yen. Hed - 600'!$M37*'Satış YS-Yen.Hed (Ayık) - 600'!L$2</f>
        <v>3281.2499999999995</v>
      </c>
      <c r="M5" s="276">
        <f>'SatışEkibi YS-Yen. Hed - 600'!$B$31*'SatışEkibi YS-Yen. Hed - 600'!$M37*'Satış YS-Yen.Hed (Ayık) - 600'!M$2</f>
        <v>3324.9999999999995</v>
      </c>
      <c r="N5" s="276">
        <f>'SatışEkibi YS-Yen. Hed - 600'!$B$31*'SatışEkibi YS-Yen. Hed - 600'!$M37*'Satış YS-Yen.Hed (Ayık) - 600'!N$2</f>
        <v>3784.375</v>
      </c>
      <c r="O5" s="276">
        <f t="shared" ref="O5:O13" si="2">SUM(C5:N5)</f>
        <v>35000</v>
      </c>
      <c r="Q5" s="277" t="str">
        <f t="shared" si="1"/>
        <v>Enroute</v>
      </c>
      <c r="R5" s="278" t="str">
        <f t="shared" ref="R5:R16" si="3">B5</f>
        <v>Yeni Satış</v>
      </c>
      <c r="S5" s="279">
        <f t="shared" ref="S5:S13" si="4">SUM(C5:E5)</f>
        <v>7831.2500000000009</v>
      </c>
      <c r="T5" s="279">
        <f t="shared" ref="T5:T13" si="5">SUM(F5:H5)</f>
        <v>8706.25</v>
      </c>
      <c r="U5" s="279">
        <f t="shared" ref="U5:U13" si="6">SUM(I5:K5)</f>
        <v>8071.875</v>
      </c>
      <c r="V5" s="279">
        <f t="shared" ref="V5:V13" si="7">SUM(L5:N5)</f>
        <v>10390.625</v>
      </c>
      <c r="W5" s="279">
        <f t="shared" ref="W5:W15" si="8">SUM(S5:V5)</f>
        <v>35000</v>
      </c>
    </row>
    <row r="6" spans="1:23" ht="16" customHeight="1" outlineLevel="1" x14ac:dyDescent="0.2">
      <c r="A6" s="274" t="s">
        <v>25</v>
      </c>
      <c r="B6" s="275" t="s">
        <v>28</v>
      </c>
      <c r="C6" s="276">
        <f>'SatışEkibi YS-Yen. Hed - 600'!$B$31*'SatışEkibi YS-Yen. Hed - 600'!$M38*'Satış YS-Yen.Hed (Ayık) - 600'!C$2</f>
        <v>4524.3750000000009</v>
      </c>
      <c r="D6" s="276">
        <f>'SatışEkibi YS-Yen. Hed - 600'!$B$31*'SatışEkibi YS-Yen. Hed - 600'!$M38*'Satış YS-Yen.Hed (Ayık) - 600'!D$2</f>
        <v>4524.3750000000009</v>
      </c>
      <c r="E6" s="276">
        <f>'SatışEkibi YS-Yen. Hed - 600'!$B$31*'SatışEkibi YS-Yen. Hed - 600'!$M38*'Satış YS-Yen.Hed (Ayık) - 600'!E$2</f>
        <v>5159.3750000000009</v>
      </c>
      <c r="F6" s="276">
        <f>'SatışEkibi YS-Yen. Hed - 600'!$B$31*'SatışEkibi YS-Yen. Hed - 600'!$M38*'Satış YS-Yen.Hed (Ayık) - 600'!F$2</f>
        <v>5040.3125000000009</v>
      </c>
      <c r="G6" s="276">
        <f>'SatışEkibi YS-Yen. Hed - 600'!$B$31*'SatışEkibi YS-Yen. Hed - 600'!$M38*'Satış YS-Yen.Hed (Ayık) - 600'!G$2</f>
        <v>5040.3125000000009</v>
      </c>
      <c r="H6" s="276">
        <f>'SatışEkibi YS-Yen. Hed - 600'!$B$31*'SatışEkibi YS-Yen. Hed - 600'!$M38*'Satış YS-Yen.Hed (Ayık) - 600'!H$2</f>
        <v>5715</v>
      </c>
      <c r="I6" s="276">
        <f>'SatışEkibi YS-Yen. Hed - 600'!$B$31*'SatışEkibi YS-Yen. Hed - 600'!$M38*'Satış YS-Yen.Hed (Ayık) - 600'!I$2</f>
        <v>4762.5</v>
      </c>
      <c r="J6" s="276">
        <f>'SatışEkibi YS-Yen. Hed - 600'!$B$31*'SatışEkibi YS-Yen. Hed - 600'!$M38*'Satış YS-Yen.Hed (Ayık) - 600'!J$2</f>
        <v>4802.1875</v>
      </c>
      <c r="K6" s="276">
        <f>'SatışEkibi YS-Yen. Hed - 600'!$B$31*'SatışEkibi YS-Yen. Hed - 600'!$M38*'Satış YS-Yen.Hed (Ayık) - 600'!K$2</f>
        <v>5080.0000000000009</v>
      </c>
      <c r="L6" s="276">
        <f>'SatışEkibi YS-Yen. Hed - 600'!$B$31*'SatışEkibi YS-Yen. Hed - 600'!$M38*'Satış YS-Yen.Hed (Ayık) - 600'!L$2</f>
        <v>5953.125</v>
      </c>
      <c r="M6" s="276">
        <f>'SatışEkibi YS-Yen. Hed - 600'!$B$31*'SatışEkibi YS-Yen. Hed - 600'!$M38*'Satış YS-Yen.Hed (Ayık) - 600'!M$2</f>
        <v>6032.5</v>
      </c>
      <c r="N6" s="276">
        <f>'SatışEkibi YS-Yen. Hed - 600'!$B$31*'SatışEkibi YS-Yen. Hed - 600'!$M38*'Satış YS-Yen.Hed (Ayık) - 600'!N$2</f>
        <v>6865.9375000000009</v>
      </c>
      <c r="O6" s="276">
        <f t="shared" si="2"/>
        <v>63500</v>
      </c>
      <c r="Q6" s="277" t="str">
        <f t="shared" si="1"/>
        <v>Enroute</v>
      </c>
      <c r="R6" s="278" t="str">
        <f t="shared" si="3"/>
        <v>Yenileme</v>
      </c>
      <c r="S6" s="279">
        <f t="shared" si="4"/>
        <v>14208.125000000004</v>
      </c>
      <c r="T6" s="279">
        <f t="shared" si="5"/>
        <v>15795.625000000002</v>
      </c>
      <c r="U6" s="279">
        <f t="shared" si="6"/>
        <v>14644.6875</v>
      </c>
      <c r="V6" s="279">
        <f t="shared" si="7"/>
        <v>18851.5625</v>
      </c>
      <c r="W6" s="279">
        <f t="shared" si="8"/>
        <v>63500.000000000007</v>
      </c>
    </row>
    <row r="7" spans="1:23" ht="16" customHeight="1" outlineLevel="1" x14ac:dyDescent="0.2">
      <c r="A7" s="274" t="s">
        <v>29</v>
      </c>
      <c r="B7" s="275" t="s">
        <v>26</v>
      </c>
      <c r="C7" s="276">
        <f>'SatışEkibi YS-Yen. Hed - 600'!$C$31*'SatışEkibi YS-Yen. Hed - 600'!$N37*'Satış YS-Yen.Hed (Ayık) - 600'!C$2</f>
        <v>712.50000000000011</v>
      </c>
      <c r="D7" s="276">
        <f>'SatışEkibi YS-Yen. Hed - 600'!$C$31*'SatışEkibi YS-Yen. Hed - 600'!$N37*'Satış YS-Yen.Hed (Ayık) - 600'!D$2</f>
        <v>712.50000000000011</v>
      </c>
      <c r="E7" s="276">
        <f>'SatışEkibi YS-Yen. Hed - 600'!$C$31*'SatışEkibi YS-Yen. Hed - 600'!$N37*'Satış YS-Yen.Hed (Ayık) - 600'!E$2</f>
        <v>812.5</v>
      </c>
      <c r="F7" s="276">
        <f>'SatışEkibi YS-Yen. Hed - 600'!$C$31*'SatışEkibi YS-Yen. Hed - 600'!$N37*'Satış YS-Yen.Hed (Ayık) - 600'!F$2</f>
        <v>793.75</v>
      </c>
      <c r="G7" s="276">
        <f>'SatışEkibi YS-Yen. Hed - 600'!$C$31*'SatışEkibi YS-Yen. Hed - 600'!$N37*'Satış YS-Yen.Hed (Ayık) - 600'!G$2</f>
        <v>793.75</v>
      </c>
      <c r="H7" s="276">
        <f>'SatışEkibi YS-Yen. Hed - 600'!$C$31*'SatışEkibi YS-Yen. Hed - 600'!$N37*'Satış YS-Yen.Hed (Ayık) - 600'!H$2</f>
        <v>899.99999999999977</v>
      </c>
      <c r="I7" s="276">
        <f>'SatışEkibi YS-Yen. Hed - 600'!$C$31*'SatışEkibi YS-Yen. Hed - 600'!$N37*'Satış YS-Yen.Hed (Ayık) - 600'!I$2</f>
        <v>750</v>
      </c>
      <c r="J7" s="276">
        <f>'SatışEkibi YS-Yen. Hed - 600'!$C$31*'SatışEkibi YS-Yen. Hed - 600'!$N37*'Satış YS-Yen.Hed (Ayık) - 600'!J$2</f>
        <v>756.25</v>
      </c>
      <c r="K7" s="276">
        <f>'SatışEkibi YS-Yen. Hed - 600'!$C$31*'SatışEkibi YS-Yen. Hed - 600'!$N37*'Satış YS-Yen.Hed (Ayık) - 600'!K$2</f>
        <v>800</v>
      </c>
      <c r="L7" s="276">
        <f>'SatışEkibi YS-Yen. Hed - 600'!$C$31*'SatışEkibi YS-Yen. Hed - 600'!$N37*'Satış YS-Yen.Hed (Ayık) - 600'!L$2</f>
        <v>937.49999999999989</v>
      </c>
      <c r="M7" s="276">
        <f>'SatışEkibi YS-Yen. Hed - 600'!$C$31*'SatışEkibi YS-Yen. Hed - 600'!$N37*'Satış YS-Yen.Hed (Ayık) - 600'!M$2</f>
        <v>949.99999999999989</v>
      </c>
      <c r="N7" s="276">
        <f>'SatışEkibi YS-Yen. Hed - 600'!$C$31*'SatışEkibi YS-Yen. Hed - 600'!$N37*'Satış YS-Yen.Hed (Ayık) - 600'!N$2</f>
        <v>1081.25</v>
      </c>
      <c r="O7" s="276">
        <f t="shared" si="2"/>
        <v>10000</v>
      </c>
      <c r="Q7" s="277" t="str">
        <f t="shared" si="1"/>
        <v>Stokbar</v>
      </c>
      <c r="R7" s="278" t="str">
        <f t="shared" si="3"/>
        <v>Yeni Satış</v>
      </c>
      <c r="S7" s="279">
        <f t="shared" si="4"/>
        <v>2237.5</v>
      </c>
      <c r="T7" s="279">
        <f t="shared" si="5"/>
        <v>2487.5</v>
      </c>
      <c r="U7" s="279">
        <f t="shared" si="6"/>
        <v>2306.25</v>
      </c>
      <c r="V7" s="279">
        <f t="shared" si="7"/>
        <v>2968.75</v>
      </c>
      <c r="W7" s="279">
        <f t="shared" si="8"/>
        <v>10000</v>
      </c>
    </row>
    <row r="8" spans="1:23" ht="16" customHeight="1" outlineLevel="1" x14ac:dyDescent="0.2">
      <c r="A8" s="274" t="s">
        <v>27</v>
      </c>
      <c r="B8" s="275" t="s">
        <v>26</v>
      </c>
      <c r="C8" s="276">
        <f>'SatışEkibi YS-Yen. Hed - 600'!$D$31*'SatışEkibi YS-Yen. Hed - 600'!$O37*'Satış YS-Yen.Hed (Ayık) - 600'!C$2</f>
        <v>855.00000000000011</v>
      </c>
      <c r="D8" s="276">
        <f>'SatışEkibi YS-Yen. Hed - 600'!$D$31*'SatışEkibi YS-Yen. Hed - 600'!$O37*'Satış YS-Yen.Hed (Ayık) - 600'!D$2</f>
        <v>855.00000000000011</v>
      </c>
      <c r="E8" s="276">
        <f>'SatışEkibi YS-Yen. Hed - 600'!$D$31*'SatışEkibi YS-Yen. Hed - 600'!$O37*'Satış YS-Yen.Hed (Ayık) - 600'!E$2</f>
        <v>975</v>
      </c>
      <c r="F8" s="276">
        <f>'SatışEkibi YS-Yen. Hed - 600'!$D$31*'SatışEkibi YS-Yen. Hed - 600'!$O37*'Satış YS-Yen.Hed (Ayık) - 600'!F$2</f>
        <v>952.5</v>
      </c>
      <c r="G8" s="276">
        <f>'SatışEkibi YS-Yen. Hed - 600'!$D$31*'SatışEkibi YS-Yen. Hed - 600'!$O37*'Satış YS-Yen.Hed (Ayık) - 600'!G$2</f>
        <v>952.5</v>
      </c>
      <c r="H8" s="276">
        <f>'SatışEkibi YS-Yen. Hed - 600'!$D$31*'SatışEkibi YS-Yen. Hed - 600'!$O37*'Satış YS-Yen.Hed (Ayık) - 600'!H$2</f>
        <v>1079.9999999999998</v>
      </c>
      <c r="I8" s="276">
        <f>'SatışEkibi YS-Yen. Hed - 600'!$D$31*'SatışEkibi YS-Yen. Hed - 600'!$O37*'Satış YS-Yen.Hed (Ayık) - 600'!I$2</f>
        <v>900</v>
      </c>
      <c r="J8" s="276">
        <f>'SatışEkibi YS-Yen. Hed - 600'!$D$31*'SatışEkibi YS-Yen. Hed - 600'!$O37*'Satış YS-Yen.Hed (Ayık) - 600'!J$2</f>
        <v>907.5</v>
      </c>
      <c r="K8" s="276">
        <f>'SatışEkibi YS-Yen. Hed - 600'!$D$31*'SatışEkibi YS-Yen. Hed - 600'!$O37*'Satış YS-Yen.Hed (Ayık) - 600'!K$2</f>
        <v>960</v>
      </c>
      <c r="L8" s="276">
        <f>'SatışEkibi YS-Yen. Hed - 600'!$D$31*'SatışEkibi YS-Yen. Hed - 600'!$O37*'Satış YS-Yen.Hed (Ayık) - 600'!L$2</f>
        <v>1124.9999999999998</v>
      </c>
      <c r="M8" s="276">
        <f>'SatışEkibi YS-Yen. Hed - 600'!$D$31*'SatışEkibi YS-Yen. Hed - 600'!$O37*'Satış YS-Yen.Hed (Ayık) - 600'!M$2</f>
        <v>1139.9999999999998</v>
      </c>
      <c r="N8" s="276">
        <f>'SatışEkibi YS-Yen. Hed - 600'!$D$31*'SatışEkibi YS-Yen. Hed - 600'!$O37*'Satış YS-Yen.Hed (Ayık) - 600'!N$2</f>
        <v>1297.5</v>
      </c>
      <c r="O8" s="276">
        <f t="shared" si="2"/>
        <v>12000</v>
      </c>
      <c r="Q8" s="277" t="str">
        <f t="shared" si="1"/>
        <v>Quest</v>
      </c>
      <c r="R8" s="278" t="str">
        <f t="shared" si="3"/>
        <v>Yeni Satış</v>
      </c>
      <c r="S8" s="279">
        <f t="shared" si="4"/>
        <v>2685</v>
      </c>
      <c r="T8" s="279">
        <f t="shared" si="5"/>
        <v>2985</v>
      </c>
      <c r="U8" s="279">
        <f t="shared" si="6"/>
        <v>2767.5</v>
      </c>
      <c r="V8" s="279">
        <f t="shared" si="7"/>
        <v>3562.4999999999995</v>
      </c>
      <c r="W8" s="279">
        <f t="shared" si="8"/>
        <v>12000</v>
      </c>
    </row>
    <row r="9" spans="1:23" ht="16" customHeight="1" outlineLevel="1" x14ac:dyDescent="0.2">
      <c r="A9" s="274" t="s">
        <v>27</v>
      </c>
      <c r="B9" s="275" t="s">
        <v>28</v>
      </c>
      <c r="C9" s="276">
        <f>'SatışEkibi YS-Yen. Hed - 600'!$D$31*'SatışEkibi YS-Yen. Hed - 600'!$O38*'Satış YS-Yen.Hed (Ayık) - 600'!C$2</f>
        <v>598.50000000000011</v>
      </c>
      <c r="D9" s="276">
        <f>'SatışEkibi YS-Yen. Hed - 600'!$D$31*'SatışEkibi YS-Yen. Hed - 600'!$O38*'Satış YS-Yen.Hed (Ayık) - 600'!D$2</f>
        <v>598.50000000000011</v>
      </c>
      <c r="E9" s="276">
        <f>'SatışEkibi YS-Yen. Hed - 600'!$D$31*'SatışEkibi YS-Yen. Hed - 600'!$O38*'Satış YS-Yen.Hed (Ayık) - 600'!E$2</f>
        <v>682.5</v>
      </c>
      <c r="F9" s="276">
        <f>'SatışEkibi YS-Yen. Hed - 600'!$D$31*'SatışEkibi YS-Yen. Hed - 600'!$O38*'Satış YS-Yen.Hed (Ayık) - 600'!F$2</f>
        <v>666.75</v>
      </c>
      <c r="G9" s="276">
        <f>'SatışEkibi YS-Yen. Hed - 600'!$D$31*'SatışEkibi YS-Yen. Hed - 600'!$O38*'Satış YS-Yen.Hed (Ayık) - 600'!G$2</f>
        <v>666.75</v>
      </c>
      <c r="H9" s="276">
        <f>'SatışEkibi YS-Yen. Hed - 600'!$D$31*'SatışEkibi YS-Yen. Hed - 600'!$O38*'Satış YS-Yen.Hed (Ayık) - 600'!H$2</f>
        <v>755.99999999999989</v>
      </c>
      <c r="I9" s="276">
        <f>'SatışEkibi YS-Yen. Hed - 600'!$D$31*'SatışEkibi YS-Yen. Hed - 600'!$O38*'Satış YS-Yen.Hed (Ayık) - 600'!I$2</f>
        <v>630</v>
      </c>
      <c r="J9" s="276">
        <f>'SatışEkibi YS-Yen. Hed - 600'!$D$31*'SatışEkibi YS-Yen. Hed - 600'!$O38*'Satış YS-Yen.Hed (Ayık) - 600'!J$2</f>
        <v>635.25</v>
      </c>
      <c r="K9" s="276">
        <f>'SatışEkibi YS-Yen. Hed - 600'!$D$31*'SatışEkibi YS-Yen. Hed - 600'!$O38*'Satış YS-Yen.Hed (Ayık) - 600'!K$2</f>
        <v>672</v>
      </c>
      <c r="L9" s="276">
        <f>'SatışEkibi YS-Yen. Hed - 600'!$D$31*'SatışEkibi YS-Yen. Hed - 600'!$O38*'Satış YS-Yen.Hed (Ayık) - 600'!L$2</f>
        <v>787.49999999999989</v>
      </c>
      <c r="M9" s="276">
        <f>'SatışEkibi YS-Yen. Hed - 600'!$D$31*'SatışEkibi YS-Yen. Hed - 600'!$O38*'Satış YS-Yen.Hed (Ayık) - 600'!M$2</f>
        <v>797.99999999999989</v>
      </c>
      <c r="N9" s="276">
        <f>'SatışEkibi YS-Yen. Hed - 600'!$D$31*'SatışEkibi YS-Yen. Hed - 600'!$O38*'Satış YS-Yen.Hed (Ayık) - 600'!N$2</f>
        <v>908.25</v>
      </c>
      <c r="O9" s="276">
        <f t="shared" si="2"/>
        <v>8400</v>
      </c>
      <c r="Q9" s="277" t="str">
        <f t="shared" si="1"/>
        <v>Quest</v>
      </c>
      <c r="R9" s="278" t="str">
        <f t="shared" si="3"/>
        <v>Yenileme</v>
      </c>
      <c r="S9" s="279">
        <f t="shared" si="4"/>
        <v>1879.5000000000002</v>
      </c>
      <c r="T9" s="279">
        <f t="shared" si="5"/>
        <v>2089.5</v>
      </c>
      <c r="U9" s="279">
        <f t="shared" si="6"/>
        <v>1937.25</v>
      </c>
      <c r="V9" s="279">
        <f t="shared" si="7"/>
        <v>2493.75</v>
      </c>
      <c r="W9" s="279">
        <f t="shared" si="8"/>
        <v>8400</v>
      </c>
    </row>
    <row r="10" spans="1:23" ht="16" customHeight="1" outlineLevel="1" x14ac:dyDescent="0.2">
      <c r="A10" s="274" t="s">
        <v>32</v>
      </c>
      <c r="B10" s="275" t="s">
        <v>26</v>
      </c>
      <c r="C10" s="276">
        <f>'SatışEkibi YS-Yen. Hed - 600'!$F$31*'SatışEkibi YS-Yen. Hed - 600'!$Q37*'Satış YS-Yen.Hed (Ayık) - 600'!C$2</f>
        <v>71.962500000000006</v>
      </c>
      <c r="D10" s="276">
        <f>'SatışEkibi YS-Yen. Hed - 600'!$F$31*'SatışEkibi YS-Yen. Hed - 600'!$Q37*'Satış YS-Yen.Hed (Ayık) - 600'!D$2</f>
        <v>71.962500000000006</v>
      </c>
      <c r="E10" s="276">
        <f>'SatışEkibi YS-Yen. Hed - 600'!$F$31*'SatışEkibi YS-Yen. Hed - 600'!$Q37*'Satış YS-Yen.Hed (Ayık) - 600'!E$2</f>
        <v>82.0625</v>
      </c>
      <c r="F10" s="276">
        <f>'SatışEkibi YS-Yen. Hed - 600'!$F$31*'SatışEkibi YS-Yen. Hed - 600'!$Q37*'Satış YS-Yen.Hed (Ayık) - 600'!F$2</f>
        <v>80.168750000000003</v>
      </c>
      <c r="G10" s="276">
        <f>'SatışEkibi YS-Yen. Hed - 600'!$F$31*'SatışEkibi YS-Yen. Hed - 600'!$Q37*'Satış YS-Yen.Hed (Ayık) - 600'!G$2</f>
        <v>80.168750000000003</v>
      </c>
      <c r="H10" s="276">
        <f>'SatışEkibi YS-Yen. Hed - 600'!$F$31*'SatışEkibi YS-Yen. Hed - 600'!$Q37*'Satış YS-Yen.Hed (Ayık) - 600'!H$2</f>
        <v>90.899999999999977</v>
      </c>
      <c r="I10" s="276">
        <f>'SatışEkibi YS-Yen. Hed - 600'!$F$31*'SatışEkibi YS-Yen. Hed - 600'!$Q37*'Satış YS-Yen.Hed (Ayık) - 600'!I$2</f>
        <v>75.75</v>
      </c>
      <c r="J10" s="276">
        <f>'SatışEkibi YS-Yen. Hed - 600'!$F$31*'SatışEkibi YS-Yen. Hed - 600'!$Q37*'Satış YS-Yen.Hed (Ayık) - 600'!J$2</f>
        <v>76.381249999999994</v>
      </c>
      <c r="K10" s="276">
        <f>'SatışEkibi YS-Yen. Hed - 600'!$F$31*'SatışEkibi YS-Yen. Hed - 600'!$Q37*'Satış YS-Yen.Hed (Ayık) - 600'!K$2</f>
        <v>80.8</v>
      </c>
      <c r="L10" s="276">
        <f>'SatışEkibi YS-Yen. Hed - 600'!$F$31*'SatışEkibi YS-Yen. Hed - 600'!$Q37*'Satış YS-Yen.Hed (Ayık) - 600'!L$2</f>
        <v>94.687499999999986</v>
      </c>
      <c r="M10" s="276">
        <f>'SatışEkibi YS-Yen. Hed - 600'!$F$31*'SatışEkibi YS-Yen. Hed - 600'!$Q37*'Satış YS-Yen.Hed (Ayık) - 600'!M$2</f>
        <v>95.949999999999989</v>
      </c>
      <c r="N10" s="276">
        <f>'SatışEkibi YS-Yen. Hed - 600'!$F$31*'SatışEkibi YS-Yen. Hed - 600'!$Q37*'Satış YS-Yen.Hed (Ayık) - 600'!N$2</f>
        <v>109.20625</v>
      </c>
      <c r="O10" s="276">
        <f t="shared" si="2"/>
        <v>1009.9999999999998</v>
      </c>
      <c r="Q10" s="277" t="str">
        <f t="shared" si="1"/>
        <v>Varuna</v>
      </c>
      <c r="R10" s="278" t="str">
        <f t="shared" si="3"/>
        <v>Yeni Satış</v>
      </c>
      <c r="S10" s="279">
        <f t="shared" si="4"/>
        <v>225.98750000000001</v>
      </c>
      <c r="T10" s="279">
        <f t="shared" si="5"/>
        <v>251.23749999999998</v>
      </c>
      <c r="U10" s="279">
        <f t="shared" si="6"/>
        <v>232.93124999999998</v>
      </c>
      <c r="V10" s="279">
        <f t="shared" si="7"/>
        <v>299.84375</v>
      </c>
      <c r="W10" s="279">
        <f t="shared" si="8"/>
        <v>1010</v>
      </c>
    </row>
    <row r="11" spans="1:23" ht="16" customHeight="1" outlineLevel="1" x14ac:dyDescent="0.2">
      <c r="A11" s="274" t="s">
        <v>34</v>
      </c>
      <c r="B11" s="275" t="s">
        <v>26</v>
      </c>
      <c r="C11" s="276">
        <f>'SatışEkibi YS-Yen. Hed - 600'!$G$31*'SatışEkibi YS-Yen. Hed - 600'!$R37*'Satış YS-Yen.Hed (Ayık) - 600'!C$2</f>
        <v>71.250000000000014</v>
      </c>
      <c r="D11" s="276">
        <f>'SatışEkibi YS-Yen. Hed - 600'!$G$31*'SatışEkibi YS-Yen. Hed - 600'!$R37*'Satış YS-Yen.Hed (Ayık) - 600'!D$2</f>
        <v>71.250000000000014</v>
      </c>
      <c r="E11" s="276">
        <f>'SatışEkibi YS-Yen. Hed - 600'!$G$31*'SatışEkibi YS-Yen. Hed - 600'!$R37*'Satış YS-Yen.Hed (Ayık) - 600'!E$2</f>
        <v>81.25</v>
      </c>
      <c r="F11" s="276">
        <f>'SatışEkibi YS-Yen. Hed - 600'!$G$31*'SatışEkibi YS-Yen. Hed - 600'!$R37*'Satış YS-Yen.Hed (Ayık) - 600'!F$2</f>
        <v>79.375</v>
      </c>
      <c r="G11" s="276">
        <f>'SatışEkibi YS-Yen. Hed - 600'!$G$31*'SatışEkibi YS-Yen. Hed - 600'!$R37*'Satış YS-Yen.Hed (Ayık) - 600'!G$2</f>
        <v>79.375</v>
      </c>
      <c r="H11" s="276">
        <f>'SatışEkibi YS-Yen. Hed - 600'!$G$31*'SatışEkibi YS-Yen. Hed - 600'!$R37*'Satış YS-Yen.Hed (Ayık) - 600'!H$2</f>
        <v>89.999999999999986</v>
      </c>
      <c r="I11" s="276">
        <f>'SatışEkibi YS-Yen. Hed - 600'!$G$31*'SatışEkibi YS-Yen. Hed - 600'!$R37*'Satış YS-Yen.Hed (Ayık) - 600'!I$2</f>
        <v>75</v>
      </c>
      <c r="J11" s="276">
        <f>'SatışEkibi YS-Yen. Hed - 600'!$G$31*'SatışEkibi YS-Yen. Hed - 600'!$R37*'Satış YS-Yen.Hed (Ayık) - 600'!J$2</f>
        <v>75.625</v>
      </c>
      <c r="K11" s="276">
        <f>'SatışEkibi YS-Yen. Hed - 600'!$G$31*'SatışEkibi YS-Yen. Hed - 600'!$R37*'Satış YS-Yen.Hed (Ayık) - 600'!K$2</f>
        <v>80</v>
      </c>
      <c r="L11" s="276">
        <f>'SatışEkibi YS-Yen. Hed - 600'!$G$31*'SatışEkibi YS-Yen. Hed - 600'!$R37*'Satış YS-Yen.Hed (Ayık) - 600'!L$2</f>
        <v>93.749999999999986</v>
      </c>
      <c r="M11" s="276">
        <f>'SatışEkibi YS-Yen. Hed - 600'!$G$31*'SatışEkibi YS-Yen. Hed - 600'!$R37*'Satış YS-Yen.Hed (Ayık) - 600'!M$2</f>
        <v>94.999999999999986</v>
      </c>
      <c r="N11" s="276">
        <f>'SatışEkibi YS-Yen. Hed - 600'!$G$31*'SatışEkibi YS-Yen. Hed - 600'!$R37*'Satış YS-Yen.Hed (Ayık) - 600'!N$2</f>
        <v>108.125</v>
      </c>
      <c r="O11" s="276">
        <f t="shared" si="2"/>
        <v>1000</v>
      </c>
      <c r="Q11" s="277" t="str">
        <f t="shared" si="1"/>
        <v>Hosting</v>
      </c>
      <c r="R11" s="278" t="str">
        <f t="shared" si="3"/>
        <v>Yeni Satış</v>
      </c>
      <c r="S11" s="279">
        <f t="shared" si="4"/>
        <v>223.75000000000003</v>
      </c>
      <c r="T11" s="279">
        <f t="shared" si="5"/>
        <v>248.75</v>
      </c>
      <c r="U11" s="279">
        <f t="shared" si="6"/>
        <v>230.625</v>
      </c>
      <c r="V11" s="279">
        <f t="shared" si="7"/>
        <v>296.875</v>
      </c>
      <c r="W11" s="279">
        <f t="shared" si="8"/>
        <v>1000</v>
      </c>
    </row>
    <row r="12" spans="1:23" ht="16" customHeight="1" outlineLevel="1" x14ac:dyDescent="0.2">
      <c r="A12" s="274" t="s">
        <v>34</v>
      </c>
      <c r="B12" s="275" t="s">
        <v>28</v>
      </c>
      <c r="C12" s="276">
        <f>'SatışEkibi YS-Yen. Hed - 600'!$G$31*'SatışEkibi YS-Yen. Hed - 600'!$R38*'Satış YS-Yen.Hed (Ayık) - 600'!C$2</f>
        <v>2455.8450000000003</v>
      </c>
      <c r="D12" s="276">
        <f>'SatışEkibi YS-Yen. Hed - 600'!$G$31*'SatışEkibi YS-Yen. Hed - 600'!$R38*'Satış YS-Yen.Hed (Ayık) - 600'!D$2</f>
        <v>2455.8450000000003</v>
      </c>
      <c r="E12" s="276">
        <f>'SatışEkibi YS-Yen. Hed - 600'!$G$31*'SatışEkibi YS-Yen. Hed - 600'!$R38*'Satış YS-Yen.Hed (Ayık) - 600'!E$2</f>
        <v>2800.5250000000001</v>
      </c>
      <c r="F12" s="276">
        <f>'SatışEkibi YS-Yen. Hed - 600'!$G$31*'SatışEkibi YS-Yen. Hed - 600'!$R38*'Satış YS-Yen.Hed (Ayık) - 600'!F$2</f>
        <v>2735.8975</v>
      </c>
      <c r="G12" s="276">
        <f>'SatışEkibi YS-Yen. Hed - 600'!$G$31*'SatışEkibi YS-Yen. Hed - 600'!$R38*'Satış YS-Yen.Hed (Ayık) - 600'!G$2</f>
        <v>2735.8975</v>
      </c>
      <c r="H12" s="276">
        <f>'SatışEkibi YS-Yen. Hed - 600'!$G$31*'SatışEkibi YS-Yen. Hed - 600'!$R38*'Satış YS-Yen.Hed (Ayık) - 600'!H$2</f>
        <v>3102.1199999999994</v>
      </c>
      <c r="I12" s="276">
        <f>'SatışEkibi YS-Yen. Hed - 600'!$G$31*'SatışEkibi YS-Yen. Hed - 600'!$R38*'Satış YS-Yen.Hed (Ayık) - 600'!I$2</f>
        <v>2585.1</v>
      </c>
      <c r="J12" s="276">
        <f>'SatışEkibi YS-Yen. Hed - 600'!$G$31*'SatışEkibi YS-Yen. Hed - 600'!$R38*'Satış YS-Yen.Hed (Ayık) - 600'!J$2</f>
        <v>2606.6424999999999</v>
      </c>
      <c r="K12" s="276">
        <f>'SatışEkibi YS-Yen. Hed - 600'!$G$31*'SatışEkibi YS-Yen. Hed - 600'!$R38*'Satış YS-Yen.Hed (Ayık) - 600'!K$2</f>
        <v>2757.44</v>
      </c>
      <c r="L12" s="276">
        <f>'SatışEkibi YS-Yen. Hed - 600'!$G$31*'SatışEkibi YS-Yen. Hed - 600'!$R38*'Satış YS-Yen.Hed (Ayık) - 600'!L$2</f>
        <v>3231.3749999999995</v>
      </c>
      <c r="M12" s="276">
        <f>'SatışEkibi YS-Yen. Hed - 600'!$G$31*'SatışEkibi YS-Yen. Hed - 600'!$R38*'Satış YS-Yen.Hed (Ayık) - 600'!M$2</f>
        <v>3274.4599999999996</v>
      </c>
      <c r="N12" s="276">
        <f>'SatışEkibi YS-Yen. Hed - 600'!$G$31*'SatışEkibi YS-Yen. Hed - 600'!$R38*'Satış YS-Yen.Hed (Ayık) - 600'!N$2</f>
        <v>3726.8525</v>
      </c>
      <c r="O12" s="276">
        <f t="shared" si="2"/>
        <v>34467.999999999993</v>
      </c>
      <c r="Q12" s="277" t="str">
        <f t="shared" si="1"/>
        <v>Hosting</v>
      </c>
      <c r="R12" s="278" t="str">
        <f t="shared" si="3"/>
        <v>Yenileme</v>
      </c>
      <c r="S12" s="279">
        <f t="shared" si="4"/>
        <v>7712.2150000000001</v>
      </c>
      <c r="T12" s="279">
        <f t="shared" si="5"/>
        <v>8573.9149999999991</v>
      </c>
      <c r="U12" s="279">
        <f t="shared" si="6"/>
        <v>7949.1825000000008</v>
      </c>
      <c r="V12" s="279">
        <f t="shared" si="7"/>
        <v>10232.6875</v>
      </c>
      <c r="W12" s="279">
        <f t="shared" si="8"/>
        <v>34468</v>
      </c>
    </row>
    <row r="13" spans="1:23" ht="16" customHeight="1" outlineLevel="1" x14ac:dyDescent="0.2">
      <c r="A13" s="274" t="s">
        <v>35</v>
      </c>
      <c r="B13" s="275" t="s">
        <v>26</v>
      </c>
      <c r="C13" s="276">
        <f>'SatışEkibi YS-Yen. Hed - 600'!$I$31*'SatışEkibi YS-Yen. Hed - 600'!$T37*'Satış YS-Yen.Hed (Ayık) - 600'!C$2</f>
        <v>285.00000000000006</v>
      </c>
      <c r="D13" s="276">
        <f>'SatışEkibi YS-Yen. Hed - 600'!$I$31*'SatışEkibi YS-Yen. Hed - 600'!$T37*'Satış YS-Yen.Hed (Ayık) - 600'!D$2</f>
        <v>285.00000000000006</v>
      </c>
      <c r="E13" s="276">
        <f>'SatışEkibi YS-Yen. Hed - 600'!$I$31*'SatışEkibi YS-Yen. Hed - 600'!$T37*'Satış YS-Yen.Hed (Ayık) - 600'!E$2</f>
        <v>325</v>
      </c>
      <c r="F13" s="276">
        <f>'SatışEkibi YS-Yen. Hed - 600'!$I$31*'SatışEkibi YS-Yen. Hed - 600'!$T37*'Satış YS-Yen.Hed (Ayık) - 600'!F$2</f>
        <v>317.5</v>
      </c>
      <c r="G13" s="276">
        <f>'SatışEkibi YS-Yen. Hed - 600'!$I$31*'SatışEkibi YS-Yen. Hed - 600'!$T37*'Satış YS-Yen.Hed (Ayık) - 600'!G$2</f>
        <v>317.5</v>
      </c>
      <c r="H13" s="276">
        <f>'SatışEkibi YS-Yen. Hed - 600'!$I$31*'SatışEkibi YS-Yen. Hed - 600'!$T37*'Satış YS-Yen.Hed (Ayık) - 600'!H$2</f>
        <v>359.99999999999994</v>
      </c>
      <c r="I13" s="276">
        <f>'SatışEkibi YS-Yen. Hed - 600'!$I$31*'SatışEkibi YS-Yen. Hed - 600'!$T37*'Satış YS-Yen.Hed (Ayık) - 600'!I$2</f>
        <v>300</v>
      </c>
      <c r="J13" s="276">
        <f>'SatışEkibi YS-Yen. Hed - 600'!$I$31*'SatışEkibi YS-Yen. Hed - 600'!$T37*'Satış YS-Yen.Hed (Ayık) - 600'!J$2</f>
        <v>302.5</v>
      </c>
      <c r="K13" s="276">
        <f>'SatışEkibi YS-Yen. Hed - 600'!$I$31*'SatışEkibi YS-Yen. Hed - 600'!$T37*'Satış YS-Yen.Hed (Ayık) - 600'!K$2</f>
        <v>320</v>
      </c>
      <c r="L13" s="276">
        <f>'SatışEkibi YS-Yen. Hed - 600'!$I$31*'SatışEkibi YS-Yen. Hed - 600'!$T37*'Satış YS-Yen.Hed (Ayık) - 600'!L$2</f>
        <v>374.99999999999994</v>
      </c>
      <c r="M13" s="276">
        <f>'SatışEkibi YS-Yen. Hed - 600'!$I$31*'SatışEkibi YS-Yen. Hed - 600'!$T37*'Satış YS-Yen.Hed (Ayık) - 600'!M$2</f>
        <v>379.99999999999994</v>
      </c>
      <c r="N13" s="276">
        <f>'SatışEkibi YS-Yen. Hed - 600'!$I$31*'SatışEkibi YS-Yen. Hed - 600'!$T37*'Satış YS-Yen.Hed (Ayık) - 600'!N$2</f>
        <v>432.5</v>
      </c>
      <c r="O13" s="276">
        <f t="shared" si="2"/>
        <v>4000</v>
      </c>
      <c r="Q13" s="277" t="str">
        <f t="shared" si="1"/>
        <v>BFH</v>
      </c>
      <c r="R13" s="278" t="str">
        <f t="shared" si="3"/>
        <v>Yeni Satış</v>
      </c>
      <c r="S13" s="279">
        <f t="shared" si="4"/>
        <v>895.00000000000011</v>
      </c>
      <c r="T13" s="279">
        <f t="shared" si="5"/>
        <v>995</v>
      </c>
      <c r="U13" s="279">
        <f t="shared" si="6"/>
        <v>922.5</v>
      </c>
      <c r="V13" s="279">
        <f t="shared" si="7"/>
        <v>1187.5</v>
      </c>
      <c r="W13" s="279">
        <f t="shared" si="8"/>
        <v>4000</v>
      </c>
    </row>
    <row r="14" spans="1:23" ht="16" customHeight="1" x14ac:dyDescent="0.2">
      <c r="A14" s="280" t="s">
        <v>30</v>
      </c>
      <c r="B14" s="281" t="s">
        <v>26</v>
      </c>
      <c r="C14" s="282">
        <f>SUMIF($B$5:$B$13,"Yeni Satış",C5:C13)</f>
        <v>4489.4625000000005</v>
      </c>
      <c r="D14" s="282">
        <f t="shared" ref="D14:N14" si="9">SUMIF($B$5:$B$13,"Yeni Satış",D5:D13)</f>
        <v>4489.4625000000005</v>
      </c>
      <c r="E14" s="282">
        <f t="shared" si="9"/>
        <v>5119.5625</v>
      </c>
      <c r="F14" s="282">
        <f t="shared" si="9"/>
        <v>5001.4187499999998</v>
      </c>
      <c r="G14" s="282">
        <f t="shared" si="9"/>
        <v>5001.4187499999998</v>
      </c>
      <c r="H14" s="282">
        <f t="shared" si="9"/>
        <v>5670.8999999999987</v>
      </c>
      <c r="I14" s="282">
        <f t="shared" si="9"/>
        <v>4725.75</v>
      </c>
      <c r="J14" s="282">
        <f t="shared" si="9"/>
        <v>4765.1312500000004</v>
      </c>
      <c r="K14" s="282">
        <f t="shared" si="9"/>
        <v>5040.8</v>
      </c>
      <c r="L14" s="282">
        <f t="shared" si="9"/>
        <v>5907.1874999999991</v>
      </c>
      <c r="M14" s="282">
        <f t="shared" si="9"/>
        <v>5985.9499999999989</v>
      </c>
      <c r="N14" s="282">
        <f t="shared" si="9"/>
        <v>6812.9562500000002</v>
      </c>
      <c r="O14" s="282">
        <f>SUMIF(B5:B13,"Yeni Satış",O5:O13)</f>
        <v>63010</v>
      </c>
      <c r="Q14" s="283" t="s">
        <v>30</v>
      </c>
      <c r="R14" s="284" t="str">
        <f t="shared" si="3"/>
        <v>Yeni Satış</v>
      </c>
      <c r="S14" s="285">
        <f>SUMIF(R5:R13,"Yeni Satış",S5:S13)</f>
        <v>14098.487499999999</v>
      </c>
      <c r="T14" s="285">
        <f>SUMIF(R5:R13,"Yeni Satış",T5:T13)</f>
        <v>15673.737499999999</v>
      </c>
      <c r="U14" s="285">
        <f>SUMIF(R5:R13,"Yeni Satış",U5:U13)</f>
        <v>14531.68125</v>
      </c>
      <c r="V14" s="285">
        <f>SUMIF(R5:R13,"Yeni Satış",V5:V13)</f>
        <v>18706.09375</v>
      </c>
      <c r="W14" s="285">
        <f t="shared" si="8"/>
        <v>63010</v>
      </c>
    </row>
    <row r="15" spans="1:23" ht="16" customHeight="1" x14ac:dyDescent="0.2">
      <c r="A15" s="280" t="s">
        <v>30</v>
      </c>
      <c r="B15" s="281" t="s">
        <v>28</v>
      </c>
      <c r="C15" s="282">
        <f>SUMIF($B$5:$B$14,"Yenileme",C5:C14)</f>
        <v>7578.7200000000012</v>
      </c>
      <c r="D15" s="282">
        <f t="shared" ref="D15:N15" si="10">SUMIF($B$5:$B$14,"Yenileme",D5:D14)</f>
        <v>7578.7200000000012</v>
      </c>
      <c r="E15" s="282">
        <f t="shared" si="10"/>
        <v>8642.4000000000015</v>
      </c>
      <c r="F15" s="282">
        <f t="shared" si="10"/>
        <v>8442.9600000000009</v>
      </c>
      <c r="G15" s="282">
        <f t="shared" si="10"/>
        <v>8442.9600000000009</v>
      </c>
      <c r="H15" s="282">
        <f t="shared" si="10"/>
        <v>9573.119999999999</v>
      </c>
      <c r="I15" s="282">
        <f t="shared" si="10"/>
        <v>7977.6</v>
      </c>
      <c r="J15" s="282">
        <f t="shared" si="10"/>
        <v>8044.08</v>
      </c>
      <c r="K15" s="282">
        <f t="shared" si="10"/>
        <v>8509.44</v>
      </c>
      <c r="L15" s="282">
        <f t="shared" si="10"/>
        <v>9972</v>
      </c>
      <c r="M15" s="282">
        <f t="shared" si="10"/>
        <v>10104.959999999999</v>
      </c>
      <c r="N15" s="282">
        <f t="shared" si="10"/>
        <v>11501.04</v>
      </c>
      <c r="O15" s="282">
        <f>SUMIF(B5:B13,"Yenileme",O5:O13)</f>
        <v>106368</v>
      </c>
      <c r="Q15" s="283" t="s">
        <v>30</v>
      </c>
      <c r="R15" s="284" t="str">
        <f t="shared" si="3"/>
        <v>Yenileme</v>
      </c>
      <c r="S15" s="285">
        <f>SUMIF(R5:R13,"Yenileme",S5:S13)</f>
        <v>23799.840000000004</v>
      </c>
      <c r="T15" s="285">
        <f>SUMIF(R5:R13,"Yenileme",T5:T13)</f>
        <v>26459.040000000001</v>
      </c>
      <c r="U15" s="285">
        <f>SUMIF(R5:R13,"Yenileme",U5:U13)</f>
        <v>24531.120000000003</v>
      </c>
      <c r="V15" s="285">
        <f>SUMIF(R5:R13,"Yenileme",V5:V13)</f>
        <v>31578</v>
      </c>
      <c r="W15" s="285">
        <f t="shared" si="8"/>
        <v>106368</v>
      </c>
    </row>
    <row r="16" spans="1:23" ht="16" customHeight="1" x14ac:dyDescent="0.2">
      <c r="A16" s="286" t="s">
        <v>38</v>
      </c>
      <c r="B16" s="287" t="s">
        <v>144</v>
      </c>
      <c r="C16" s="288">
        <f>SUM(C14:C15)</f>
        <v>12068.182500000003</v>
      </c>
      <c r="D16" s="288">
        <f t="shared" ref="D16:N16" si="11">SUM(D14:D15)</f>
        <v>12068.182500000003</v>
      </c>
      <c r="E16" s="288">
        <f t="shared" si="11"/>
        <v>13761.962500000001</v>
      </c>
      <c r="F16" s="288">
        <f t="shared" si="11"/>
        <v>13444.37875</v>
      </c>
      <c r="G16" s="288">
        <f t="shared" si="11"/>
        <v>13444.37875</v>
      </c>
      <c r="H16" s="288">
        <f t="shared" si="11"/>
        <v>15244.019999999997</v>
      </c>
      <c r="I16" s="288">
        <f t="shared" si="11"/>
        <v>12703.35</v>
      </c>
      <c r="J16" s="288">
        <f t="shared" si="11"/>
        <v>12809.21125</v>
      </c>
      <c r="K16" s="288">
        <f t="shared" si="11"/>
        <v>13550.240000000002</v>
      </c>
      <c r="L16" s="288">
        <f t="shared" si="11"/>
        <v>15879.1875</v>
      </c>
      <c r="M16" s="288">
        <f t="shared" si="11"/>
        <v>16090.909999999998</v>
      </c>
      <c r="N16" s="288">
        <f t="shared" si="11"/>
        <v>18313.99625</v>
      </c>
      <c r="O16" s="303">
        <f>O14+O15</f>
        <v>169378</v>
      </c>
      <c r="Q16" s="297" t="s">
        <v>38</v>
      </c>
      <c r="R16" s="298" t="str">
        <f t="shared" si="3"/>
        <v>YS + Yen.</v>
      </c>
      <c r="S16" s="302">
        <f>S14+S15</f>
        <v>37898.327499999999</v>
      </c>
      <c r="T16" s="302">
        <f>T14+T15</f>
        <v>42132.777499999997</v>
      </c>
      <c r="U16" s="302">
        <f>U14+U15</f>
        <v>39062.801250000004</v>
      </c>
      <c r="V16" s="302">
        <f>V14+V15</f>
        <v>50284.09375</v>
      </c>
      <c r="W16" s="291">
        <f>W14+W15</f>
        <v>169378</v>
      </c>
    </row>
    <row r="17" spans="1:23" ht="16" customHeight="1" x14ac:dyDescent="0.2"/>
    <row r="18" spans="1:23" x14ac:dyDescent="0.2">
      <c r="A18" s="264" t="s">
        <v>146</v>
      </c>
      <c r="B18" s="264"/>
      <c r="C18" s="266" t="s">
        <v>131</v>
      </c>
      <c r="D18" s="266" t="s">
        <v>132</v>
      </c>
      <c r="E18" s="266" t="s">
        <v>133</v>
      </c>
      <c r="F18" s="266" t="s">
        <v>134</v>
      </c>
      <c r="G18" s="266" t="s">
        <v>135</v>
      </c>
      <c r="H18" s="266" t="s">
        <v>136</v>
      </c>
      <c r="I18" s="266" t="s">
        <v>137</v>
      </c>
      <c r="J18" s="266" t="s">
        <v>138</v>
      </c>
      <c r="K18" s="266" t="s">
        <v>139</v>
      </c>
      <c r="L18" s="266" t="s">
        <v>140</v>
      </c>
      <c r="M18" s="266" t="s">
        <v>141</v>
      </c>
      <c r="N18" s="266" t="s">
        <v>142</v>
      </c>
      <c r="O18" s="266" t="s">
        <v>143</v>
      </c>
      <c r="Q18" s="301" t="str">
        <f t="shared" ref="Q18:Q28" si="12">A18</f>
        <v>Begüm Hayta  —  Direkt Satış</v>
      </c>
      <c r="R18" s="301"/>
      <c r="S18" s="266" t="s">
        <v>154</v>
      </c>
      <c r="T18" s="266" t="s">
        <v>155</v>
      </c>
      <c r="U18" s="266" t="s">
        <v>156</v>
      </c>
      <c r="V18" s="266" t="s">
        <v>157</v>
      </c>
      <c r="W18" s="266" t="s">
        <v>143</v>
      </c>
    </row>
    <row r="19" spans="1:23" ht="16" hidden="1" customHeight="1" outlineLevel="1" x14ac:dyDescent="0.2">
      <c r="A19" s="293" t="s">
        <v>25</v>
      </c>
      <c r="B19" s="294" t="s">
        <v>26</v>
      </c>
      <c r="C19" s="276">
        <f>'SatışEkibi YS-Yen. Hed - 600'!$B$31*'SatışEkibi YS-Yen. Hed - 600'!$M40*'Satış YS-Yen.Hed (Ayık) - 600'!C$2</f>
        <v>2137.5000000000005</v>
      </c>
      <c r="D19" s="276">
        <f>'SatışEkibi YS-Yen. Hed - 600'!$B$31*'SatışEkibi YS-Yen. Hed - 600'!$M40*'Satış YS-Yen.Hed (Ayık) - 600'!D$2</f>
        <v>2137.5000000000005</v>
      </c>
      <c r="E19" s="276">
        <f>'SatışEkibi YS-Yen. Hed - 600'!$B$31*'SatışEkibi YS-Yen. Hed - 600'!$M40*'Satış YS-Yen.Hed (Ayık) - 600'!E$2</f>
        <v>2437.5</v>
      </c>
      <c r="F19" s="276">
        <f>'SatışEkibi YS-Yen. Hed - 600'!$B$31*'SatışEkibi YS-Yen. Hed - 600'!$M40*'Satış YS-Yen.Hed (Ayık) - 600'!F$2</f>
        <v>2381.25</v>
      </c>
      <c r="G19" s="276">
        <f>'SatışEkibi YS-Yen. Hed - 600'!$B$31*'SatışEkibi YS-Yen. Hed - 600'!$M40*'Satış YS-Yen.Hed (Ayık) - 600'!G$2</f>
        <v>2381.25</v>
      </c>
      <c r="H19" s="276">
        <f>'SatışEkibi YS-Yen. Hed - 600'!$B$31*'SatışEkibi YS-Yen. Hed - 600'!$M40*'Satış YS-Yen.Hed (Ayık) - 600'!H$2</f>
        <v>2699.9999999999995</v>
      </c>
      <c r="I19" s="276">
        <f>'SatışEkibi YS-Yen. Hed - 600'!$B$31*'SatışEkibi YS-Yen. Hed - 600'!$M40*'Satış YS-Yen.Hed (Ayık) - 600'!I$2</f>
        <v>2250</v>
      </c>
      <c r="J19" s="276">
        <f>'SatışEkibi YS-Yen. Hed - 600'!$B$31*'SatışEkibi YS-Yen. Hed - 600'!$M40*'Satış YS-Yen.Hed (Ayık) - 600'!J$2</f>
        <v>2268.75</v>
      </c>
      <c r="K19" s="276">
        <f>'SatışEkibi YS-Yen. Hed - 600'!$B$31*'SatışEkibi YS-Yen. Hed - 600'!$M40*'Satış YS-Yen.Hed (Ayık) - 600'!K$2</f>
        <v>2400</v>
      </c>
      <c r="L19" s="276">
        <f>'SatışEkibi YS-Yen. Hed - 600'!$B$31*'SatışEkibi YS-Yen. Hed - 600'!$M40*'Satış YS-Yen.Hed (Ayık) - 600'!L$2</f>
        <v>2812.4999999999995</v>
      </c>
      <c r="M19" s="276">
        <f>'SatışEkibi YS-Yen. Hed - 600'!$B$31*'SatışEkibi YS-Yen. Hed - 600'!$M40*'Satış YS-Yen.Hed (Ayık) - 600'!M$2</f>
        <v>2849.9999999999995</v>
      </c>
      <c r="N19" s="276">
        <f>'SatışEkibi YS-Yen. Hed - 600'!$B$31*'SatışEkibi YS-Yen. Hed - 600'!$M40*'Satış YS-Yen.Hed (Ayık) - 600'!N$2</f>
        <v>3243.75</v>
      </c>
      <c r="O19" s="295">
        <f t="shared" ref="O19:O28" si="13">SUM(C19:N19)</f>
        <v>30000</v>
      </c>
      <c r="Q19" s="277" t="str">
        <f t="shared" si="12"/>
        <v>Enroute</v>
      </c>
      <c r="R19" s="278" t="str">
        <f t="shared" ref="R19:R31" si="14">B19</f>
        <v>Yeni Satış</v>
      </c>
      <c r="S19" s="279">
        <f t="shared" ref="S19:S28" si="15">SUM(C19:E19)</f>
        <v>6712.5000000000009</v>
      </c>
      <c r="T19" s="279">
        <f t="shared" ref="T19:T28" si="16">SUM(F19:H19)</f>
        <v>7462.5</v>
      </c>
      <c r="U19" s="279">
        <f t="shared" ref="U19:U28" si="17">SUM(I19:K19)</f>
        <v>6918.75</v>
      </c>
      <c r="V19" s="279">
        <f t="shared" ref="V19:V28" si="18">SUM(L19:N19)</f>
        <v>8906.25</v>
      </c>
      <c r="W19" s="279">
        <f t="shared" ref="W19:W30" si="19">SUM(S19:V19)</f>
        <v>30000</v>
      </c>
    </row>
    <row r="20" spans="1:23" ht="16" hidden="1" customHeight="1" outlineLevel="1" x14ac:dyDescent="0.2">
      <c r="A20" s="293" t="s">
        <v>25</v>
      </c>
      <c r="B20" s="294" t="s">
        <v>28</v>
      </c>
      <c r="C20" s="276">
        <f>'SatışEkibi YS-Yen. Hed - 600'!$B$31*'SatışEkibi YS-Yen. Hed - 600'!$M41*'Satış YS-Yen.Hed (Ayık) - 600'!C$2</f>
        <v>3277.5000000000005</v>
      </c>
      <c r="D20" s="276">
        <f>'SatışEkibi YS-Yen. Hed - 600'!$B$31*'SatışEkibi YS-Yen. Hed - 600'!$M41*'Satış YS-Yen.Hed (Ayık) - 600'!D$2</f>
        <v>3277.5000000000005</v>
      </c>
      <c r="E20" s="276">
        <f>'SatışEkibi YS-Yen. Hed - 600'!$B$31*'SatışEkibi YS-Yen. Hed - 600'!$M41*'Satış YS-Yen.Hed (Ayık) - 600'!E$2</f>
        <v>3737.5</v>
      </c>
      <c r="F20" s="276">
        <f>'SatışEkibi YS-Yen. Hed - 600'!$B$31*'SatışEkibi YS-Yen. Hed - 600'!$M41*'Satış YS-Yen.Hed (Ayık) - 600'!F$2</f>
        <v>3651.25</v>
      </c>
      <c r="G20" s="276">
        <f>'SatışEkibi YS-Yen. Hed - 600'!$B$31*'SatışEkibi YS-Yen. Hed - 600'!$M41*'Satış YS-Yen.Hed (Ayık) - 600'!G$2</f>
        <v>3651.25</v>
      </c>
      <c r="H20" s="276">
        <f>'SatışEkibi YS-Yen. Hed - 600'!$B$31*'SatışEkibi YS-Yen. Hed - 600'!$M41*'Satış YS-Yen.Hed (Ayık) - 600'!H$2</f>
        <v>4139.9999999999991</v>
      </c>
      <c r="I20" s="276">
        <f>'SatışEkibi YS-Yen. Hed - 600'!$B$31*'SatışEkibi YS-Yen. Hed - 600'!$M41*'Satış YS-Yen.Hed (Ayık) - 600'!I$2</f>
        <v>3450</v>
      </c>
      <c r="J20" s="276">
        <f>'SatışEkibi YS-Yen. Hed - 600'!$B$31*'SatışEkibi YS-Yen. Hed - 600'!$M41*'Satış YS-Yen.Hed (Ayık) - 600'!J$2</f>
        <v>3478.75</v>
      </c>
      <c r="K20" s="276">
        <f>'SatışEkibi YS-Yen. Hed - 600'!$B$31*'SatışEkibi YS-Yen. Hed - 600'!$M41*'Satış YS-Yen.Hed (Ayık) - 600'!K$2</f>
        <v>3680</v>
      </c>
      <c r="L20" s="276">
        <f>'SatışEkibi YS-Yen. Hed - 600'!$B$31*'SatışEkibi YS-Yen. Hed - 600'!$M41*'Satış YS-Yen.Hed (Ayık) - 600'!L$2</f>
        <v>4312.4999999999991</v>
      </c>
      <c r="M20" s="276">
        <f>'SatışEkibi YS-Yen. Hed - 600'!$B$31*'SatışEkibi YS-Yen. Hed - 600'!$M41*'Satış YS-Yen.Hed (Ayık) - 600'!M$2</f>
        <v>4369.9999999999991</v>
      </c>
      <c r="N20" s="276">
        <f>'SatışEkibi YS-Yen. Hed - 600'!$B$31*'SatışEkibi YS-Yen. Hed - 600'!$M41*'Satış YS-Yen.Hed (Ayık) - 600'!N$2</f>
        <v>4973.75</v>
      </c>
      <c r="O20" s="295">
        <f t="shared" si="13"/>
        <v>46000</v>
      </c>
      <c r="Q20" s="277" t="str">
        <f t="shared" si="12"/>
        <v>Enroute</v>
      </c>
      <c r="R20" s="278" t="str">
        <f t="shared" si="14"/>
        <v>Yenileme</v>
      </c>
      <c r="S20" s="279">
        <f t="shared" si="15"/>
        <v>10292.5</v>
      </c>
      <c r="T20" s="279">
        <f t="shared" si="16"/>
        <v>11442.5</v>
      </c>
      <c r="U20" s="279">
        <f t="shared" si="17"/>
        <v>10608.75</v>
      </c>
      <c r="V20" s="279">
        <f t="shared" si="18"/>
        <v>13656.249999999998</v>
      </c>
      <c r="W20" s="279">
        <f t="shared" si="19"/>
        <v>46000</v>
      </c>
    </row>
    <row r="21" spans="1:23" ht="16" hidden="1" customHeight="1" outlineLevel="1" x14ac:dyDescent="0.2">
      <c r="A21" s="293" t="s">
        <v>29</v>
      </c>
      <c r="B21" s="294" t="s">
        <v>26</v>
      </c>
      <c r="C21" s="276">
        <f>'SatışEkibi YS-Yen. Hed - 600'!$C$31*'SatışEkibi YS-Yen. Hed - 600'!$N40*'Satış YS-Yen.Hed (Ayık) - 600'!C$2</f>
        <v>641.25000000000011</v>
      </c>
      <c r="D21" s="276">
        <f>'SatışEkibi YS-Yen. Hed - 600'!$C$31*'SatışEkibi YS-Yen. Hed - 600'!$N40*'Satış YS-Yen.Hed (Ayık) - 600'!D$2</f>
        <v>641.25000000000011</v>
      </c>
      <c r="E21" s="276">
        <f>'SatışEkibi YS-Yen. Hed - 600'!$C$31*'SatışEkibi YS-Yen. Hed - 600'!$N40*'Satış YS-Yen.Hed (Ayık) - 600'!E$2</f>
        <v>731.25</v>
      </c>
      <c r="F21" s="276">
        <f>'SatışEkibi YS-Yen. Hed - 600'!$C$31*'SatışEkibi YS-Yen. Hed - 600'!$N40*'Satış YS-Yen.Hed (Ayık) - 600'!F$2</f>
        <v>714.375</v>
      </c>
      <c r="G21" s="276">
        <f>'SatışEkibi YS-Yen. Hed - 600'!$C$31*'SatışEkibi YS-Yen. Hed - 600'!$N40*'Satış YS-Yen.Hed (Ayık) - 600'!G$2</f>
        <v>714.375</v>
      </c>
      <c r="H21" s="276">
        <f>'SatışEkibi YS-Yen. Hed - 600'!$C$31*'SatışEkibi YS-Yen. Hed - 600'!$N40*'Satış YS-Yen.Hed (Ayık) - 600'!H$2</f>
        <v>809.99999999999989</v>
      </c>
      <c r="I21" s="276">
        <f>'SatışEkibi YS-Yen. Hed - 600'!$C$31*'SatışEkibi YS-Yen. Hed - 600'!$N40*'Satış YS-Yen.Hed (Ayık) - 600'!I$2</f>
        <v>675</v>
      </c>
      <c r="J21" s="276">
        <f>'SatışEkibi YS-Yen. Hed - 600'!$C$31*'SatışEkibi YS-Yen. Hed - 600'!$N40*'Satış YS-Yen.Hed (Ayık) - 600'!J$2</f>
        <v>680.625</v>
      </c>
      <c r="K21" s="276">
        <f>'SatışEkibi YS-Yen. Hed - 600'!$C$31*'SatışEkibi YS-Yen. Hed - 600'!$N40*'Satış YS-Yen.Hed (Ayık) - 600'!K$2</f>
        <v>720</v>
      </c>
      <c r="L21" s="276">
        <f>'SatışEkibi YS-Yen. Hed - 600'!$C$31*'SatışEkibi YS-Yen. Hed - 600'!$N40*'Satış YS-Yen.Hed (Ayık) - 600'!L$2</f>
        <v>843.74999999999989</v>
      </c>
      <c r="M21" s="276">
        <f>'SatışEkibi YS-Yen. Hed - 600'!$C$31*'SatışEkibi YS-Yen. Hed - 600'!$N40*'Satış YS-Yen.Hed (Ayık) - 600'!M$2</f>
        <v>854.99999999999989</v>
      </c>
      <c r="N21" s="276">
        <f>'SatışEkibi YS-Yen. Hed - 600'!$C$31*'SatışEkibi YS-Yen. Hed - 600'!$N40*'Satış YS-Yen.Hed (Ayık) - 600'!N$2</f>
        <v>973.125</v>
      </c>
      <c r="O21" s="295">
        <f t="shared" si="13"/>
        <v>9000</v>
      </c>
      <c r="Q21" s="277" t="str">
        <f t="shared" si="12"/>
        <v>Stokbar</v>
      </c>
      <c r="R21" s="278" t="str">
        <f t="shared" si="14"/>
        <v>Yeni Satış</v>
      </c>
      <c r="S21" s="279">
        <f t="shared" si="15"/>
        <v>2013.7500000000002</v>
      </c>
      <c r="T21" s="279">
        <f t="shared" si="16"/>
        <v>2238.75</v>
      </c>
      <c r="U21" s="279">
        <f t="shared" si="17"/>
        <v>2075.625</v>
      </c>
      <c r="V21" s="279">
        <f t="shared" si="18"/>
        <v>2671.875</v>
      </c>
      <c r="W21" s="279">
        <f t="shared" si="19"/>
        <v>9000</v>
      </c>
    </row>
    <row r="22" spans="1:23" ht="16" hidden="1" customHeight="1" outlineLevel="1" x14ac:dyDescent="0.2">
      <c r="A22" s="293" t="s">
        <v>29</v>
      </c>
      <c r="B22" s="294" t="s">
        <v>28</v>
      </c>
      <c r="C22" s="276">
        <f>'SatışEkibi YS-Yen. Hed - 600'!$C$31*'SatışEkibi YS-Yen. Hed - 600'!$N41*'Satış YS-Yen.Hed (Ayık) - 600'!C$2</f>
        <v>406.05375000000004</v>
      </c>
      <c r="D22" s="276">
        <f>'SatışEkibi YS-Yen. Hed - 600'!$C$31*'SatışEkibi YS-Yen. Hed - 600'!$N41*'Satış YS-Yen.Hed (Ayık) - 600'!D$2</f>
        <v>406.05375000000004</v>
      </c>
      <c r="E22" s="276">
        <f>'SatışEkibi YS-Yen. Hed - 600'!$C$31*'SatışEkibi YS-Yen. Hed - 600'!$N41*'Satış YS-Yen.Hed (Ayık) - 600'!E$2</f>
        <v>463.04374999999999</v>
      </c>
      <c r="F22" s="276">
        <f>'SatışEkibi YS-Yen. Hed - 600'!$C$31*'SatışEkibi YS-Yen. Hed - 600'!$N41*'Satış YS-Yen.Hed (Ayık) - 600'!F$2</f>
        <v>452.35812500000003</v>
      </c>
      <c r="G22" s="276">
        <f>'SatışEkibi YS-Yen. Hed - 600'!$C$31*'SatışEkibi YS-Yen. Hed - 600'!$N41*'Satış YS-Yen.Hed (Ayık) - 600'!G$2</f>
        <v>452.35812500000003</v>
      </c>
      <c r="H22" s="276">
        <f>'SatışEkibi YS-Yen. Hed - 600'!$C$31*'SatışEkibi YS-Yen. Hed - 600'!$N41*'Satış YS-Yen.Hed (Ayık) - 600'!H$2</f>
        <v>512.90999999999985</v>
      </c>
      <c r="I22" s="276">
        <f>'SatışEkibi YS-Yen. Hed - 600'!$C$31*'SatışEkibi YS-Yen. Hed - 600'!$N41*'Satış YS-Yen.Hed (Ayık) - 600'!I$2</f>
        <v>427.42500000000001</v>
      </c>
      <c r="J22" s="276">
        <f>'SatışEkibi YS-Yen. Hed - 600'!$C$31*'SatışEkibi YS-Yen. Hed - 600'!$N41*'Satış YS-Yen.Hed (Ayık) - 600'!J$2</f>
        <v>430.986875</v>
      </c>
      <c r="K22" s="276">
        <f>'SatışEkibi YS-Yen. Hed - 600'!$C$31*'SatışEkibi YS-Yen. Hed - 600'!$N41*'Satış YS-Yen.Hed (Ayık) - 600'!K$2</f>
        <v>455.92</v>
      </c>
      <c r="L22" s="276">
        <f>'SatışEkibi YS-Yen. Hed - 600'!$C$31*'SatışEkibi YS-Yen. Hed - 600'!$N41*'Satış YS-Yen.Hed (Ayık) - 600'!L$2</f>
        <v>534.28124999999989</v>
      </c>
      <c r="M22" s="276">
        <f>'SatışEkibi YS-Yen. Hed - 600'!$C$31*'SatışEkibi YS-Yen. Hed - 600'!$N41*'Satış YS-Yen.Hed (Ayık) - 600'!M$2</f>
        <v>541.40499999999997</v>
      </c>
      <c r="N22" s="276">
        <f>'SatışEkibi YS-Yen. Hed - 600'!$C$31*'SatışEkibi YS-Yen. Hed - 600'!$N41*'Satış YS-Yen.Hed (Ayık) - 600'!N$2</f>
        <v>616.20437500000003</v>
      </c>
      <c r="O22" s="295">
        <f t="shared" si="13"/>
        <v>5699</v>
      </c>
      <c r="Q22" s="277" t="str">
        <f t="shared" si="12"/>
        <v>Stokbar</v>
      </c>
      <c r="R22" s="278" t="str">
        <f t="shared" si="14"/>
        <v>Yenileme</v>
      </c>
      <c r="S22" s="279">
        <f t="shared" si="15"/>
        <v>1275.1512500000001</v>
      </c>
      <c r="T22" s="279">
        <f t="shared" si="16"/>
        <v>1417.6262499999998</v>
      </c>
      <c r="U22" s="279">
        <f t="shared" si="17"/>
        <v>1314.3318750000001</v>
      </c>
      <c r="V22" s="279">
        <f t="shared" si="18"/>
        <v>1691.8906249999998</v>
      </c>
      <c r="W22" s="279">
        <f t="shared" si="19"/>
        <v>5699</v>
      </c>
    </row>
    <row r="23" spans="1:23" ht="16" hidden="1" customHeight="1" outlineLevel="1" x14ac:dyDescent="0.2">
      <c r="A23" s="293" t="s">
        <v>27</v>
      </c>
      <c r="B23" s="294" t="s">
        <v>26</v>
      </c>
      <c r="C23" s="276">
        <f>'SatışEkibi YS-Yen. Hed - 600'!$D$31*'SatışEkibi YS-Yen. Hed - 600'!$O40*'Satış YS-Yen.Hed (Ayık) - 600'!C$2</f>
        <v>669.75000000000011</v>
      </c>
      <c r="D23" s="276">
        <f>'SatışEkibi YS-Yen. Hed - 600'!$D$31*'SatışEkibi YS-Yen. Hed - 600'!$O40*'Satış YS-Yen.Hed (Ayık) - 600'!D$2</f>
        <v>669.75000000000011</v>
      </c>
      <c r="E23" s="276">
        <f>'SatışEkibi YS-Yen. Hed - 600'!$D$31*'SatışEkibi YS-Yen. Hed - 600'!$O40*'Satış YS-Yen.Hed (Ayık) - 600'!E$2</f>
        <v>763.75</v>
      </c>
      <c r="F23" s="276">
        <f>'SatışEkibi YS-Yen. Hed - 600'!$D$31*'SatışEkibi YS-Yen. Hed - 600'!$O40*'Satış YS-Yen.Hed (Ayık) - 600'!F$2</f>
        <v>746.125</v>
      </c>
      <c r="G23" s="276">
        <f>'SatışEkibi YS-Yen. Hed - 600'!$D$31*'SatışEkibi YS-Yen. Hed - 600'!$O40*'Satış YS-Yen.Hed (Ayık) - 600'!G$2</f>
        <v>746.125</v>
      </c>
      <c r="H23" s="276">
        <f>'SatışEkibi YS-Yen. Hed - 600'!$D$31*'SatışEkibi YS-Yen. Hed - 600'!$O40*'Satış YS-Yen.Hed (Ayık) - 600'!H$2</f>
        <v>845.99999999999989</v>
      </c>
      <c r="I23" s="276">
        <f>'SatışEkibi YS-Yen. Hed - 600'!$D$31*'SatışEkibi YS-Yen. Hed - 600'!$O40*'Satış YS-Yen.Hed (Ayık) - 600'!I$2</f>
        <v>705</v>
      </c>
      <c r="J23" s="276">
        <f>'SatışEkibi YS-Yen. Hed - 600'!$D$31*'SatışEkibi YS-Yen. Hed - 600'!$O40*'Satış YS-Yen.Hed (Ayık) - 600'!J$2</f>
        <v>710.875</v>
      </c>
      <c r="K23" s="276">
        <f>'SatışEkibi YS-Yen. Hed - 600'!$D$31*'SatışEkibi YS-Yen. Hed - 600'!$O40*'Satış YS-Yen.Hed (Ayık) - 600'!K$2</f>
        <v>752</v>
      </c>
      <c r="L23" s="276">
        <f>'SatışEkibi YS-Yen. Hed - 600'!$D$31*'SatışEkibi YS-Yen. Hed - 600'!$O40*'Satış YS-Yen.Hed (Ayık) - 600'!L$2</f>
        <v>881.24999999999989</v>
      </c>
      <c r="M23" s="276">
        <f>'SatışEkibi YS-Yen. Hed - 600'!$D$31*'SatışEkibi YS-Yen. Hed - 600'!$O40*'Satış YS-Yen.Hed (Ayık) - 600'!M$2</f>
        <v>892.99999999999989</v>
      </c>
      <c r="N23" s="276">
        <f>'SatışEkibi YS-Yen. Hed - 600'!$D$31*'SatışEkibi YS-Yen. Hed - 600'!$O40*'Satış YS-Yen.Hed (Ayık) - 600'!N$2</f>
        <v>1016.375</v>
      </c>
      <c r="O23" s="295">
        <f t="shared" si="13"/>
        <v>9400</v>
      </c>
      <c r="Q23" s="277" t="str">
        <f t="shared" si="12"/>
        <v>Quest</v>
      </c>
      <c r="R23" s="278" t="str">
        <f t="shared" si="14"/>
        <v>Yeni Satış</v>
      </c>
      <c r="S23" s="279">
        <f t="shared" si="15"/>
        <v>2103.25</v>
      </c>
      <c r="T23" s="279">
        <f t="shared" si="16"/>
        <v>2338.25</v>
      </c>
      <c r="U23" s="279">
        <f t="shared" si="17"/>
        <v>2167.875</v>
      </c>
      <c r="V23" s="279">
        <f t="shared" si="18"/>
        <v>2790.625</v>
      </c>
      <c r="W23" s="279">
        <f t="shared" si="19"/>
        <v>9400</v>
      </c>
    </row>
    <row r="24" spans="1:23" ht="16" hidden="1" customHeight="1" outlineLevel="1" x14ac:dyDescent="0.2">
      <c r="A24" s="293" t="s">
        <v>27</v>
      </c>
      <c r="B24" s="294" t="s">
        <v>28</v>
      </c>
      <c r="C24" s="276">
        <f>'SatışEkibi YS-Yen. Hed - 600'!$D$31*'SatışEkibi YS-Yen. Hed - 600'!$O41*'Satış YS-Yen.Hed (Ayık) - 600'!C$2</f>
        <v>456.00000000000006</v>
      </c>
      <c r="D24" s="276">
        <f>'SatışEkibi YS-Yen. Hed - 600'!$D$31*'SatışEkibi YS-Yen. Hed - 600'!$O41*'Satış YS-Yen.Hed (Ayık) - 600'!D$2</f>
        <v>456.00000000000006</v>
      </c>
      <c r="E24" s="276">
        <f>'SatışEkibi YS-Yen. Hed - 600'!$D$31*'SatışEkibi YS-Yen. Hed - 600'!$O41*'Satış YS-Yen.Hed (Ayık) - 600'!E$2</f>
        <v>520</v>
      </c>
      <c r="F24" s="276">
        <f>'SatışEkibi YS-Yen. Hed - 600'!$D$31*'SatışEkibi YS-Yen. Hed - 600'!$O41*'Satış YS-Yen.Hed (Ayık) - 600'!F$2</f>
        <v>508</v>
      </c>
      <c r="G24" s="276">
        <f>'SatışEkibi YS-Yen. Hed - 600'!$D$31*'SatışEkibi YS-Yen. Hed - 600'!$O41*'Satış YS-Yen.Hed (Ayık) - 600'!G$2</f>
        <v>508</v>
      </c>
      <c r="H24" s="276">
        <f>'SatışEkibi YS-Yen. Hed - 600'!$D$31*'SatışEkibi YS-Yen. Hed - 600'!$O41*'Satış YS-Yen.Hed (Ayık) - 600'!H$2</f>
        <v>575.99999999999989</v>
      </c>
      <c r="I24" s="276">
        <f>'SatışEkibi YS-Yen. Hed - 600'!$D$31*'SatışEkibi YS-Yen. Hed - 600'!$O41*'Satış YS-Yen.Hed (Ayık) - 600'!I$2</f>
        <v>480</v>
      </c>
      <c r="J24" s="276">
        <f>'SatışEkibi YS-Yen. Hed - 600'!$D$31*'SatışEkibi YS-Yen. Hed - 600'!$O41*'Satış YS-Yen.Hed (Ayık) - 600'!J$2</f>
        <v>484</v>
      </c>
      <c r="K24" s="276">
        <f>'SatışEkibi YS-Yen. Hed - 600'!$D$31*'SatışEkibi YS-Yen. Hed - 600'!$O41*'Satış YS-Yen.Hed (Ayık) - 600'!K$2</f>
        <v>512</v>
      </c>
      <c r="L24" s="276">
        <f>'SatışEkibi YS-Yen. Hed - 600'!$D$31*'SatışEkibi YS-Yen. Hed - 600'!$O41*'Satış YS-Yen.Hed (Ayık) - 600'!L$2</f>
        <v>599.99999999999989</v>
      </c>
      <c r="M24" s="276">
        <f>'SatışEkibi YS-Yen. Hed - 600'!$D$31*'SatışEkibi YS-Yen. Hed - 600'!$O41*'Satış YS-Yen.Hed (Ayık) - 600'!M$2</f>
        <v>607.99999999999989</v>
      </c>
      <c r="N24" s="276">
        <f>'SatışEkibi YS-Yen. Hed - 600'!$D$31*'SatışEkibi YS-Yen. Hed - 600'!$O41*'Satış YS-Yen.Hed (Ayık) - 600'!N$2</f>
        <v>692</v>
      </c>
      <c r="O24" s="295">
        <f t="shared" si="13"/>
        <v>6400</v>
      </c>
      <c r="Q24" s="277" t="str">
        <f t="shared" si="12"/>
        <v>Quest</v>
      </c>
      <c r="R24" s="278" t="str">
        <f t="shared" si="14"/>
        <v>Yenileme</v>
      </c>
      <c r="S24" s="279">
        <f t="shared" si="15"/>
        <v>1432</v>
      </c>
      <c r="T24" s="279">
        <f t="shared" si="16"/>
        <v>1592</v>
      </c>
      <c r="U24" s="279">
        <f t="shared" si="17"/>
        <v>1476</v>
      </c>
      <c r="V24" s="279">
        <f t="shared" si="18"/>
        <v>1899.9999999999998</v>
      </c>
      <c r="W24" s="279">
        <f t="shared" si="19"/>
        <v>6400</v>
      </c>
    </row>
    <row r="25" spans="1:23" ht="16" hidden="1" customHeight="1" outlineLevel="1" x14ac:dyDescent="0.2">
      <c r="A25" s="293" t="s">
        <v>32</v>
      </c>
      <c r="B25" s="294" t="s">
        <v>26</v>
      </c>
      <c r="C25" s="276">
        <f>'SatışEkibi YS-Yen. Hed - 600'!$F$31*'SatışEkibi YS-Yen. Hed - 600'!$Q40*'Satış YS-Yen.Hed (Ayık) - 600'!C$2</f>
        <v>78.375000000000014</v>
      </c>
      <c r="D25" s="276">
        <f>'SatışEkibi YS-Yen. Hed - 600'!$F$31*'SatışEkibi YS-Yen. Hed - 600'!$Q40*'Satış YS-Yen.Hed (Ayık) - 600'!D$2</f>
        <v>78.375000000000014</v>
      </c>
      <c r="E25" s="276">
        <f>'SatışEkibi YS-Yen. Hed - 600'!$F$31*'SatışEkibi YS-Yen. Hed - 600'!$Q40*'Satış YS-Yen.Hed (Ayık) - 600'!E$2</f>
        <v>89.375</v>
      </c>
      <c r="F25" s="276">
        <f>'SatışEkibi YS-Yen. Hed - 600'!$F$31*'SatışEkibi YS-Yen. Hed - 600'!$Q40*'Satış YS-Yen.Hed (Ayık) - 600'!F$2</f>
        <v>87.3125</v>
      </c>
      <c r="G25" s="276">
        <f>'SatışEkibi YS-Yen. Hed - 600'!$F$31*'SatışEkibi YS-Yen. Hed - 600'!$Q40*'Satış YS-Yen.Hed (Ayık) - 600'!G$2</f>
        <v>87.3125</v>
      </c>
      <c r="H25" s="276">
        <f>'SatışEkibi YS-Yen. Hed - 600'!$F$31*'SatışEkibi YS-Yen. Hed - 600'!$Q40*'Satış YS-Yen.Hed (Ayık) - 600'!H$2</f>
        <v>98.999999999999986</v>
      </c>
      <c r="I25" s="276">
        <f>'SatışEkibi YS-Yen. Hed - 600'!$F$31*'SatışEkibi YS-Yen. Hed - 600'!$Q40*'Satış YS-Yen.Hed (Ayık) - 600'!I$2</f>
        <v>82.5</v>
      </c>
      <c r="J25" s="276">
        <f>'SatışEkibi YS-Yen. Hed - 600'!$F$31*'SatışEkibi YS-Yen. Hed - 600'!$Q40*'Satış YS-Yen.Hed (Ayık) - 600'!J$2</f>
        <v>83.1875</v>
      </c>
      <c r="K25" s="276">
        <f>'SatışEkibi YS-Yen. Hed - 600'!$F$31*'SatışEkibi YS-Yen. Hed - 600'!$Q40*'Satış YS-Yen.Hed (Ayık) - 600'!K$2</f>
        <v>88</v>
      </c>
      <c r="L25" s="276">
        <f>'SatışEkibi YS-Yen. Hed - 600'!$F$31*'SatışEkibi YS-Yen. Hed - 600'!$Q40*'Satış YS-Yen.Hed (Ayık) - 600'!L$2</f>
        <v>103.12499999999999</v>
      </c>
      <c r="M25" s="276">
        <f>'SatışEkibi YS-Yen. Hed - 600'!$F$31*'SatışEkibi YS-Yen. Hed - 600'!$Q40*'Satış YS-Yen.Hed (Ayık) - 600'!M$2</f>
        <v>104.49999999999999</v>
      </c>
      <c r="N25" s="276">
        <f>'SatışEkibi YS-Yen. Hed - 600'!$F$31*'SatışEkibi YS-Yen. Hed - 600'!$Q40*'Satış YS-Yen.Hed (Ayık) - 600'!N$2</f>
        <v>118.9375</v>
      </c>
      <c r="O25" s="295">
        <f t="shared" si="13"/>
        <v>1100</v>
      </c>
      <c r="Q25" s="277" t="str">
        <f t="shared" si="12"/>
        <v>Varuna</v>
      </c>
      <c r="R25" s="278" t="str">
        <f t="shared" si="14"/>
        <v>Yeni Satış</v>
      </c>
      <c r="S25" s="279">
        <f t="shared" si="15"/>
        <v>246.12500000000003</v>
      </c>
      <c r="T25" s="279">
        <f t="shared" si="16"/>
        <v>273.625</v>
      </c>
      <c r="U25" s="279">
        <f t="shared" si="17"/>
        <v>253.6875</v>
      </c>
      <c r="V25" s="279">
        <f t="shared" si="18"/>
        <v>326.5625</v>
      </c>
      <c r="W25" s="279">
        <f t="shared" si="19"/>
        <v>1100</v>
      </c>
    </row>
    <row r="26" spans="1:23" ht="16" hidden="1" customHeight="1" outlineLevel="1" x14ac:dyDescent="0.2">
      <c r="A26" s="293" t="s">
        <v>34</v>
      </c>
      <c r="B26" s="294" t="s">
        <v>26</v>
      </c>
      <c r="C26" s="276">
        <f>'SatışEkibi YS-Yen. Hed - 600'!$G$31*'SatışEkibi YS-Yen. Hed - 600'!$R40*'Satış YS-Yen.Hed (Ayık) - 600'!C$2</f>
        <v>71.250000000000014</v>
      </c>
      <c r="D26" s="276">
        <f>'SatışEkibi YS-Yen. Hed - 600'!$G$31*'SatışEkibi YS-Yen. Hed - 600'!$R40*'Satış YS-Yen.Hed (Ayık) - 600'!D$2</f>
        <v>71.250000000000014</v>
      </c>
      <c r="E26" s="276">
        <f>'SatışEkibi YS-Yen. Hed - 600'!$G$31*'SatışEkibi YS-Yen. Hed - 600'!$R40*'Satış YS-Yen.Hed (Ayık) - 600'!E$2</f>
        <v>81.25</v>
      </c>
      <c r="F26" s="276">
        <f>'SatışEkibi YS-Yen. Hed - 600'!$G$31*'SatışEkibi YS-Yen. Hed - 600'!$R40*'Satış YS-Yen.Hed (Ayık) - 600'!F$2</f>
        <v>79.375</v>
      </c>
      <c r="G26" s="276">
        <f>'SatışEkibi YS-Yen. Hed - 600'!$G$31*'SatışEkibi YS-Yen. Hed - 600'!$R40*'Satış YS-Yen.Hed (Ayık) - 600'!G$2</f>
        <v>79.375</v>
      </c>
      <c r="H26" s="276">
        <f>'SatışEkibi YS-Yen. Hed - 600'!$G$31*'SatışEkibi YS-Yen. Hed - 600'!$R40*'Satış YS-Yen.Hed (Ayık) - 600'!H$2</f>
        <v>89.999999999999986</v>
      </c>
      <c r="I26" s="276">
        <f>'SatışEkibi YS-Yen. Hed - 600'!$G$31*'SatışEkibi YS-Yen. Hed - 600'!$R40*'Satış YS-Yen.Hed (Ayık) - 600'!I$2</f>
        <v>75</v>
      </c>
      <c r="J26" s="276">
        <f>'SatışEkibi YS-Yen. Hed - 600'!$G$31*'SatışEkibi YS-Yen. Hed - 600'!$R40*'Satış YS-Yen.Hed (Ayık) - 600'!J$2</f>
        <v>75.625</v>
      </c>
      <c r="K26" s="276">
        <f>'SatışEkibi YS-Yen. Hed - 600'!$G$31*'SatışEkibi YS-Yen. Hed - 600'!$R40*'Satış YS-Yen.Hed (Ayık) - 600'!K$2</f>
        <v>80</v>
      </c>
      <c r="L26" s="276">
        <f>'SatışEkibi YS-Yen. Hed - 600'!$G$31*'SatışEkibi YS-Yen. Hed - 600'!$R40*'Satış YS-Yen.Hed (Ayık) - 600'!L$2</f>
        <v>93.749999999999986</v>
      </c>
      <c r="M26" s="276">
        <f>'SatışEkibi YS-Yen. Hed - 600'!$G$31*'SatışEkibi YS-Yen. Hed - 600'!$R40*'Satış YS-Yen.Hed (Ayık) - 600'!M$2</f>
        <v>94.999999999999986</v>
      </c>
      <c r="N26" s="276">
        <f>'SatışEkibi YS-Yen. Hed - 600'!$G$31*'SatışEkibi YS-Yen. Hed - 600'!$R40*'Satış YS-Yen.Hed (Ayık) - 600'!N$2</f>
        <v>108.125</v>
      </c>
      <c r="O26" s="295">
        <f t="shared" si="13"/>
        <v>1000</v>
      </c>
      <c r="Q26" s="277" t="str">
        <f t="shared" si="12"/>
        <v>Hosting</v>
      </c>
      <c r="R26" s="278" t="str">
        <f t="shared" si="14"/>
        <v>Yeni Satış</v>
      </c>
      <c r="S26" s="279">
        <f t="shared" si="15"/>
        <v>223.75000000000003</v>
      </c>
      <c r="T26" s="279">
        <f t="shared" si="16"/>
        <v>248.75</v>
      </c>
      <c r="U26" s="279">
        <f t="shared" si="17"/>
        <v>230.625</v>
      </c>
      <c r="V26" s="279">
        <f t="shared" si="18"/>
        <v>296.875</v>
      </c>
      <c r="W26" s="279">
        <f t="shared" si="19"/>
        <v>1000</v>
      </c>
    </row>
    <row r="27" spans="1:23" ht="16" hidden="1" customHeight="1" outlineLevel="1" x14ac:dyDescent="0.2">
      <c r="A27" s="293" t="s">
        <v>34</v>
      </c>
      <c r="B27" s="294" t="s">
        <v>28</v>
      </c>
      <c r="C27" s="276">
        <f>'SatışEkibi YS-Yen. Hed - 600'!$G$31*'SatışEkibi YS-Yen. Hed - 600'!$R41*'Satış YS-Yen.Hed (Ayık) - 600'!C$2</f>
        <v>1112.2125000000001</v>
      </c>
      <c r="D27" s="276">
        <f>'SatışEkibi YS-Yen. Hed - 600'!$G$31*'SatışEkibi YS-Yen. Hed - 600'!$R41*'Satış YS-Yen.Hed (Ayık) - 600'!D$2</f>
        <v>1112.2125000000001</v>
      </c>
      <c r="E27" s="276">
        <f>'SatışEkibi YS-Yen. Hed - 600'!$G$31*'SatışEkibi YS-Yen. Hed - 600'!$R41*'Satış YS-Yen.Hed (Ayık) - 600'!E$2</f>
        <v>1268.3125</v>
      </c>
      <c r="F27" s="276">
        <f>'SatışEkibi YS-Yen. Hed - 600'!$G$31*'SatışEkibi YS-Yen. Hed - 600'!$R41*'Satış YS-Yen.Hed (Ayık) - 600'!F$2</f>
        <v>1239.04375</v>
      </c>
      <c r="G27" s="276">
        <f>'SatışEkibi YS-Yen. Hed - 600'!$G$31*'SatışEkibi YS-Yen. Hed - 600'!$R41*'Satış YS-Yen.Hed (Ayık) - 600'!G$2</f>
        <v>1239.04375</v>
      </c>
      <c r="H27" s="276">
        <f>'SatışEkibi YS-Yen. Hed - 600'!$G$31*'SatışEkibi YS-Yen. Hed - 600'!$R41*'Satış YS-Yen.Hed (Ayık) - 600'!H$2</f>
        <v>1404.8999999999996</v>
      </c>
      <c r="I27" s="276">
        <f>'SatışEkibi YS-Yen. Hed - 600'!$G$31*'SatışEkibi YS-Yen. Hed - 600'!$R41*'Satış YS-Yen.Hed (Ayık) - 600'!I$2</f>
        <v>1170.75</v>
      </c>
      <c r="J27" s="276">
        <f>'SatışEkibi YS-Yen. Hed - 600'!$G$31*'SatışEkibi YS-Yen. Hed - 600'!$R41*'Satış YS-Yen.Hed (Ayık) - 600'!J$2</f>
        <v>1180.5062499999999</v>
      </c>
      <c r="K27" s="276">
        <f>'SatışEkibi YS-Yen. Hed - 600'!$G$31*'SatışEkibi YS-Yen. Hed - 600'!$R41*'Satış YS-Yen.Hed (Ayık) - 600'!K$2</f>
        <v>1248.8</v>
      </c>
      <c r="L27" s="276">
        <f>'SatışEkibi YS-Yen. Hed - 600'!$G$31*'SatışEkibi YS-Yen. Hed - 600'!$R41*'Satış YS-Yen.Hed (Ayık) - 600'!L$2</f>
        <v>1463.4374999999998</v>
      </c>
      <c r="M27" s="276">
        <f>'SatışEkibi YS-Yen. Hed - 600'!$G$31*'SatışEkibi YS-Yen. Hed - 600'!$R41*'Satış YS-Yen.Hed (Ayık) - 600'!M$2</f>
        <v>1482.9499999999998</v>
      </c>
      <c r="N27" s="276">
        <f>'SatışEkibi YS-Yen. Hed - 600'!$G$31*'SatışEkibi YS-Yen. Hed - 600'!$R41*'Satış YS-Yen.Hed (Ayık) - 600'!N$2</f>
        <v>1687.83125</v>
      </c>
      <c r="O27" s="295">
        <f t="shared" si="13"/>
        <v>15609.999999999996</v>
      </c>
      <c r="Q27" s="277" t="str">
        <f t="shared" si="12"/>
        <v>Hosting</v>
      </c>
      <c r="R27" s="278" t="str">
        <f t="shared" si="14"/>
        <v>Yenileme</v>
      </c>
      <c r="S27" s="279">
        <f t="shared" si="15"/>
        <v>3492.7375000000002</v>
      </c>
      <c r="T27" s="279">
        <f t="shared" si="16"/>
        <v>3882.9874999999997</v>
      </c>
      <c r="U27" s="279">
        <f t="shared" si="17"/>
        <v>3600.0562499999996</v>
      </c>
      <c r="V27" s="279">
        <f t="shared" si="18"/>
        <v>4634.21875</v>
      </c>
      <c r="W27" s="279">
        <f t="shared" si="19"/>
        <v>15610</v>
      </c>
    </row>
    <row r="28" spans="1:23" ht="16" hidden="1" customHeight="1" outlineLevel="1" x14ac:dyDescent="0.2">
      <c r="A28" s="293" t="s">
        <v>35</v>
      </c>
      <c r="B28" s="294" t="s">
        <v>26</v>
      </c>
      <c r="C28" s="276">
        <f>'SatışEkibi YS-Yen. Hed - 600'!$I$31*'SatışEkibi YS-Yen. Hed - 600'!$T40*'Satış YS-Yen.Hed (Ayık) - 600'!C$2</f>
        <v>285.00000000000006</v>
      </c>
      <c r="D28" s="276">
        <f>'SatışEkibi YS-Yen. Hed - 600'!$I$31*'SatışEkibi YS-Yen. Hed - 600'!$T40*'Satış YS-Yen.Hed (Ayık) - 600'!D$2</f>
        <v>285.00000000000006</v>
      </c>
      <c r="E28" s="276">
        <f>'SatışEkibi YS-Yen. Hed - 600'!$I$31*'SatışEkibi YS-Yen. Hed - 600'!$T40*'Satış YS-Yen.Hed (Ayık) - 600'!E$2</f>
        <v>325</v>
      </c>
      <c r="F28" s="276">
        <f>'SatışEkibi YS-Yen. Hed - 600'!$I$31*'SatışEkibi YS-Yen. Hed - 600'!$T40*'Satış YS-Yen.Hed (Ayık) - 600'!F$2</f>
        <v>317.5</v>
      </c>
      <c r="G28" s="276">
        <f>'SatışEkibi YS-Yen. Hed - 600'!$I$31*'SatışEkibi YS-Yen. Hed - 600'!$T40*'Satış YS-Yen.Hed (Ayık) - 600'!G$2</f>
        <v>317.5</v>
      </c>
      <c r="H28" s="276">
        <f>'SatışEkibi YS-Yen. Hed - 600'!$I$31*'SatışEkibi YS-Yen. Hed - 600'!$T40*'Satış YS-Yen.Hed (Ayık) - 600'!H$2</f>
        <v>359.99999999999994</v>
      </c>
      <c r="I28" s="276">
        <f>'SatışEkibi YS-Yen. Hed - 600'!$I$31*'SatışEkibi YS-Yen. Hed - 600'!$T40*'Satış YS-Yen.Hed (Ayık) - 600'!I$2</f>
        <v>300</v>
      </c>
      <c r="J28" s="276">
        <f>'SatışEkibi YS-Yen. Hed - 600'!$I$31*'SatışEkibi YS-Yen. Hed - 600'!$T40*'Satış YS-Yen.Hed (Ayık) - 600'!J$2</f>
        <v>302.5</v>
      </c>
      <c r="K28" s="276">
        <f>'SatışEkibi YS-Yen. Hed - 600'!$I$31*'SatışEkibi YS-Yen. Hed - 600'!$T40*'Satış YS-Yen.Hed (Ayık) - 600'!K$2</f>
        <v>320</v>
      </c>
      <c r="L28" s="276">
        <f>'SatışEkibi YS-Yen. Hed - 600'!$I$31*'SatışEkibi YS-Yen. Hed - 600'!$T40*'Satış YS-Yen.Hed (Ayık) - 600'!L$2</f>
        <v>374.99999999999994</v>
      </c>
      <c r="M28" s="276">
        <f>'SatışEkibi YS-Yen. Hed - 600'!$I$31*'SatışEkibi YS-Yen. Hed - 600'!$T40*'Satış YS-Yen.Hed (Ayık) - 600'!M$2</f>
        <v>379.99999999999994</v>
      </c>
      <c r="N28" s="276">
        <f>'SatışEkibi YS-Yen. Hed - 600'!$I$31*'SatışEkibi YS-Yen. Hed - 600'!$T40*'Satış YS-Yen.Hed (Ayık) - 600'!N$2</f>
        <v>432.5</v>
      </c>
      <c r="O28" s="295">
        <f t="shared" si="13"/>
        <v>4000</v>
      </c>
      <c r="Q28" s="277" t="str">
        <f t="shared" si="12"/>
        <v>BFH</v>
      </c>
      <c r="R28" s="278" t="str">
        <f t="shared" si="14"/>
        <v>Yeni Satış</v>
      </c>
      <c r="S28" s="279">
        <f t="shared" si="15"/>
        <v>895.00000000000011</v>
      </c>
      <c r="T28" s="279">
        <f t="shared" si="16"/>
        <v>995</v>
      </c>
      <c r="U28" s="279">
        <f t="shared" si="17"/>
        <v>922.5</v>
      </c>
      <c r="V28" s="279">
        <f t="shared" si="18"/>
        <v>1187.5</v>
      </c>
      <c r="W28" s="279">
        <f t="shared" si="19"/>
        <v>4000</v>
      </c>
    </row>
    <row r="29" spans="1:23" ht="16" customHeight="1" collapsed="1" x14ac:dyDescent="0.2">
      <c r="A29" s="283" t="s">
        <v>30</v>
      </c>
      <c r="B29" s="284" t="s">
        <v>26</v>
      </c>
      <c r="C29" s="282">
        <f>SUMIF($B$19:$B$28,"Yeni Satış",C19:C28)</f>
        <v>3883.1250000000005</v>
      </c>
      <c r="D29" s="282">
        <f t="shared" ref="D29:N29" si="20">SUMIF($B$19:$B$28,"Yeni Satış",D19:D28)</f>
        <v>3883.1250000000005</v>
      </c>
      <c r="E29" s="282">
        <f t="shared" si="20"/>
        <v>4428.125</v>
      </c>
      <c r="F29" s="282">
        <f t="shared" si="20"/>
        <v>4325.9375</v>
      </c>
      <c r="G29" s="282">
        <f t="shared" si="20"/>
        <v>4325.9375</v>
      </c>
      <c r="H29" s="282">
        <f t="shared" si="20"/>
        <v>4904.9999999999991</v>
      </c>
      <c r="I29" s="282">
        <f t="shared" si="20"/>
        <v>4087.5</v>
      </c>
      <c r="J29" s="282">
        <f t="shared" si="20"/>
        <v>4121.5625</v>
      </c>
      <c r="K29" s="282">
        <f t="shared" si="20"/>
        <v>4360</v>
      </c>
      <c r="L29" s="282">
        <f t="shared" si="20"/>
        <v>5109.3749999999991</v>
      </c>
      <c r="M29" s="282">
        <f t="shared" si="20"/>
        <v>5177.4999999999991</v>
      </c>
      <c r="N29" s="282">
        <f t="shared" si="20"/>
        <v>5892.8125</v>
      </c>
      <c r="O29" s="296">
        <f>SUMIF(B19:B28,"Yeni Satış",O19:O28)</f>
        <v>54500</v>
      </c>
      <c r="Q29" s="283" t="s">
        <v>30</v>
      </c>
      <c r="R29" s="284" t="str">
        <f t="shared" si="14"/>
        <v>Yeni Satış</v>
      </c>
      <c r="S29" s="285">
        <f>SUMIF(R19:R28,"Yeni Satış",S19:S28)</f>
        <v>12194.375000000002</v>
      </c>
      <c r="T29" s="285">
        <f>SUMIF(R19:R28,"Yeni Satış",T19:T28)</f>
        <v>13556.875</v>
      </c>
      <c r="U29" s="285">
        <f>SUMIF(R19:R28,"Yeni Satış",U19:U28)</f>
        <v>12569.0625</v>
      </c>
      <c r="V29" s="285">
        <f>SUMIF(R19:R28,"Yeni Satış",V19:V28)</f>
        <v>16179.6875</v>
      </c>
      <c r="W29" s="285">
        <f t="shared" si="19"/>
        <v>54500</v>
      </c>
    </row>
    <row r="30" spans="1:23" ht="16" customHeight="1" x14ac:dyDescent="0.2">
      <c r="A30" s="283" t="s">
        <v>30</v>
      </c>
      <c r="B30" s="284" t="s">
        <v>28</v>
      </c>
      <c r="C30" s="282">
        <f>SUMIF($B$19:$B$28,"Yenileme",C19:C28)</f>
        <v>5251.7662500000006</v>
      </c>
      <c r="D30" s="282">
        <f t="shared" ref="D30:N30" si="21">SUMIF($B$19:$B$28,"Yenileme",D19:D28)</f>
        <v>5251.7662500000006</v>
      </c>
      <c r="E30" s="282">
        <f t="shared" si="21"/>
        <v>5988.8562499999998</v>
      </c>
      <c r="F30" s="282">
        <f t="shared" si="21"/>
        <v>5850.6518749999996</v>
      </c>
      <c r="G30" s="282">
        <f t="shared" si="21"/>
        <v>5850.6518749999996</v>
      </c>
      <c r="H30" s="282">
        <f t="shared" si="21"/>
        <v>6633.8099999999986</v>
      </c>
      <c r="I30" s="282">
        <f t="shared" si="21"/>
        <v>5528.1750000000002</v>
      </c>
      <c r="J30" s="282">
        <f t="shared" si="21"/>
        <v>5574.2431250000009</v>
      </c>
      <c r="K30" s="282">
        <f t="shared" si="21"/>
        <v>5896.72</v>
      </c>
      <c r="L30" s="282">
        <f t="shared" si="21"/>
        <v>6910.2187499999991</v>
      </c>
      <c r="M30" s="282">
        <f t="shared" si="21"/>
        <v>7002.3549999999987</v>
      </c>
      <c r="N30" s="282">
        <f t="shared" si="21"/>
        <v>7969.7856250000004</v>
      </c>
      <c r="O30" s="296">
        <f>SUMIF(B19:B28,"Yenileme",O19:O28)</f>
        <v>73709</v>
      </c>
      <c r="Q30" s="283" t="s">
        <v>30</v>
      </c>
      <c r="R30" s="284" t="str">
        <f t="shared" si="14"/>
        <v>Yenileme</v>
      </c>
      <c r="S30" s="285">
        <f>SUMIF(R19:R28,"Yenileme",S19:S28)</f>
        <v>16492.388750000002</v>
      </c>
      <c r="T30" s="285">
        <f>SUMIF(R19:R28,"Yenileme",T19:T28)</f>
        <v>18335.11375</v>
      </c>
      <c r="U30" s="285">
        <f>SUMIF(R19:R28,"Yenileme",U19:U28)</f>
        <v>16999.138124999998</v>
      </c>
      <c r="V30" s="285">
        <f>SUMIF(R19:R28,"Yenileme",V19:V28)</f>
        <v>21882.359374999996</v>
      </c>
      <c r="W30" s="285">
        <f t="shared" si="19"/>
        <v>73709</v>
      </c>
    </row>
    <row r="31" spans="1:23" ht="16" customHeight="1" x14ac:dyDescent="0.2">
      <c r="A31" s="297" t="s">
        <v>38</v>
      </c>
      <c r="B31" s="298" t="s">
        <v>144</v>
      </c>
      <c r="C31" s="288">
        <f>SUM(C29:C30)</f>
        <v>9134.8912500000006</v>
      </c>
      <c r="D31" s="288">
        <f t="shared" ref="D31" si="22">SUM(D29:D30)</f>
        <v>9134.8912500000006</v>
      </c>
      <c r="E31" s="288">
        <f t="shared" ref="E31" si="23">SUM(E29:E30)</f>
        <v>10416.981250000001</v>
      </c>
      <c r="F31" s="288">
        <f t="shared" ref="F31" si="24">SUM(F29:F30)</f>
        <v>10176.589375</v>
      </c>
      <c r="G31" s="288">
        <f t="shared" ref="G31" si="25">SUM(G29:G30)</f>
        <v>10176.589375</v>
      </c>
      <c r="H31" s="288">
        <f t="shared" ref="H31" si="26">SUM(H29:H30)</f>
        <v>11538.809999999998</v>
      </c>
      <c r="I31" s="288">
        <f t="shared" ref="I31" si="27">SUM(I29:I30)</f>
        <v>9615.6749999999993</v>
      </c>
      <c r="J31" s="288">
        <f t="shared" ref="J31" si="28">SUM(J29:J30)</f>
        <v>9695.8056250000009</v>
      </c>
      <c r="K31" s="288">
        <f t="shared" ref="K31" si="29">SUM(K29:K30)</f>
        <v>10256.720000000001</v>
      </c>
      <c r="L31" s="288">
        <f t="shared" ref="L31" si="30">SUM(L29:L30)</f>
        <v>12019.593749999998</v>
      </c>
      <c r="M31" s="288">
        <f t="shared" ref="M31" si="31">SUM(M29:M30)</f>
        <v>12179.854999999998</v>
      </c>
      <c r="N31" s="288">
        <f t="shared" ref="N31" si="32">SUM(N29:N30)</f>
        <v>13862.598125</v>
      </c>
      <c r="O31" s="303">
        <f>O29+O30</f>
        <v>128209</v>
      </c>
      <c r="Q31" s="297" t="s">
        <v>38</v>
      </c>
      <c r="R31" s="298" t="str">
        <f t="shared" si="14"/>
        <v>YS + Yen.</v>
      </c>
      <c r="S31" s="302">
        <f>S29+S30</f>
        <v>28686.763750000006</v>
      </c>
      <c r="T31" s="302">
        <f>T29+T30</f>
        <v>31891.98875</v>
      </c>
      <c r="U31" s="302">
        <f>U29+U30</f>
        <v>29568.200624999998</v>
      </c>
      <c r="V31" s="302">
        <f>V29+V30</f>
        <v>38062.046875</v>
      </c>
      <c r="W31" s="291">
        <f>W29+W30</f>
        <v>128209</v>
      </c>
    </row>
    <row r="32" spans="1:23" ht="16" customHeight="1" x14ac:dyDescent="0.2"/>
    <row r="33" spans="1:23" x14ac:dyDescent="0.2">
      <c r="A33" s="264" t="s">
        <v>147</v>
      </c>
      <c r="B33" s="264"/>
      <c r="C33" s="266" t="s">
        <v>131</v>
      </c>
      <c r="D33" s="266" t="s">
        <v>132</v>
      </c>
      <c r="E33" s="266" t="s">
        <v>133</v>
      </c>
      <c r="F33" s="266" t="s">
        <v>134</v>
      </c>
      <c r="G33" s="266" t="s">
        <v>135</v>
      </c>
      <c r="H33" s="266" t="s">
        <v>136</v>
      </c>
      <c r="I33" s="266" t="s">
        <v>137</v>
      </c>
      <c r="J33" s="266" t="s">
        <v>138</v>
      </c>
      <c r="K33" s="266" t="s">
        <v>139</v>
      </c>
      <c r="L33" s="266" t="s">
        <v>140</v>
      </c>
      <c r="M33" s="266" t="s">
        <v>141</v>
      </c>
      <c r="N33" s="266" t="s">
        <v>142</v>
      </c>
      <c r="O33" s="266" t="s">
        <v>143</v>
      </c>
      <c r="Q33" s="301" t="str">
        <f t="shared" ref="Q33:Q45" si="33">A33</f>
        <v>Semih Balaban  —  Direkt Satış</v>
      </c>
      <c r="R33" s="301"/>
      <c r="S33" s="266" t="s">
        <v>154</v>
      </c>
      <c r="T33" s="266" t="s">
        <v>155</v>
      </c>
      <c r="U33" s="266" t="s">
        <v>156</v>
      </c>
      <c r="V33" s="266" t="s">
        <v>157</v>
      </c>
      <c r="W33" s="266" t="s">
        <v>143</v>
      </c>
    </row>
    <row r="34" spans="1:23" ht="16" hidden="1" customHeight="1" outlineLevel="1" x14ac:dyDescent="0.2">
      <c r="A34" s="293" t="s">
        <v>25</v>
      </c>
      <c r="B34" s="294" t="s">
        <v>26</v>
      </c>
      <c r="C34" s="276">
        <f>'SatışEkibi YS-Yen. Hed - 600'!$B$31*'SatışEkibi YS-Yen. Hed - 600'!$M43*'Satış YS-Yen.Hed (Ayık) - 600'!C$2</f>
        <v>1246.8750000000002</v>
      </c>
      <c r="D34" s="276">
        <f>'SatışEkibi YS-Yen. Hed - 600'!$B$31*'SatışEkibi YS-Yen. Hed - 600'!$M43*'Satış YS-Yen.Hed (Ayık) - 600'!D$2</f>
        <v>1246.8750000000002</v>
      </c>
      <c r="E34" s="276">
        <f>'SatışEkibi YS-Yen. Hed - 600'!$B$31*'SatışEkibi YS-Yen. Hed - 600'!$M43*'Satış YS-Yen.Hed (Ayık) - 600'!E$2</f>
        <v>1421.875</v>
      </c>
      <c r="F34" s="276">
        <f>'SatışEkibi YS-Yen. Hed - 600'!$B$31*'SatışEkibi YS-Yen. Hed - 600'!$M43*'Satış YS-Yen.Hed (Ayık) - 600'!F$2</f>
        <v>1389.0625</v>
      </c>
      <c r="G34" s="276">
        <f>'SatışEkibi YS-Yen. Hed - 600'!$B$31*'SatışEkibi YS-Yen. Hed - 600'!$M43*'Satış YS-Yen.Hed (Ayık) - 600'!G$2</f>
        <v>1389.0625</v>
      </c>
      <c r="H34" s="276">
        <f>'SatışEkibi YS-Yen. Hed - 600'!$B$31*'SatışEkibi YS-Yen. Hed - 600'!$M43*'Satış YS-Yen.Hed (Ayık) - 600'!H$2</f>
        <v>1574.9999999999998</v>
      </c>
      <c r="I34" s="276">
        <f>'SatışEkibi YS-Yen. Hed - 600'!$B$31*'SatışEkibi YS-Yen. Hed - 600'!$M43*'Satış YS-Yen.Hed (Ayık) - 600'!I$2</f>
        <v>1312.5</v>
      </c>
      <c r="J34" s="276">
        <f>'SatışEkibi YS-Yen. Hed - 600'!$B$31*'SatışEkibi YS-Yen. Hed - 600'!$M43*'Satış YS-Yen.Hed (Ayık) - 600'!J$2</f>
        <v>1323.4375</v>
      </c>
      <c r="K34" s="276">
        <f>'SatışEkibi YS-Yen. Hed - 600'!$B$31*'SatışEkibi YS-Yen. Hed - 600'!$M43*'Satış YS-Yen.Hed (Ayık) - 600'!K$2</f>
        <v>1400</v>
      </c>
      <c r="L34" s="276">
        <f>'SatışEkibi YS-Yen. Hed - 600'!$B$31*'SatışEkibi YS-Yen. Hed - 600'!$M43*'Satış YS-Yen.Hed (Ayık) - 600'!L$2</f>
        <v>1640.6249999999998</v>
      </c>
      <c r="M34" s="276">
        <f>'SatışEkibi YS-Yen. Hed - 600'!$B$31*'SatışEkibi YS-Yen. Hed - 600'!$M43*'Satış YS-Yen.Hed (Ayık) - 600'!M$2</f>
        <v>1662.4999999999998</v>
      </c>
      <c r="N34" s="276">
        <f>'SatışEkibi YS-Yen. Hed - 600'!$B$31*'SatışEkibi YS-Yen. Hed - 600'!$M43*'Satış YS-Yen.Hed (Ayık) - 600'!N$2</f>
        <v>1892.1875</v>
      </c>
      <c r="O34" s="295">
        <f t="shared" ref="O34:O45" si="34">SUM(C34:N34)</f>
        <v>17500</v>
      </c>
      <c r="Q34" s="277" t="str">
        <f t="shared" si="33"/>
        <v>Enroute</v>
      </c>
      <c r="R34" s="278" t="str">
        <f t="shared" ref="R34:R48" si="35">B34</f>
        <v>Yeni Satış</v>
      </c>
      <c r="S34" s="279">
        <f t="shared" ref="S34:S45" si="36">SUM(C34:E34)</f>
        <v>3915.6250000000005</v>
      </c>
      <c r="T34" s="279">
        <f t="shared" ref="T34:T45" si="37">SUM(F34:H34)</f>
        <v>4353.125</v>
      </c>
      <c r="U34" s="279">
        <f t="shared" ref="U34:U45" si="38">SUM(I34:K34)</f>
        <v>4035.9375</v>
      </c>
      <c r="V34" s="279">
        <f t="shared" ref="V34:V45" si="39">SUM(L34:N34)</f>
        <v>5195.3125</v>
      </c>
      <c r="W34" s="279">
        <f t="shared" ref="W34:W47" si="40">SUM(S34:V34)</f>
        <v>17500</v>
      </c>
    </row>
    <row r="35" spans="1:23" ht="16" hidden="1" customHeight="1" outlineLevel="1" x14ac:dyDescent="0.2">
      <c r="A35" s="293" t="s">
        <v>25</v>
      </c>
      <c r="B35" s="294" t="s">
        <v>28</v>
      </c>
      <c r="C35" s="276">
        <f>'SatışEkibi YS-Yen. Hed - 600'!$B$31*'SatışEkibi YS-Yen. Hed - 600'!$M44*'Satış YS-Yen.Hed (Ayık) - 600'!C$2</f>
        <v>1781.2500000000002</v>
      </c>
      <c r="D35" s="276">
        <f>'SatışEkibi YS-Yen. Hed - 600'!$B$31*'SatışEkibi YS-Yen. Hed - 600'!$M44*'Satış YS-Yen.Hed (Ayık) - 600'!D$2</f>
        <v>1781.2500000000002</v>
      </c>
      <c r="E35" s="276">
        <f>'SatışEkibi YS-Yen. Hed - 600'!$B$31*'SatışEkibi YS-Yen. Hed - 600'!$M44*'Satış YS-Yen.Hed (Ayık) - 600'!E$2</f>
        <v>2031.25</v>
      </c>
      <c r="F35" s="276">
        <f>'SatışEkibi YS-Yen. Hed - 600'!$B$31*'SatışEkibi YS-Yen. Hed - 600'!$M44*'Satış YS-Yen.Hed (Ayık) - 600'!F$2</f>
        <v>1984.375</v>
      </c>
      <c r="G35" s="276">
        <f>'SatışEkibi YS-Yen. Hed - 600'!$B$31*'SatışEkibi YS-Yen. Hed - 600'!$M44*'Satış YS-Yen.Hed (Ayık) - 600'!G$2</f>
        <v>1984.375</v>
      </c>
      <c r="H35" s="276">
        <f>'SatışEkibi YS-Yen. Hed - 600'!$B$31*'SatışEkibi YS-Yen. Hed - 600'!$M44*'Satış YS-Yen.Hed (Ayık) - 600'!H$2</f>
        <v>2249.9999999999995</v>
      </c>
      <c r="I35" s="276">
        <f>'SatışEkibi YS-Yen. Hed - 600'!$B$31*'SatışEkibi YS-Yen. Hed - 600'!$M44*'Satış YS-Yen.Hed (Ayık) - 600'!I$2</f>
        <v>1875</v>
      </c>
      <c r="J35" s="276">
        <f>'SatışEkibi YS-Yen. Hed - 600'!$B$31*'SatışEkibi YS-Yen. Hed - 600'!$M44*'Satış YS-Yen.Hed (Ayık) - 600'!J$2</f>
        <v>1890.625</v>
      </c>
      <c r="K35" s="276">
        <f>'SatışEkibi YS-Yen. Hed - 600'!$B$31*'SatışEkibi YS-Yen. Hed - 600'!$M44*'Satış YS-Yen.Hed (Ayık) - 600'!K$2</f>
        <v>2000</v>
      </c>
      <c r="L35" s="276">
        <f>'SatışEkibi YS-Yen. Hed - 600'!$B$31*'SatışEkibi YS-Yen. Hed - 600'!$M44*'Satış YS-Yen.Hed (Ayık) - 600'!L$2</f>
        <v>2343.7499999999995</v>
      </c>
      <c r="M35" s="276">
        <f>'SatışEkibi YS-Yen. Hed - 600'!$B$31*'SatışEkibi YS-Yen. Hed - 600'!$M44*'Satış YS-Yen.Hed (Ayık) - 600'!M$2</f>
        <v>2374.9999999999995</v>
      </c>
      <c r="N35" s="276">
        <f>'SatışEkibi YS-Yen. Hed - 600'!$B$31*'SatışEkibi YS-Yen. Hed - 600'!$M44*'Satış YS-Yen.Hed (Ayık) - 600'!N$2</f>
        <v>2703.125</v>
      </c>
      <c r="O35" s="295">
        <f t="shared" si="34"/>
        <v>25000</v>
      </c>
      <c r="Q35" s="277" t="str">
        <f t="shared" si="33"/>
        <v>Enroute</v>
      </c>
      <c r="R35" s="278" t="str">
        <f t="shared" si="35"/>
        <v>Yenileme</v>
      </c>
      <c r="S35" s="279">
        <f t="shared" si="36"/>
        <v>5593.75</v>
      </c>
      <c r="T35" s="279">
        <f t="shared" si="37"/>
        <v>6218.75</v>
      </c>
      <c r="U35" s="279">
        <f t="shared" si="38"/>
        <v>5765.625</v>
      </c>
      <c r="V35" s="279">
        <f t="shared" si="39"/>
        <v>7421.8749999999991</v>
      </c>
      <c r="W35" s="279">
        <f t="shared" si="40"/>
        <v>25000</v>
      </c>
    </row>
    <row r="36" spans="1:23" ht="16" hidden="1" customHeight="1" outlineLevel="1" x14ac:dyDescent="0.2">
      <c r="A36" s="293" t="s">
        <v>29</v>
      </c>
      <c r="B36" s="294" t="s">
        <v>26</v>
      </c>
      <c r="C36" s="276">
        <f>'SatışEkibi YS-Yen. Hed - 600'!$C$31*'SatışEkibi YS-Yen. Hed - 600'!$N43*'Satış YS-Yen.Hed (Ayık) - 600'!C$2</f>
        <v>570.00000000000011</v>
      </c>
      <c r="D36" s="276">
        <f>'SatışEkibi YS-Yen. Hed - 600'!$C$31*'SatışEkibi YS-Yen. Hed - 600'!$N43*'Satış YS-Yen.Hed (Ayık) - 600'!D$2</f>
        <v>570.00000000000011</v>
      </c>
      <c r="E36" s="276">
        <f>'SatışEkibi YS-Yen. Hed - 600'!$C$31*'SatışEkibi YS-Yen. Hed - 600'!$N43*'Satış YS-Yen.Hed (Ayık) - 600'!E$2</f>
        <v>650</v>
      </c>
      <c r="F36" s="276">
        <f>'SatışEkibi YS-Yen. Hed - 600'!$C$31*'SatışEkibi YS-Yen. Hed - 600'!$N43*'Satış YS-Yen.Hed (Ayık) - 600'!F$2</f>
        <v>635</v>
      </c>
      <c r="G36" s="276">
        <f>'SatışEkibi YS-Yen. Hed - 600'!$C$31*'SatışEkibi YS-Yen. Hed - 600'!$N43*'Satış YS-Yen.Hed (Ayık) - 600'!G$2</f>
        <v>635</v>
      </c>
      <c r="H36" s="276">
        <f>'SatışEkibi YS-Yen. Hed - 600'!$C$31*'SatışEkibi YS-Yen. Hed - 600'!$N43*'Satış YS-Yen.Hed (Ayık) - 600'!H$2</f>
        <v>719.99999999999989</v>
      </c>
      <c r="I36" s="276">
        <f>'SatışEkibi YS-Yen. Hed - 600'!$C$31*'SatışEkibi YS-Yen. Hed - 600'!$N43*'Satış YS-Yen.Hed (Ayık) - 600'!I$2</f>
        <v>600</v>
      </c>
      <c r="J36" s="276">
        <f>'SatışEkibi YS-Yen. Hed - 600'!$C$31*'SatışEkibi YS-Yen. Hed - 600'!$N43*'Satış YS-Yen.Hed (Ayık) - 600'!J$2</f>
        <v>605</v>
      </c>
      <c r="K36" s="276">
        <f>'SatışEkibi YS-Yen. Hed - 600'!$C$31*'SatışEkibi YS-Yen. Hed - 600'!$N43*'Satış YS-Yen.Hed (Ayık) - 600'!K$2</f>
        <v>640</v>
      </c>
      <c r="L36" s="276">
        <f>'SatışEkibi YS-Yen. Hed - 600'!$C$31*'SatışEkibi YS-Yen. Hed - 600'!$N43*'Satış YS-Yen.Hed (Ayık) - 600'!L$2</f>
        <v>749.99999999999989</v>
      </c>
      <c r="M36" s="276">
        <f>'SatışEkibi YS-Yen. Hed - 600'!$C$31*'SatışEkibi YS-Yen. Hed - 600'!$N43*'Satış YS-Yen.Hed (Ayık) - 600'!M$2</f>
        <v>759.99999999999989</v>
      </c>
      <c r="N36" s="276">
        <f>'SatışEkibi YS-Yen. Hed - 600'!$C$31*'SatışEkibi YS-Yen. Hed - 600'!$N43*'Satış YS-Yen.Hed (Ayık) - 600'!N$2</f>
        <v>865</v>
      </c>
      <c r="O36" s="295">
        <f t="shared" si="34"/>
        <v>8000</v>
      </c>
      <c r="Q36" s="277" t="str">
        <f t="shared" si="33"/>
        <v>Stokbar</v>
      </c>
      <c r="R36" s="278" t="str">
        <f t="shared" si="35"/>
        <v>Yeni Satış</v>
      </c>
      <c r="S36" s="279">
        <f t="shared" si="36"/>
        <v>1790.0000000000002</v>
      </c>
      <c r="T36" s="279">
        <f t="shared" si="37"/>
        <v>1990</v>
      </c>
      <c r="U36" s="279">
        <f t="shared" si="38"/>
        <v>1845</v>
      </c>
      <c r="V36" s="279">
        <f t="shared" si="39"/>
        <v>2375</v>
      </c>
      <c r="W36" s="279">
        <f t="shared" si="40"/>
        <v>8000</v>
      </c>
    </row>
    <row r="37" spans="1:23" ht="16" hidden="1" customHeight="1" outlineLevel="1" x14ac:dyDescent="0.2">
      <c r="A37" s="293" t="s">
        <v>29</v>
      </c>
      <c r="B37" s="294" t="s">
        <v>28</v>
      </c>
      <c r="C37" s="276">
        <f>'SatışEkibi YS-Yen. Hed - 600'!$C$31*'SatışEkibi YS-Yen. Hed - 600'!$N44*'Satış YS-Yen.Hed (Ayık) - 600'!C$2</f>
        <v>251.29875000000004</v>
      </c>
      <c r="D37" s="276">
        <f>'SatışEkibi YS-Yen. Hed - 600'!$C$31*'SatışEkibi YS-Yen. Hed - 600'!$N44*'Satış YS-Yen.Hed (Ayık) - 600'!D$2</f>
        <v>251.29875000000004</v>
      </c>
      <c r="E37" s="276">
        <f>'SatışEkibi YS-Yen. Hed - 600'!$C$31*'SatışEkibi YS-Yen. Hed - 600'!$N44*'Satış YS-Yen.Hed (Ayık) - 600'!E$2</f>
        <v>286.56875000000002</v>
      </c>
      <c r="F37" s="276">
        <f>'SatışEkibi YS-Yen. Hed - 600'!$C$31*'SatışEkibi YS-Yen. Hed - 600'!$N44*'Satış YS-Yen.Hed (Ayık) - 600'!F$2</f>
        <v>279.955625</v>
      </c>
      <c r="G37" s="276">
        <f>'SatışEkibi YS-Yen. Hed - 600'!$C$31*'SatışEkibi YS-Yen. Hed - 600'!$N44*'Satış YS-Yen.Hed (Ayık) - 600'!G$2</f>
        <v>279.955625</v>
      </c>
      <c r="H37" s="276">
        <f>'SatışEkibi YS-Yen. Hed - 600'!$C$31*'SatışEkibi YS-Yen. Hed - 600'!$N44*'Satış YS-Yen.Hed (Ayık) - 600'!H$2</f>
        <v>317.42999999999995</v>
      </c>
      <c r="I37" s="276">
        <f>'SatışEkibi YS-Yen. Hed - 600'!$C$31*'SatışEkibi YS-Yen. Hed - 600'!$N44*'Satış YS-Yen.Hed (Ayık) - 600'!I$2</f>
        <v>264.52499999999998</v>
      </c>
      <c r="J37" s="276">
        <f>'SatışEkibi YS-Yen. Hed - 600'!$C$31*'SatışEkibi YS-Yen. Hed - 600'!$N44*'Satış YS-Yen.Hed (Ayık) - 600'!J$2</f>
        <v>266.729375</v>
      </c>
      <c r="K37" s="276">
        <f>'SatışEkibi YS-Yen. Hed - 600'!$C$31*'SatışEkibi YS-Yen. Hed - 600'!$N44*'Satış YS-Yen.Hed (Ayık) - 600'!K$2</f>
        <v>282.16000000000003</v>
      </c>
      <c r="L37" s="276">
        <f>'SatışEkibi YS-Yen. Hed - 600'!$C$31*'SatışEkibi YS-Yen. Hed - 600'!$N44*'Satış YS-Yen.Hed (Ayık) - 600'!L$2</f>
        <v>330.65624999999994</v>
      </c>
      <c r="M37" s="276">
        <f>'SatışEkibi YS-Yen. Hed - 600'!$C$31*'SatışEkibi YS-Yen. Hed - 600'!$N44*'Satış YS-Yen.Hed (Ayık) - 600'!M$2</f>
        <v>335.06499999999994</v>
      </c>
      <c r="N37" s="276">
        <f>'SatışEkibi YS-Yen. Hed - 600'!$C$31*'SatışEkibi YS-Yen. Hed - 600'!$N44*'Satış YS-Yen.Hed (Ayık) - 600'!N$2</f>
        <v>381.356875</v>
      </c>
      <c r="O37" s="295">
        <f t="shared" si="34"/>
        <v>3527</v>
      </c>
      <c r="Q37" s="277" t="str">
        <f t="shared" si="33"/>
        <v>Stokbar</v>
      </c>
      <c r="R37" s="278" t="str">
        <f t="shared" si="35"/>
        <v>Yenileme</v>
      </c>
      <c r="S37" s="279">
        <f t="shared" si="36"/>
        <v>789.1662500000001</v>
      </c>
      <c r="T37" s="279">
        <f t="shared" si="37"/>
        <v>877.34124999999995</v>
      </c>
      <c r="U37" s="279">
        <f t="shared" si="38"/>
        <v>813.41437500000006</v>
      </c>
      <c r="V37" s="279">
        <f t="shared" si="39"/>
        <v>1047.0781249999998</v>
      </c>
      <c r="W37" s="279">
        <f t="shared" si="40"/>
        <v>3527</v>
      </c>
    </row>
    <row r="38" spans="1:23" ht="16" hidden="1" customHeight="1" outlineLevel="1" x14ac:dyDescent="0.2">
      <c r="A38" s="293" t="s">
        <v>27</v>
      </c>
      <c r="B38" s="294" t="s">
        <v>26</v>
      </c>
      <c r="C38" s="276">
        <f>'SatışEkibi YS-Yen. Hed - 600'!$D$31*'SatışEkibi YS-Yen. Hed - 600'!$O43*'Satış YS-Yen.Hed (Ayık) - 600'!C$2</f>
        <v>142.50000000000003</v>
      </c>
      <c r="D38" s="276">
        <f>'SatışEkibi YS-Yen. Hed - 600'!$D$31*'SatışEkibi YS-Yen. Hed - 600'!$O43*'Satış YS-Yen.Hed (Ayık) - 600'!D$2</f>
        <v>142.50000000000003</v>
      </c>
      <c r="E38" s="276">
        <f>'SatışEkibi YS-Yen. Hed - 600'!$D$31*'SatışEkibi YS-Yen. Hed - 600'!$O43*'Satış YS-Yen.Hed (Ayık) - 600'!E$2</f>
        <v>162.50000000000003</v>
      </c>
      <c r="F38" s="276">
        <f>'SatışEkibi YS-Yen. Hed - 600'!$D$31*'SatışEkibi YS-Yen. Hed - 600'!$O43*'Satış YS-Yen.Hed (Ayık) - 600'!F$2</f>
        <v>158.75000000000003</v>
      </c>
      <c r="G38" s="276">
        <f>'SatışEkibi YS-Yen. Hed - 600'!$D$31*'SatışEkibi YS-Yen. Hed - 600'!$O43*'Satış YS-Yen.Hed (Ayık) - 600'!G$2</f>
        <v>158.75000000000003</v>
      </c>
      <c r="H38" s="276">
        <f>'SatışEkibi YS-Yen. Hed - 600'!$D$31*'SatışEkibi YS-Yen. Hed - 600'!$O43*'Satış YS-Yen.Hed (Ayık) - 600'!H$2</f>
        <v>180</v>
      </c>
      <c r="I38" s="276">
        <f>'SatışEkibi YS-Yen. Hed - 600'!$D$31*'SatışEkibi YS-Yen. Hed - 600'!$O43*'Satış YS-Yen.Hed (Ayık) - 600'!I$2</f>
        <v>150</v>
      </c>
      <c r="J38" s="276">
        <f>'SatışEkibi YS-Yen. Hed - 600'!$D$31*'SatışEkibi YS-Yen. Hed - 600'!$O43*'Satış YS-Yen.Hed (Ayık) - 600'!J$2</f>
        <v>151.25</v>
      </c>
      <c r="K38" s="276">
        <f>'SatışEkibi YS-Yen. Hed - 600'!$D$31*'SatışEkibi YS-Yen. Hed - 600'!$O43*'Satış YS-Yen.Hed (Ayık) - 600'!K$2</f>
        <v>160.00000000000003</v>
      </c>
      <c r="L38" s="276">
        <f>'SatışEkibi YS-Yen. Hed - 600'!$D$31*'SatışEkibi YS-Yen. Hed - 600'!$O43*'Satış YS-Yen.Hed (Ayık) - 600'!L$2</f>
        <v>187.5</v>
      </c>
      <c r="M38" s="276">
        <f>'SatışEkibi YS-Yen. Hed - 600'!$D$31*'SatışEkibi YS-Yen. Hed - 600'!$O43*'Satış YS-Yen.Hed (Ayık) - 600'!M$2</f>
        <v>190</v>
      </c>
      <c r="N38" s="276">
        <f>'SatışEkibi YS-Yen. Hed - 600'!$D$31*'SatışEkibi YS-Yen. Hed - 600'!$O43*'Satış YS-Yen.Hed (Ayık) - 600'!N$2</f>
        <v>216.25000000000003</v>
      </c>
      <c r="O38" s="295">
        <f t="shared" si="34"/>
        <v>2000</v>
      </c>
      <c r="Q38" s="277" t="str">
        <f t="shared" si="33"/>
        <v>Quest</v>
      </c>
      <c r="R38" s="278" t="str">
        <f t="shared" si="35"/>
        <v>Yeni Satış</v>
      </c>
      <c r="S38" s="279">
        <f t="shared" si="36"/>
        <v>447.50000000000011</v>
      </c>
      <c r="T38" s="279">
        <f t="shared" si="37"/>
        <v>497.50000000000006</v>
      </c>
      <c r="U38" s="279">
        <f t="shared" si="38"/>
        <v>461.25</v>
      </c>
      <c r="V38" s="279">
        <f t="shared" si="39"/>
        <v>593.75</v>
      </c>
      <c r="W38" s="279">
        <f t="shared" si="40"/>
        <v>2000.0000000000002</v>
      </c>
    </row>
    <row r="39" spans="1:23" ht="16" hidden="1" customHeight="1" outlineLevel="1" x14ac:dyDescent="0.2">
      <c r="A39" s="293" t="s">
        <v>27</v>
      </c>
      <c r="B39" s="294" t="s">
        <v>28</v>
      </c>
      <c r="C39" s="276">
        <f>'SatışEkibi YS-Yen. Hed - 600'!$D$31*'SatışEkibi YS-Yen. Hed - 600'!$O44*'Satış YS-Yen.Hed (Ayık) - 600'!C$2</f>
        <v>229.06875000000002</v>
      </c>
      <c r="D39" s="276">
        <f>'SatışEkibi YS-Yen. Hed - 600'!$D$31*'SatışEkibi YS-Yen. Hed - 600'!$O44*'Satış YS-Yen.Hed (Ayık) - 600'!D$2</f>
        <v>229.06875000000002</v>
      </c>
      <c r="E39" s="276">
        <f>'SatışEkibi YS-Yen. Hed - 600'!$D$31*'SatışEkibi YS-Yen. Hed - 600'!$O44*'Satış YS-Yen.Hed (Ayık) - 600'!E$2</f>
        <v>261.21875</v>
      </c>
      <c r="F39" s="276">
        <f>'SatışEkibi YS-Yen. Hed - 600'!$D$31*'SatışEkibi YS-Yen. Hed - 600'!$O44*'Satış YS-Yen.Hed (Ayık) - 600'!F$2</f>
        <v>255.19062500000001</v>
      </c>
      <c r="G39" s="276">
        <f>'SatışEkibi YS-Yen. Hed - 600'!$D$31*'SatışEkibi YS-Yen. Hed - 600'!$O44*'Satış YS-Yen.Hed (Ayık) - 600'!G$2</f>
        <v>255.19062500000001</v>
      </c>
      <c r="H39" s="276">
        <f>'SatışEkibi YS-Yen. Hed - 600'!$D$31*'SatışEkibi YS-Yen. Hed - 600'!$O44*'Satış YS-Yen.Hed (Ayık) - 600'!H$2</f>
        <v>289.34999999999997</v>
      </c>
      <c r="I39" s="276">
        <f>'SatışEkibi YS-Yen. Hed - 600'!$D$31*'SatışEkibi YS-Yen. Hed - 600'!$O44*'Satış YS-Yen.Hed (Ayık) - 600'!I$2</f>
        <v>241.125</v>
      </c>
      <c r="J39" s="276">
        <f>'SatışEkibi YS-Yen. Hed - 600'!$D$31*'SatışEkibi YS-Yen. Hed - 600'!$O44*'Satış YS-Yen.Hed (Ayık) - 600'!J$2</f>
        <v>243.13437500000001</v>
      </c>
      <c r="K39" s="276">
        <f>'SatışEkibi YS-Yen. Hed - 600'!$D$31*'SatışEkibi YS-Yen. Hed - 600'!$O44*'Satış YS-Yen.Hed (Ayık) - 600'!K$2</f>
        <v>257.2</v>
      </c>
      <c r="L39" s="276">
        <f>'SatışEkibi YS-Yen. Hed - 600'!$D$31*'SatışEkibi YS-Yen. Hed - 600'!$O44*'Satış YS-Yen.Hed (Ayık) - 600'!L$2</f>
        <v>301.40624999999994</v>
      </c>
      <c r="M39" s="276">
        <f>'SatışEkibi YS-Yen. Hed - 600'!$D$31*'SatışEkibi YS-Yen. Hed - 600'!$O44*'Satış YS-Yen.Hed (Ayık) - 600'!M$2</f>
        <v>305.42499999999995</v>
      </c>
      <c r="N39" s="276">
        <f>'SatışEkibi YS-Yen. Hed - 600'!$D$31*'SatışEkibi YS-Yen. Hed - 600'!$O44*'Satış YS-Yen.Hed (Ayık) - 600'!N$2</f>
        <v>347.62187499999999</v>
      </c>
      <c r="O39" s="295">
        <f t="shared" si="34"/>
        <v>3215</v>
      </c>
      <c r="Q39" s="277" t="str">
        <f t="shared" si="33"/>
        <v>Quest</v>
      </c>
      <c r="R39" s="278" t="str">
        <f t="shared" si="35"/>
        <v>Yenileme</v>
      </c>
      <c r="S39" s="279">
        <f t="shared" si="36"/>
        <v>719.35625000000005</v>
      </c>
      <c r="T39" s="279">
        <f t="shared" si="37"/>
        <v>799.73125000000005</v>
      </c>
      <c r="U39" s="279">
        <f t="shared" si="38"/>
        <v>741.45937499999991</v>
      </c>
      <c r="V39" s="279">
        <f t="shared" si="39"/>
        <v>954.453125</v>
      </c>
      <c r="W39" s="279">
        <f t="shared" si="40"/>
        <v>3215</v>
      </c>
    </row>
    <row r="40" spans="1:23" ht="16" hidden="1" customHeight="1" outlineLevel="1" x14ac:dyDescent="0.2">
      <c r="A40" s="293" t="s">
        <v>69</v>
      </c>
      <c r="B40" s="294" t="s">
        <v>26</v>
      </c>
      <c r="C40" s="276">
        <f>'SatışEkibi YS-Yen. Hed - 600'!$E$31*'SatışEkibi YS-Yen. Hed - 600'!$P43*'Satış YS-Yen.Hed (Ayık) - 600'!C$2</f>
        <v>1798.8635700000004</v>
      </c>
      <c r="D40" s="276">
        <f>'SatışEkibi YS-Yen. Hed - 600'!$E$31*'SatışEkibi YS-Yen. Hed - 600'!$P43*'Satış YS-Yen.Hed (Ayık) - 600'!D$2</f>
        <v>1798.8635700000004</v>
      </c>
      <c r="E40" s="276">
        <f>'SatışEkibi YS-Yen. Hed - 600'!$E$31*'SatışEkibi YS-Yen. Hed - 600'!$P43*'Satış YS-Yen.Hed (Ayık) - 600'!E$2</f>
        <v>2051.3356500000004</v>
      </c>
      <c r="F40" s="276">
        <f>'SatışEkibi YS-Yen. Hed - 600'!$E$31*'SatışEkibi YS-Yen. Hed - 600'!$P43*'Satış YS-Yen.Hed (Ayık) - 600'!F$2</f>
        <v>2003.9971350000003</v>
      </c>
      <c r="G40" s="276">
        <f>'SatışEkibi YS-Yen. Hed - 600'!$E$31*'SatışEkibi YS-Yen. Hed - 600'!$P43*'Satış YS-Yen.Hed (Ayık) - 600'!G$2</f>
        <v>2003.9971350000003</v>
      </c>
      <c r="H40" s="276">
        <f>'SatışEkibi YS-Yen. Hed - 600'!$E$31*'SatışEkibi YS-Yen. Hed - 600'!$P43*'Satış YS-Yen.Hed (Ayık) - 600'!H$2</f>
        <v>2272.2487199999996</v>
      </c>
      <c r="I40" s="276">
        <f>'SatışEkibi YS-Yen. Hed - 600'!$E$31*'SatışEkibi YS-Yen. Hed - 600'!$P43*'Satış YS-Yen.Hed (Ayık) - 600'!I$2</f>
        <v>1893.5406</v>
      </c>
      <c r="J40" s="276">
        <f>'SatışEkibi YS-Yen. Hed - 600'!$E$31*'SatışEkibi YS-Yen. Hed - 600'!$P43*'Satış YS-Yen.Hed (Ayık) - 600'!J$2</f>
        <v>1909.320105</v>
      </c>
      <c r="K40" s="276">
        <f>'SatışEkibi YS-Yen. Hed - 600'!$E$31*'SatışEkibi YS-Yen. Hed - 600'!$P43*'Satış YS-Yen.Hed (Ayık) - 600'!K$2</f>
        <v>2019.7766400000003</v>
      </c>
      <c r="L40" s="276">
        <f>'SatışEkibi YS-Yen. Hed - 600'!$E$31*'SatışEkibi YS-Yen. Hed - 600'!$P43*'Satış YS-Yen.Hed (Ayık) - 600'!L$2</f>
        <v>2366.9257499999999</v>
      </c>
      <c r="M40" s="276">
        <f>'SatışEkibi YS-Yen. Hed - 600'!$E$31*'SatışEkibi YS-Yen. Hed - 600'!$P43*'Satış YS-Yen.Hed (Ayık) - 600'!M$2</f>
        <v>2398.4847599999998</v>
      </c>
      <c r="N40" s="276">
        <f>'SatışEkibi YS-Yen. Hed - 600'!$E$31*'SatışEkibi YS-Yen. Hed - 600'!$P43*'Satış YS-Yen.Hed (Ayık) - 600'!N$2</f>
        <v>2729.8543650000001</v>
      </c>
      <c r="O40" s="295">
        <f t="shared" si="34"/>
        <v>25247.208000000002</v>
      </c>
      <c r="Q40" s="277" t="str">
        <f t="shared" si="33"/>
        <v>ServiceCore</v>
      </c>
      <c r="R40" s="278" t="str">
        <f t="shared" si="35"/>
        <v>Yeni Satış</v>
      </c>
      <c r="S40" s="279">
        <f t="shared" si="36"/>
        <v>5649.0627900000018</v>
      </c>
      <c r="T40" s="279">
        <f t="shared" si="37"/>
        <v>6280.2429900000006</v>
      </c>
      <c r="U40" s="279">
        <f t="shared" si="38"/>
        <v>5822.6373450000001</v>
      </c>
      <c r="V40" s="279">
        <f t="shared" si="39"/>
        <v>7495.2648749999998</v>
      </c>
      <c r="W40" s="279">
        <f t="shared" si="40"/>
        <v>25247.208000000002</v>
      </c>
    </row>
    <row r="41" spans="1:23" ht="16" hidden="1" customHeight="1" outlineLevel="1" x14ac:dyDescent="0.2">
      <c r="A41" s="293" t="s">
        <v>69</v>
      </c>
      <c r="B41" s="294" t="s">
        <v>28</v>
      </c>
      <c r="C41" s="276">
        <f>'SatışEkibi YS-Yen. Hed - 600'!$E$31*'SatışEkibi YS-Yen. Hed - 600'!$P44*'Satış YS-Yen.Hed (Ayık) - 600'!C$2</f>
        <v>25.861742531249984</v>
      </c>
      <c r="D41" s="276">
        <f>'SatışEkibi YS-Yen. Hed - 600'!$E$31*'SatışEkibi YS-Yen. Hed - 600'!$P44*'Satış YS-Yen.Hed (Ayık) - 600'!D$2</f>
        <v>25.861742531249984</v>
      </c>
      <c r="E41" s="276">
        <f>'SatışEkibi YS-Yen. Hed - 600'!$E$31*'SatışEkibi YS-Yen. Hed - 600'!$P44*'Satış YS-Yen.Hed (Ayık) - 600'!E$2</f>
        <v>29.49146078124998</v>
      </c>
      <c r="F41" s="276">
        <f>'SatışEkibi YS-Yen. Hed - 600'!$E$31*'SatışEkibi YS-Yen. Hed - 600'!$P44*'Satış YS-Yen.Hed (Ayık) - 600'!F$2</f>
        <v>28.810888609374981</v>
      </c>
      <c r="G41" s="276">
        <f>'SatışEkibi YS-Yen. Hed - 600'!$E$31*'SatışEkibi YS-Yen. Hed - 600'!$P44*'Satış YS-Yen.Hed (Ayık) - 600'!G$2</f>
        <v>28.810888609374981</v>
      </c>
      <c r="H41" s="276">
        <f>'SatışEkibi YS-Yen. Hed - 600'!$E$31*'SatışEkibi YS-Yen. Hed - 600'!$P44*'Satış YS-Yen.Hed (Ayık) - 600'!H$2</f>
        <v>32.667464249999973</v>
      </c>
      <c r="I41" s="276">
        <f>'SatışEkibi YS-Yen. Hed - 600'!$E$31*'SatışEkibi YS-Yen. Hed - 600'!$P44*'Satış YS-Yen.Hed (Ayık) - 600'!I$2</f>
        <v>27.222886874999979</v>
      </c>
      <c r="J41" s="276">
        <f>'SatışEkibi YS-Yen. Hed - 600'!$E$31*'SatışEkibi YS-Yen. Hed - 600'!$P44*'Satış YS-Yen.Hed (Ayık) - 600'!J$2</f>
        <v>27.449744265624979</v>
      </c>
      <c r="K41" s="276">
        <f>'SatışEkibi YS-Yen. Hed - 600'!$E$31*'SatışEkibi YS-Yen. Hed - 600'!$P44*'Satış YS-Yen.Hed (Ayık) - 600'!K$2</f>
        <v>29.037745999999981</v>
      </c>
      <c r="L41" s="276">
        <f>'SatışEkibi YS-Yen. Hed - 600'!$E$31*'SatışEkibi YS-Yen. Hed - 600'!$P44*'Satış YS-Yen.Hed (Ayık) - 600'!L$2</f>
        <v>34.028608593749972</v>
      </c>
      <c r="M41" s="276">
        <f>'SatışEkibi YS-Yen. Hed - 600'!$E$31*'SatışEkibi YS-Yen. Hed - 600'!$P44*'Satış YS-Yen.Hed (Ayık) - 600'!M$2</f>
        <v>34.482323374999972</v>
      </c>
      <c r="N41" s="276">
        <f>'SatışEkibi YS-Yen. Hed - 600'!$E$31*'SatışEkibi YS-Yen. Hed - 600'!$P44*'Satış YS-Yen.Hed (Ayık) - 600'!N$2</f>
        <v>39.246328578124974</v>
      </c>
      <c r="O41" s="295">
        <f t="shared" si="34"/>
        <v>362.97182499999974</v>
      </c>
      <c r="Q41" s="277" t="str">
        <f t="shared" si="33"/>
        <v>ServiceCore</v>
      </c>
      <c r="R41" s="278" t="str">
        <f t="shared" si="35"/>
        <v>Yenileme</v>
      </c>
      <c r="S41" s="279">
        <f t="shared" si="36"/>
        <v>81.214945843749945</v>
      </c>
      <c r="T41" s="279">
        <f t="shared" si="37"/>
        <v>90.289241468749935</v>
      </c>
      <c r="U41" s="279">
        <f t="shared" si="38"/>
        <v>83.710377140624942</v>
      </c>
      <c r="V41" s="279">
        <f t="shared" si="39"/>
        <v>107.75726054687492</v>
      </c>
      <c r="W41" s="279">
        <f t="shared" si="40"/>
        <v>362.97182499999974</v>
      </c>
    </row>
    <row r="42" spans="1:23" ht="16" hidden="1" customHeight="1" outlineLevel="1" x14ac:dyDescent="0.2">
      <c r="A42" s="293" t="s">
        <v>32</v>
      </c>
      <c r="B42" s="294" t="s">
        <v>26</v>
      </c>
      <c r="C42" s="276">
        <f>'SatışEkibi YS-Yen. Hed - 600'!$F$31*'SatışEkibi YS-Yen. Hed - 600'!$Q43*'Satış YS-Yen.Hed (Ayık) - 600'!C$2</f>
        <v>78.375000000000014</v>
      </c>
      <c r="D42" s="276">
        <f>'SatışEkibi YS-Yen. Hed - 600'!$F$31*'SatışEkibi YS-Yen. Hed - 600'!$Q43*'Satış YS-Yen.Hed (Ayık) - 600'!D$2</f>
        <v>78.375000000000014</v>
      </c>
      <c r="E42" s="276">
        <f>'SatışEkibi YS-Yen. Hed - 600'!$F$31*'SatışEkibi YS-Yen. Hed - 600'!$Q43*'Satış YS-Yen.Hed (Ayık) - 600'!E$2</f>
        <v>89.375</v>
      </c>
      <c r="F42" s="276">
        <f>'SatışEkibi YS-Yen. Hed - 600'!$F$31*'SatışEkibi YS-Yen. Hed - 600'!$Q43*'Satış YS-Yen.Hed (Ayık) - 600'!F$2</f>
        <v>87.3125</v>
      </c>
      <c r="G42" s="276">
        <f>'SatışEkibi YS-Yen. Hed - 600'!$F$31*'SatışEkibi YS-Yen. Hed - 600'!$Q43*'Satış YS-Yen.Hed (Ayık) - 600'!G$2</f>
        <v>87.3125</v>
      </c>
      <c r="H42" s="276">
        <f>'SatışEkibi YS-Yen. Hed - 600'!$F$31*'SatışEkibi YS-Yen. Hed - 600'!$Q43*'Satış YS-Yen.Hed (Ayık) - 600'!H$2</f>
        <v>98.999999999999986</v>
      </c>
      <c r="I42" s="276">
        <f>'SatışEkibi YS-Yen. Hed - 600'!$F$31*'SatışEkibi YS-Yen. Hed - 600'!$Q43*'Satış YS-Yen.Hed (Ayık) - 600'!I$2</f>
        <v>82.5</v>
      </c>
      <c r="J42" s="276">
        <f>'SatışEkibi YS-Yen. Hed - 600'!$F$31*'SatışEkibi YS-Yen. Hed - 600'!$Q43*'Satış YS-Yen.Hed (Ayık) - 600'!J$2</f>
        <v>83.1875</v>
      </c>
      <c r="K42" s="276">
        <f>'SatışEkibi YS-Yen. Hed - 600'!$F$31*'SatışEkibi YS-Yen. Hed - 600'!$Q43*'Satış YS-Yen.Hed (Ayık) - 600'!K$2</f>
        <v>88</v>
      </c>
      <c r="L42" s="276">
        <f>'SatışEkibi YS-Yen. Hed - 600'!$F$31*'SatışEkibi YS-Yen. Hed - 600'!$Q43*'Satış YS-Yen.Hed (Ayık) - 600'!L$2</f>
        <v>103.12499999999999</v>
      </c>
      <c r="M42" s="276">
        <f>'SatışEkibi YS-Yen. Hed - 600'!$F$31*'SatışEkibi YS-Yen. Hed - 600'!$Q43*'Satış YS-Yen.Hed (Ayık) - 600'!M$2</f>
        <v>104.49999999999999</v>
      </c>
      <c r="N42" s="276">
        <f>'SatışEkibi YS-Yen. Hed - 600'!$F$31*'SatışEkibi YS-Yen. Hed - 600'!$Q43*'Satış YS-Yen.Hed (Ayık) - 600'!N$2</f>
        <v>118.9375</v>
      </c>
      <c r="O42" s="295">
        <f t="shared" si="34"/>
        <v>1100</v>
      </c>
      <c r="Q42" s="277" t="str">
        <f t="shared" si="33"/>
        <v>Varuna</v>
      </c>
      <c r="R42" s="278" t="str">
        <f t="shared" si="35"/>
        <v>Yeni Satış</v>
      </c>
      <c r="S42" s="279">
        <f t="shared" si="36"/>
        <v>246.12500000000003</v>
      </c>
      <c r="T42" s="279">
        <f t="shared" si="37"/>
        <v>273.625</v>
      </c>
      <c r="U42" s="279">
        <f t="shared" si="38"/>
        <v>253.6875</v>
      </c>
      <c r="V42" s="279">
        <f t="shared" si="39"/>
        <v>326.5625</v>
      </c>
      <c r="W42" s="279">
        <f t="shared" si="40"/>
        <v>1100</v>
      </c>
    </row>
    <row r="43" spans="1:23" ht="16" hidden="1" customHeight="1" outlineLevel="1" x14ac:dyDescent="0.2">
      <c r="A43" s="293" t="s">
        <v>34</v>
      </c>
      <c r="B43" s="294" t="s">
        <v>26</v>
      </c>
      <c r="C43" s="276">
        <f>'SatışEkibi YS-Yen. Hed - 600'!$G$31*'SatışEkibi YS-Yen. Hed - 600'!$R43*'Satış YS-Yen.Hed (Ayık) - 600'!C$2</f>
        <v>71.250000000000014</v>
      </c>
      <c r="D43" s="276">
        <f>'SatışEkibi YS-Yen. Hed - 600'!$G$31*'SatışEkibi YS-Yen. Hed - 600'!$R43*'Satış YS-Yen.Hed (Ayık) - 600'!D$2</f>
        <v>71.250000000000014</v>
      </c>
      <c r="E43" s="276">
        <f>'SatışEkibi YS-Yen. Hed - 600'!$G$31*'SatışEkibi YS-Yen. Hed - 600'!$R43*'Satış YS-Yen.Hed (Ayık) - 600'!E$2</f>
        <v>81.25</v>
      </c>
      <c r="F43" s="276">
        <f>'SatışEkibi YS-Yen. Hed - 600'!$G$31*'SatışEkibi YS-Yen. Hed - 600'!$R43*'Satış YS-Yen.Hed (Ayık) - 600'!F$2</f>
        <v>79.375</v>
      </c>
      <c r="G43" s="276">
        <f>'SatışEkibi YS-Yen. Hed - 600'!$G$31*'SatışEkibi YS-Yen. Hed - 600'!$R43*'Satış YS-Yen.Hed (Ayık) - 600'!G$2</f>
        <v>79.375</v>
      </c>
      <c r="H43" s="276">
        <f>'SatışEkibi YS-Yen. Hed - 600'!$G$31*'SatışEkibi YS-Yen. Hed - 600'!$R43*'Satış YS-Yen.Hed (Ayık) - 600'!H$2</f>
        <v>89.999999999999986</v>
      </c>
      <c r="I43" s="276">
        <f>'SatışEkibi YS-Yen. Hed - 600'!$G$31*'SatışEkibi YS-Yen. Hed - 600'!$R43*'Satış YS-Yen.Hed (Ayık) - 600'!I$2</f>
        <v>75</v>
      </c>
      <c r="J43" s="276">
        <f>'SatışEkibi YS-Yen. Hed - 600'!$G$31*'SatışEkibi YS-Yen. Hed - 600'!$R43*'Satış YS-Yen.Hed (Ayık) - 600'!J$2</f>
        <v>75.625</v>
      </c>
      <c r="K43" s="276">
        <f>'SatışEkibi YS-Yen. Hed - 600'!$G$31*'SatışEkibi YS-Yen. Hed - 600'!$R43*'Satış YS-Yen.Hed (Ayık) - 600'!K$2</f>
        <v>80</v>
      </c>
      <c r="L43" s="276">
        <f>'SatışEkibi YS-Yen. Hed - 600'!$G$31*'SatışEkibi YS-Yen. Hed - 600'!$R43*'Satış YS-Yen.Hed (Ayık) - 600'!L$2</f>
        <v>93.749999999999986</v>
      </c>
      <c r="M43" s="276">
        <f>'SatışEkibi YS-Yen. Hed - 600'!$G$31*'SatışEkibi YS-Yen. Hed - 600'!$R43*'Satış YS-Yen.Hed (Ayık) - 600'!M$2</f>
        <v>94.999999999999986</v>
      </c>
      <c r="N43" s="276">
        <f>'SatışEkibi YS-Yen. Hed - 600'!$G$31*'SatışEkibi YS-Yen. Hed - 600'!$R43*'Satış YS-Yen.Hed (Ayık) - 600'!N$2</f>
        <v>108.125</v>
      </c>
      <c r="O43" s="295">
        <f t="shared" si="34"/>
        <v>1000</v>
      </c>
      <c r="Q43" s="277" t="str">
        <f t="shared" si="33"/>
        <v>Hosting</v>
      </c>
      <c r="R43" s="278" t="str">
        <f t="shared" si="35"/>
        <v>Yeni Satış</v>
      </c>
      <c r="S43" s="279">
        <f t="shared" si="36"/>
        <v>223.75000000000003</v>
      </c>
      <c r="T43" s="279">
        <f t="shared" si="37"/>
        <v>248.75</v>
      </c>
      <c r="U43" s="279">
        <f t="shared" si="38"/>
        <v>230.625</v>
      </c>
      <c r="V43" s="279">
        <f t="shared" si="39"/>
        <v>296.875</v>
      </c>
      <c r="W43" s="279">
        <f t="shared" si="40"/>
        <v>1000</v>
      </c>
    </row>
    <row r="44" spans="1:23" ht="16" hidden="1" customHeight="1" outlineLevel="1" x14ac:dyDescent="0.2">
      <c r="A44" s="293" t="s">
        <v>34</v>
      </c>
      <c r="B44" s="294" t="s">
        <v>28</v>
      </c>
      <c r="C44" s="276">
        <f>'SatışEkibi YS-Yen. Hed - 600'!$G$31*'SatışEkibi YS-Yen. Hed - 600'!$R44*'Satış YS-Yen.Hed (Ayık) - 600'!C$2</f>
        <v>301.10250000000002</v>
      </c>
      <c r="D44" s="276">
        <f>'SatışEkibi YS-Yen. Hed - 600'!$G$31*'SatışEkibi YS-Yen. Hed - 600'!$R44*'Satış YS-Yen.Hed (Ayık) - 600'!D$2</f>
        <v>301.10250000000002</v>
      </c>
      <c r="E44" s="276">
        <f>'SatışEkibi YS-Yen. Hed - 600'!$G$31*'SatışEkibi YS-Yen. Hed - 600'!$R44*'Satış YS-Yen.Hed (Ayık) - 600'!E$2</f>
        <v>343.36250000000001</v>
      </c>
      <c r="F44" s="276">
        <f>'SatışEkibi YS-Yen. Hed - 600'!$G$31*'SatışEkibi YS-Yen. Hed - 600'!$R44*'Satış YS-Yen.Hed (Ayık) - 600'!F$2</f>
        <v>335.43875000000003</v>
      </c>
      <c r="G44" s="276">
        <f>'SatışEkibi YS-Yen. Hed - 600'!$G$31*'SatışEkibi YS-Yen. Hed - 600'!$R44*'Satış YS-Yen.Hed (Ayık) - 600'!G$2</f>
        <v>335.43875000000003</v>
      </c>
      <c r="H44" s="276">
        <f>'SatışEkibi YS-Yen. Hed - 600'!$G$31*'SatışEkibi YS-Yen. Hed - 600'!$R44*'Satış YS-Yen.Hed (Ayık) - 600'!H$2</f>
        <v>380.33999999999992</v>
      </c>
      <c r="I44" s="276">
        <f>'SatışEkibi YS-Yen. Hed - 600'!$G$31*'SatışEkibi YS-Yen. Hed - 600'!$R44*'Satış YS-Yen.Hed (Ayık) - 600'!I$2</f>
        <v>316.95</v>
      </c>
      <c r="J44" s="276">
        <f>'SatışEkibi YS-Yen. Hed - 600'!$G$31*'SatışEkibi YS-Yen. Hed - 600'!$R44*'Satış YS-Yen.Hed (Ayık) - 600'!J$2</f>
        <v>319.59125</v>
      </c>
      <c r="K44" s="276">
        <f>'SatışEkibi YS-Yen. Hed - 600'!$G$31*'SatışEkibi YS-Yen. Hed - 600'!$R44*'Satış YS-Yen.Hed (Ayık) - 600'!K$2</f>
        <v>338.08</v>
      </c>
      <c r="L44" s="276">
        <f>'SatışEkibi YS-Yen. Hed - 600'!$G$31*'SatışEkibi YS-Yen. Hed - 600'!$R44*'Satış YS-Yen.Hed (Ayık) - 600'!L$2</f>
        <v>396.18749999999994</v>
      </c>
      <c r="M44" s="276">
        <f>'SatışEkibi YS-Yen. Hed - 600'!$G$31*'SatışEkibi YS-Yen. Hed - 600'!$R44*'Satış YS-Yen.Hed (Ayık) - 600'!M$2</f>
        <v>401.46999999999997</v>
      </c>
      <c r="N44" s="276">
        <f>'SatışEkibi YS-Yen. Hed - 600'!$G$31*'SatışEkibi YS-Yen. Hed - 600'!$R44*'Satış YS-Yen.Hed (Ayık) - 600'!N$2</f>
        <v>456.93624999999997</v>
      </c>
      <c r="O44" s="295">
        <f t="shared" si="34"/>
        <v>4226</v>
      </c>
      <c r="Q44" s="277" t="str">
        <f t="shared" si="33"/>
        <v>Hosting</v>
      </c>
      <c r="R44" s="278" t="str">
        <f t="shared" si="35"/>
        <v>Yenileme</v>
      </c>
      <c r="S44" s="279">
        <f t="shared" si="36"/>
        <v>945.56750000000011</v>
      </c>
      <c r="T44" s="279">
        <f t="shared" si="37"/>
        <v>1051.2175</v>
      </c>
      <c r="U44" s="279">
        <f t="shared" si="38"/>
        <v>974.62124999999992</v>
      </c>
      <c r="V44" s="279">
        <f t="shared" si="39"/>
        <v>1254.59375</v>
      </c>
      <c r="W44" s="279">
        <f t="shared" si="40"/>
        <v>4226</v>
      </c>
    </row>
    <row r="45" spans="1:23" ht="16" hidden="1" customHeight="1" outlineLevel="1" x14ac:dyDescent="0.2">
      <c r="A45" s="293" t="s">
        <v>35</v>
      </c>
      <c r="B45" s="294" t="s">
        <v>26</v>
      </c>
      <c r="C45" s="276">
        <f>'SatışEkibi YS-Yen. Hed - 600'!$I$31*'SatışEkibi YS-Yen. Hed - 600'!$T43*'Satış YS-Yen.Hed (Ayık) - 600'!C$2</f>
        <v>213.75000000000003</v>
      </c>
      <c r="D45" s="276">
        <f>'SatışEkibi YS-Yen. Hed - 600'!$I$31*'SatışEkibi YS-Yen. Hed - 600'!$T43*'Satış YS-Yen.Hed (Ayık) - 600'!D$2</f>
        <v>213.75000000000003</v>
      </c>
      <c r="E45" s="276">
        <f>'SatışEkibi YS-Yen. Hed - 600'!$I$31*'SatışEkibi YS-Yen. Hed - 600'!$T43*'Satış YS-Yen.Hed (Ayık) - 600'!E$2</f>
        <v>243.75</v>
      </c>
      <c r="F45" s="276">
        <f>'SatışEkibi YS-Yen. Hed - 600'!$I$31*'SatışEkibi YS-Yen. Hed - 600'!$T43*'Satış YS-Yen.Hed (Ayık) - 600'!F$2</f>
        <v>238.125</v>
      </c>
      <c r="G45" s="276">
        <f>'SatışEkibi YS-Yen. Hed - 600'!$I$31*'SatışEkibi YS-Yen. Hed - 600'!$T43*'Satış YS-Yen.Hed (Ayık) - 600'!G$2</f>
        <v>238.125</v>
      </c>
      <c r="H45" s="276">
        <f>'SatışEkibi YS-Yen. Hed - 600'!$I$31*'SatışEkibi YS-Yen. Hed - 600'!$T43*'Satış YS-Yen.Hed (Ayık) - 600'!H$2</f>
        <v>269.99999999999994</v>
      </c>
      <c r="I45" s="276">
        <f>'SatışEkibi YS-Yen. Hed - 600'!$I$31*'SatışEkibi YS-Yen. Hed - 600'!$T43*'Satış YS-Yen.Hed (Ayık) - 600'!I$2</f>
        <v>225</v>
      </c>
      <c r="J45" s="276">
        <f>'SatışEkibi YS-Yen. Hed - 600'!$I$31*'SatışEkibi YS-Yen. Hed - 600'!$T43*'Satış YS-Yen.Hed (Ayık) - 600'!J$2</f>
        <v>226.875</v>
      </c>
      <c r="K45" s="276">
        <f>'SatışEkibi YS-Yen. Hed - 600'!$I$31*'SatışEkibi YS-Yen. Hed - 600'!$T43*'Satış YS-Yen.Hed (Ayık) - 600'!K$2</f>
        <v>240</v>
      </c>
      <c r="L45" s="276">
        <f>'SatışEkibi YS-Yen. Hed - 600'!$I$31*'SatışEkibi YS-Yen. Hed - 600'!$T43*'Satış YS-Yen.Hed (Ayık) - 600'!L$2</f>
        <v>281.24999999999994</v>
      </c>
      <c r="M45" s="276">
        <f>'SatışEkibi YS-Yen. Hed - 600'!$I$31*'SatışEkibi YS-Yen. Hed - 600'!$T43*'Satış YS-Yen.Hed (Ayık) - 600'!M$2</f>
        <v>284.99999999999994</v>
      </c>
      <c r="N45" s="276">
        <f>'SatışEkibi YS-Yen. Hed - 600'!$I$31*'SatışEkibi YS-Yen. Hed - 600'!$T43*'Satış YS-Yen.Hed (Ayık) - 600'!N$2</f>
        <v>324.375</v>
      </c>
      <c r="O45" s="295">
        <f t="shared" si="34"/>
        <v>3000</v>
      </c>
      <c r="Q45" s="277" t="str">
        <f t="shared" si="33"/>
        <v>BFH</v>
      </c>
      <c r="R45" s="278" t="str">
        <f t="shared" si="35"/>
        <v>Yeni Satış</v>
      </c>
      <c r="S45" s="279">
        <f t="shared" si="36"/>
        <v>671.25</v>
      </c>
      <c r="T45" s="279">
        <f t="shared" si="37"/>
        <v>746.25</v>
      </c>
      <c r="U45" s="279">
        <f t="shared" si="38"/>
        <v>691.875</v>
      </c>
      <c r="V45" s="279">
        <f t="shared" si="39"/>
        <v>890.62499999999989</v>
      </c>
      <c r="W45" s="279">
        <f t="shared" si="40"/>
        <v>3000</v>
      </c>
    </row>
    <row r="46" spans="1:23" ht="16" customHeight="1" collapsed="1" x14ac:dyDescent="0.2">
      <c r="A46" s="283" t="s">
        <v>30</v>
      </c>
      <c r="B46" s="284" t="s">
        <v>26</v>
      </c>
      <c r="C46" s="282">
        <f>SUMIF($B$34:$B$45,"Yeni Satış",C34:C45)</f>
        <v>4121.6135700000013</v>
      </c>
      <c r="D46" s="282">
        <f t="shared" ref="D46:N46" si="41">SUMIF($B$34:$B$45,"Yeni Satış",D34:D45)</f>
        <v>4121.6135700000013</v>
      </c>
      <c r="E46" s="282">
        <f t="shared" si="41"/>
        <v>4700.0856500000009</v>
      </c>
      <c r="F46" s="282">
        <f t="shared" si="41"/>
        <v>4591.6221350000005</v>
      </c>
      <c r="G46" s="282">
        <f t="shared" si="41"/>
        <v>4591.6221350000005</v>
      </c>
      <c r="H46" s="282">
        <f t="shared" si="41"/>
        <v>5206.2487199999996</v>
      </c>
      <c r="I46" s="282">
        <f t="shared" si="41"/>
        <v>4338.5406000000003</v>
      </c>
      <c r="J46" s="282">
        <f t="shared" si="41"/>
        <v>4374.6951049999998</v>
      </c>
      <c r="K46" s="282">
        <f t="shared" si="41"/>
        <v>4627.77664</v>
      </c>
      <c r="L46" s="282">
        <f t="shared" si="41"/>
        <v>5423.1757499999994</v>
      </c>
      <c r="M46" s="282">
        <f t="shared" si="41"/>
        <v>5495.4847599999994</v>
      </c>
      <c r="N46" s="282">
        <f t="shared" si="41"/>
        <v>6254.7293650000001</v>
      </c>
      <c r="O46" s="296">
        <f>SUMIF(B34:B45,"Yeni Satış",O34:O45)</f>
        <v>57847.207999999999</v>
      </c>
      <c r="Q46" s="283" t="s">
        <v>30</v>
      </c>
      <c r="R46" s="284" t="str">
        <f t="shared" si="35"/>
        <v>Yeni Satış</v>
      </c>
      <c r="S46" s="285">
        <f>SUMIF(R34:R45,"Yeni Satış",S34:S45)</f>
        <v>12943.312790000004</v>
      </c>
      <c r="T46" s="285">
        <f>SUMIF(R34:R45,"Yeni Satış",T34:T45)</f>
        <v>14389.492990000001</v>
      </c>
      <c r="U46" s="285">
        <f>SUMIF(R34:R45,"Yeni Satış",U34:U45)</f>
        <v>13341.012344999999</v>
      </c>
      <c r="V46" s="285">
        <f>SUMIF(R34:R45,"Yeni Satış",V34:V45)</f>
        <v>17173.389875000001</v>
      </c>
      <c r="W46" s="285">
        <f t="shared" si="40"/>
        <v>57847.208000000006</v>
      </c>
    </row>
    <row r="47" spans="1:23" ht="16" customHeight="1" x14ac:dyDescent="0.2">
      <c r="A47" s="283" t="s">
        <v>30</v>
      </c>
      <c r="B47" s="284" t="s">
        <v>28</v>
      </c>
      <c r="C47" s="282">
        <f>SUMIF($B$34:$B$45,"Yenileme",C34:C46)</f>
        <v>2588.5817425312503</v>
      </c>
      <c r="D47" s="282">
        <f t="shared" ref="D47:N47" si="42">SUMIF($B$34:$B$45,"Yenileme",D34:D46)</f>
        <v>2588.5817425312503</v>
      </c>
      <c r="E47" s="282">
        <f t="shared" si="42"/>
        <v>2951.8914607812499</v>
      </c>
      <c r="F47" s="282">
        <f t="shared" si="42"/>
        <v>2883.7708886093751</v>
      </c>
      <c r="G47" s="282">
        <f t="shared" si="42"/>
        <v>2883.7708886093751</v>
      </c>
      <c r="H47" s="282">
        <f t="shared" si="42"/>
        <v>3269.7874642499992</v>
      </c>
      <c r="I47" s="282">
        <f t="shared" si="42"/>
        <v>2724.8228868749998</v>
      </c>
      <c r="J47" s="282">
        <f t="shared" si="42"/>
        <v>2747.5297442656247</v>
      </c>
      <c r="K47" s="282">
        <f t="shared" si="42"/>
        <v>2906.4777459999996</v>
      </c>
      <c r="L47" s="282">
        <f t="shared" si="42"/>
        <v>3406.0286085937496</v>
      </c>
      <c r="M47" s="282">
        <f t="shared" si="42"/>
        <v>3451.4423233749994</v>
      </c>
      <c r="N47" s="282">
        <f t="shared" si="42"/>
        <v>3928.286328578125</v>
      </c>
      <c r="O47" s="296">
        <f>SUMIF(B34:B45,"Yenileme",O34:O45)</f>
        <v>36330.971825000001</v>
      </c>
      <c r="Q47" s="283" t="s">
        <v>30</v>
      </c>
      <c r="R47" s="284" t="str">
        <f t="shared" si="35"/>
        <v>Yenileme</v>
      </c>
      <c r="S47" s="285">
        <f>SUMIF(R34:R45,"Yenileme",S34:S45)</f>
        <v>8129.0549458437499</v>
      </c>
      <c r="T47" s="285">
        <f>SUMIF(R34:R45,"Yenileme",T34:T45)</f>
        <v>9037.3292414687494</v>
      </c>
      <c r="U47" s="285">
        <f>SUMIF(R34:R45,"Yenileme",U34:U45)</f>
        <v>8378.8303771406245</v>
      </c>
      <c r="V47" s="285">
        <f>SUMIF(R34:R45,"Yenileme",V34:V45)</f>
        <v>10785.757260546872</v>
      </c>
      <c r="W47" s="285">
        <f t="shared" si="40"/>
        <v>36330.971824999993</v>
      </c>
    </row>
    <row r="48" spans="1:23" ht="16" customHeight="1" x14ac:dyDescent="0.2">
      <c r="A48" s="297" t="s">
        <v>38</v>
      </c>
      <c r="B48" s="298" t="s">
        <v>144</v>
      </c>
      <c r="C48" s="288">
        <f>SUM(C46:C47)</f>
        <v>6710.1953125312521</v>
      </c>
      <c r="D48" s="288">
        <f t="shared" ref="D48:N48" si="43">SUM(D46:D47)</f>
        <v>6710.1953125312521</v>
      </c>
      <c r="E48" s="288">
        <f t="shared" si="43"/>
        <v>7651.9771107812503</v>
      </c>
      <c r="F48" s="288">
        <f t="shared" si="43"/>
        <v>7475.3930236093756</v>
      </c>
      <c r="G48" s="288">
        <f t="shared" si="43"/>
        <v>7475.3930236093756</v>
      </c>
      <c r="H48" s="288">
        <f t="shared" si="43"/>
        <v>8476.0361842499988</v>
      </c>
      <c r="I48" s="288">
        <f t="shared" si="43"/>
        <v>7063.3634868749996</v>
      </c>
      <c r="J48" s="288">
        <f t="shared" si="43"/>
        <v>7122.2248492656245</v>
      </c>
      <c r="K48" s="288">
        <f t="shared" si="43"/>
        <v>7534.2543859999996</v>
      </c>
      <c r="L48" s="288">
        <f t="shared" si="43"/>
        <v>8829.2043585937499</v>
      </c>
      <c r="M48" s="288">
        <f t="shared" si="43"/>
        <v>8946.9270833749979</v>
      </c>
      <c r="N48" s="288">
        <f t="shared" si="43"/>
        <v>10183.015693578125</v>
      </c>
      <c r="O48" s="303">
        <f>O46+O47</f>
        <v>94178.179824999999</v>
      </c>
      <c r="Q48" s="297" t="s">
        <v>38</v>
      </c>
      <c r="R48" s="298" t="str">
        <f t="shared" si="35"/>
        <v>YS + Yen.</v>
      </c>
      <c r="S48" s="302">
        <f>S46+S47</f>
        <v>21072.367735843753</v>
      </c>
      <c r="T48" s="302">
        <f>T46+T47</f>
        <v>23426.822231468752</v>
      </c>
      <c r="U48" s="302">
        <f>U46+U47</f>
        <v>21719.842722140624</v>
      </c>
      <c r="V48" s="302">
        <f>V46+V47</f>
        <v>27959.147135546875</v>
      </c>
      <c r="W48" s="291">
        <f>W46+W47</f>
        <v>94178.179824999999</v>
      </c>
    </row>
    <row r="49" spans="1:23" ht="16" customHeight="1" x14ac:dyDescent="0.2"/>
    <row r="50" spans="1:23" x14ac:dyDescent="0.2">
      <c r="A50" s="264" t="s">
        <v>171</v>
      </c>
      <c r="B50" s="264"/>
      <c r="C50" s="266" t="s">
        <v>131</v>
      </c>
      <c r="D50" s="266" t="s">
        <v>132</v>
      </c>
      <c r="E50" s="266" t="s">
        <v>133</v>
      </c>
      <c r="F50" s="266" t="s">
        <v>134</v>
      </c>
      <c r="G50" s="266" t="s">
        <v>135</v>
      </c>
      <c r="H50" s="266" t="s">
        <v>136</v>
      </c>
      <c r="I50" s="266" t="s">
        <v>137</v>
      </c>
      <c r="J50" s="266" t="s">
        <v>138</v>
      </c>
      <c r="K50" s="266" t="s">
        <v>139</v>
      </c>
      <c r="L50" s="266" t="s">
        <v>140</v>
      </c>
      <c r="M50" s="266" t="s">
        <v>141</v>
      </c>
      <c r="N50" s="266" t="s">
        <v>142</v>
      </c>
      <c r="O50" s="266" t="s">
        <v>143</v>
      </c>
      <c r="Q50" s="301" t="str">
        <f t="shared" ref="Q50:Q59" si="44">A50</f>
        <v>Özge Güler - (Nigar Uygun)  —  Direkt Satış</v>
      </c>
      <c r="R50" s="301"/>
      <c r="S50" s="266" t="s">
        <v>154</v>
      </c>
      <c r="T50" s="266" t="s">
        <v>155</v>
      </c>
      <c r="U50" s="266" t="s">
        <v>156</v>
      </c>
      <c r="V50" s="266" t="s">
        <v>157</v>
      </c>
      <c r="W50" s="266" t="s">
        <v>143</v>
      </c>
    </row>
    <row r="51" spans="1:23" ht="16" hidden="1" customHeight="1" outlineLevel="1" x14ac:dyDescent="0.2">
      <c r="A51" s="293" t="s">
        <v>25</v>
      </c>
      <c r="B51" s="294" t="s">
        <v>26</v>
      </c>
      <c r="C51" s="276">
        <f>'SatışEkibi YS-Yen. Hed - 600'!$B$31*'SatışEkibi YS-Yen. Hed - 600'!$M46*'Satış YS-Yen.Hed (Ayık) - 600'!C$2</f>
        <v>356.25000000000006</v>
      </c>
      <c r="D51" s="276">
        <f>'SatışEkibi YS-Yen. Hed - 600'!$B$31*'SatışEkibi YS-Yen. Hed - 600'!$M46*'Satış YS-Yen.Hed (Ayık) - 600'!D$2</f>
        <v>356.25000000000006</v>
      </c>
      <c r="E51" s="276">
        <f>'SatışEkibi YS-Yen. Hed - 600'!$B$31*'SatışEkibi YS-Yen. Hed - 600'!$M46*'Satış YS-Yen.Hed (Ayık) - 600'!E$2</f>
        <v>406.25</v>
      </c>
      <c r="F51" s="276">
        <f>'SatışEkibi YS-Yen. Hed - 600'!$B$31*'SatışEkibi YS-Yen. Hed - 600'!$M46*'Satış YS-Yen.Hed (Ayık) - 600'!F$2</f>
        <v>396.875</v>
      </c>
      <c r="G51" s="276">
        <f>'SatışEkibi YS-Yen. Hed - 600'!$B$31*'SatışEkibi YS-Yen. Hed - 600'!$M46*'Satış YS-Yen.Hed (Ayık) - 600'!G$2</f>
        <v>396.875</v>
      </c>
      <c r="H51" s="276">
        <f>'SatışEkibi YS-Yen. Hed - 600'!$B$31*'SatışEkibi YS-Yen. Hed - 600'!$M46*'Satış YS-Yen.Hed (Ayık) - 600'!H$2</f>
        <v>449.99999999999989</v>
      </c>
      <c r="I51" s="276">
        <f>'SatışEkibi YS-Yen. Hed - 600'!$B$31*'SatışEkibi YS-Yen. Hed - 600'!$M46*'Satış YS-Yen.Hed (Ayık) - 600'!I$2</f>
        <v>375</v>
      </c>
      <c r="J51" s="276">
        <f>'SatışEkibi YS-Yen. Hed - 600'!$B$31*'SatışEkibi YS-Yen. Hed - 600'!$M46*'Satış YS-Yen.Hed (Ayık) - 600'!J$2</f>
        <v>378.125</v>
      </c>
      <c r="K51" s="276">
        <f>'SatışEkibi YS-Yen. Hed - 600'!$B$31*'SatışEkibi YS-Yen. Hed - 600'!$M46*'Satış YS-Yen.Hed (Ayık) - 600'!K$2</f>
        <v>400</v>
      </c>
      <c r="L51" s="276">
        <f>'SatışEkibi YS-Yen. Hed - 600'!$B$31*'SatışEkibi YS-Yen. Hed - 600'!$M46*'Satış YS-Yen.Hed (Ayık) - 600'!L$2</f>
        <v>468.74999999999994</v>
      </c>
      <c r="M51" s="276">
        <f>'SatışEkibi YS-Yen. Hed - 600'!$B$31*'SatışEkibi YS-Yen. Hed - 600'!$M46*'Satış YS-Yen.Hed (Ayık) - 600'!M$2</f>
        <v>474.99999999999994</v>
      </c>
      <c r="N51" s="276">
        <f>'SatışEkibi YS-Yen. Hed - 600'!$B$31*'SatışEkibi YS-Yen. Hed - 600'!$M46*'Satış YS-Yen.Hed (Ayık) - 600'!N$2</f>
        <v>540.625</v>
      </c>
      <c r="O51" s="295">
        <f t="shared" ref="O51:O59" si="45">SUM(C51:N51)</f>
        <v>5000</v>
      </c>
      <c r="Q51" s="277" t="str">
        <f t="shared" si="44"/>
        <v>Enroute</v>
      </c>
      <c r="R51" s="278" t="str">
        <f t="shared" ref="R51:R62" si="46">B51</f>
        <v>Yeni Satış</v>
      </c>
      <c r="S51" s="279">
        <f t="shared" ref="S51:S59" si="47">SUM(C51:E51)</f>
        <v>1118.75</v>
      </c>
      <c r="T51" s="279">
        <f t="shared" ref="T51:T59" si="48">SUM(F51:H51)</f>
        <v>1243.75</v>
      </c>
      <c r="U51" s="279">
        <f t="shared" ref="U51:U59" si="49">SUM(I51:K51)</f>
        <v>1153.125</v>
      </c>
      <c r="V51" s="279">
        <f t="shared" ref="V51:V59" si="50">SUM(L51:N51)</f>
        <v>1484.375</v>
      </c>
      <c r="W51" s="279">
        <f t="shared" ref="W51:W61" si="51">SUM(S51:V51)</f>
        <v>5000</v>
      </c>
    </row>
    <row r="52" spans="1:23" ht="16" hidden="1" customHeight="1" outlineLevel="1" x14ac:dyDescent="0.2">
      <c r="A52" s="293" t="s">
        <v>25</v>
      </c>
      <c r="B52" s="294" t="s">
        <v>28</v>
      </c>
      <c r="C52" s="276">
        <f>'SatışEkibi YS-Yen. Hed - 600'!$B$31*'SatışEkibi YS-Yen. Hed - 600'!$M47*'Satış YS-Yen.Hed (Ayık) - 600'!C$2</f>
        <v>623.43750000000011</v>
      </c>
      <c r="D52" s="276">
        <f>'SatışEkibi YS-Yen. Hed - 600'!$B$31*'SatışEkibi YS-Yen. Hed - 600'!$M47*'Satış YS-Yen.Hed (Ayık) - 600'!D$2</f>
        <v>623.43750000000011</v>
      </c>
      <c r="E52" s="276">
        <f>'SatışEkibi YS-Yen. Hed - 600'!$B$31*'SatışEkibi YS-Yen. Hed - 600'!$M47*'Satış YS-Yen.Hed (Ayık) - 600'!E$2</f>
        <v>710.9375</v>
      </c>
      <c r="F52" s="276">
        <f>'SatışEkibi YS-Yen. Hed - 600'!$B$31*'SatışEkibi YS-Yen. Hed - 600'!$M47*'Satış YS-Yen.Hed (Ayık) - 600'!F$2</f>
        <v>694.53125</v>
      </c>
      <c r="G52" s="276">
        <f>'SatışEkibi YS-Yen. Hed - 600'!$B$31*'SatışEkibi YS-Yen. Hed - 600'!$M47*'Satış YS-Yen.Hed (Ayık) - 600'!G$2</f>
        <v>694.53125</v>
      </c>
      <c r="H52" s="276">
        <f>'SatışEkibi YS-Yen. Hed - 600'!$B$31*'SatışEkibi YS-Yen. Hed - 600'!$M47*'Satış YS-Yen.Hed (Ayık) - 600'!H$2</f>
        <v>787.49999999999989</v>
      </c>
      <c r="I52" s="276">
        <f>'SatışEkibi YS-Yen. Hed - 600'!$B$31*'SatışEkibi YS-Yen. Hed - 600'!$M47*'Satış YS-Yen.Hed (Ayık) - 600'!I$2</f>
        <v>656.25</v>
      </c>
      <c r="J52" s="276">
        <f>'SatışEkibi YS-Yen. Hed - 600'!$B$31*'SatışEkibi YS-Yen. Hed - 600'!$M47*'Satış YS-Yen.Hed (Ayık) - 600'!J$2</f>
        <v>661.71875</v>
      </c>
      <c r="K52" s="276">
        <f>'SatışEkibi YS-Yen. Hed - 600'!$B$31*'SatışEkibi YS-Yen. Hed - 600'!$M47*'Satış YS-Yen.Hed (Ayık) - 600'!K$2</f>
        <v>700</v>
      </c>
      <c r="L52" s="276">
        <f>'SatışEkibi YS-Yen. Hed - 600'!$B$31*'SatışEkibi YS-Yen. Hed - 600'!$M47*'Satış YS-Yen.Hed (Ayık) - 600'!L$2</f>
        <v>820.31249999999989</v>
      </c>
      <c r="M52" s="276">
        <f>'SatışEkibi YS-Yen. Hed - 600'!$B$31*'SatışEkibi YS-Yen. Hed - 600'!$M47*'Satış YS-Yen.Hed (Ayık) - 600'!M$2</f>
        <v>831.24999999999989</v>
      </c>
      <c r="N52" s="276">
        <f>'SatışEkibi YS-Yen. Hed - 600'!$B$31*'SatışEkibi YS-Yen. Hed - 600'!$M47*'Satış YS-Yen.Hed (Ayık) - 600'!N$2</f>
        <v>946.09375</v>
      </c>
      <c r="O52" s="295">
        <f t="shared" si="45"/>
        <v>8750</v>
      </c>
      <c r="Q52" s="277" t="str">
        <f t="shared" si="44"/>
        <v>Enroute</v>
      </c>
      <c r="R52" s="278" t="str">
        <f t="shared" si="46"/>
        <v>Yenileme</v>
      </c>
      <c r="S52" s="279">
        <f t="shared" si="47"/>
        <v>1957.8125000000002</v>
      </c>
      <c r="T52" s="279">
        <f t="shared" si="48"/>
        <v>2176.5625</v>
      </c>
      <c r="U52" s="279">
        <f t="shared" si="49"/>
        <v>2017.96875</v>
      </c>
      <c r="V52" s="279">
        <f t="shared" si="50"/>
        <v>2597.65625</v>
      </c>
      <c r="W52" s="279">
        <f t="shared" si="51"/>
        <v>8750</v>
      </c>
    </row>
    <row r="53" spans="1:23" ht="16" hidden="1" customHeight="1" outlineLevel="1" x14ac:dyDescent="0.2">
      <c r="A53" s="293" t="s">
        <v>29</v>
      </c>
      <c r="B53" s="294" t="s">
        <v>26</v>
      </c>
      <c r="C53" s="276">
        <f>'SatışEkibi YS-Yen. Hed - 600'!$C$31*'SatışEkibi YS-Yen. Hed - 600'!$N46*'Satış YS-Yen.Hed (Ayık) - 600'!C$2</f>
        <v>224.58</v>
      </c>
      <c r="D53" s="276">
        <f>'SatışEkibi YS-Yen. Hed - 600'!$C$31*'SatışEkibi YS-Yen. Hed - 600'!$N46*'Satış YS-Yen.Hed (Ayık) - 600'!D$2</f>
        <v>224.58</v>
      </c>
      <c r="E53" s="276">
        <f>'SatışEkibi YS-Yen. Hed - 600'!$C$31*'SatışEkibi YS-Yen. Hed - 600'!$N46*'Satış YS-Yen.Hed (Ayık) - 600'!E$2</f>
        <v>256.10000000000002</v>
      </c>
      <c r="F53" s="276">
        <f>'SatışEkibi YS-Yen. Hed - 600'!$C$31*'SatışEkibi YS-Yen. Hed - 600'!$N46*'Satış YS-Yen.Hed (Ayık) - 600'!F$2</f>
        <v>250.19</v>
      </c>
      <c r="G53" s="276">
        <f>'SatışEkibi YS-Yen. Hed - 600'!$C$31*'SatışEkibi YS-Yen. Hed - 600'!$N46*'Satış YS-Yen.Hed (Ayık) - 600'!G$2</f>
        <v>250.19</v>
      </c>
      <c r="H53" s="276">
        <f>'SatışEkibi YS-Yen. Hed - 600'!$C$31*'SatışEkibi YS-Yen. Hed - 600'!$N46*'Satış YS-Yen.Hed (Ayık) - 600'!H$2</f>
        <v>283.67999999999995</v>
      </c>
      <c r="I53" s="276">
        <f>'SatışEkibi YS-Yen. Hed - 600'!$C$31*'SatışEkibi YS-Yen. Hed - 600'!$N46*'Satış YS-Yen.Hed (Ayık) - 600'!I$2</f>
        <v>236.39999999999998</v>
      </c>
      <c r="J53" s="276">
        <f>'SatışEkibi YS-Yen. Hed - 600'!$C$31*'SatışEkibi YS-Yen. Hed - 600'!$N46*'Satış YS-Yen.Hed (Ayık) - 600'!J$2</f>
        <v>238.37</v>
      </c>
      <c r="K53" s="276">
        <f>'SatışEkibi YS-Yen. Hed - 600'!$C$31*'SatışEkibi YS-Yen. Hed - 600'!$N46*'Satış YS-Yen.Hed (Ayık) - 600'!K$2</f>
        <v>252.16</v>
      </c>
      <c r="L53" s="276">
        <f>'SatışEkibi YS-Yen. Hed - 600'!$C$31*'SatışEkibi YS-Yen. Hed - 600'!$N46*'Satış YS-Yen.Hed (Ayık) - 600'!L$2</f>
        <v>295.49999999999994</v>
      </c>
      <c r="M53" s="276">
        <f>'SatışEkibi YS-Yen. Hed - 600'!$C$31*'SatışEkibi YS-Yen. Hed - 600'!$N46*'Satış YS-Yen.Hed (Ayık) - 600'!M$2</f>
        <v>299.43999999999994</v>
      </c>
      <c r="N53" s="276">
        <f>'SatışEkibi YS-Yen. Hed - 600'!$C$31*'SatışEkibi YS-Yen. Hed - 600'!$N46*'Satış YS-Yen.Hed (Ayık) - 600'!N$2</f>
        <v>340.81</v>
      </c>
      <c r="O53" s="295">
        <f t="shared" si="45"/>
        <v>3152</v>
      </c>
      <c r="Q53" s="277" t="str">
        <f t="shared" si="44"/>
        <v>Stokbar</v>
      </c>
      <c r="R53" s="278" t="str">
        <f t="shared" si="46"/>
        <v>Yeni Satış</v>
      </c>
      <c r="S53" s="279">
        <f t="shared" si="47"/>
        <v>705.26</v>
      </c>
      <c r="T53" s="279">
        <f t="shared" si="48"/>
        <v>784.06</v>
      </c>
      <c r="U53" s="279">
        <f t="shared" si="49"/>
        <v>726.93</v>
      </c>
      <c r="V53" s="279">
        <f t="shared" si="50"/>
        <v>935.74999999999977</v>
      </c>
      <c r="W53" s="279">
        <f t="shared" si="51"/>
        <v>3152</v>
      </c>
    </row>
    <row r="54" spans="1:23" ht="16" hidden="1" customHeight="1" outlineLevel="1" x14ac:dyDescent="0.2">
      <c r="A54" s="293" t="s">
        <v>29</v>
      </c>
      <c r="B54" s="294" t="s">
        <v>28</v>
      </c>
      <c r="C54" s="276">
        <f>'SatışEkibi YS-Yen. Hed - 600'!$C$31*'SatışEkibi YS-Yen. Hed - 600'!$N47*'Satış YS-Yen.Hed (Ayık) - 600'!C$2</f>
        <v>128.96250000000001</v>
      </c>
      <c r="D54" s="276">
        <f>'SatışEkibi YS-Yen. Hed - 600'!$C$31*'SatışEkibi YS-Yen. Hed - 600'!$N47*'Satış YS-Yen.Hed (Ayık) - 600'!D$2</f>
        <v>128.96250000000001</v>
      </c>
      <c r="E54" s="276">
        <f>'SatışEkibi YS-Yen. Hed - 600'!$C$31*'SatışEkibi YS-Yen. Hed - 600'!$N47*'Satış YS-Yen.Hed (Ayık) - 600'!E$2</f>
        <v>147.0625</v>
      </c>
      <c r="F54" s="276">
        <f>'SatışEkibi YS-Yen. Hed - 600'!$C$31*'SatışEkibi YS-Yen. Hed - 600'!$N47*'Satış YS-Yen.Hed (Ayık) - 600'!F$2</f>
        <v>143.66874999999999</v>
      </c>
      <c r="G54" s="276">
        <f>'SatışEkibi YS-Yen. Hed - 600'!$C$31*'SatışEkibi YS-Yen. Hed - 600'!$N47*'Satış YS-Yen.Hed (Ayık) - 600'!G$2</f>
        <v>143.66874999999999</v>
      </c>
      <c r="H54" s="276">
        <f>'SatışEkibi YS-Yen. Hed - 600'!$C$31*'SatışEkibi YS-Yen. Hed - 600'!$N47*'Satış YS-Yen.Hed (Ayık) - 600'!H$2</f>
        <v>162.89999999999998</v>
      </c>
      <c r="I54" s="276">
        <f>'SatışEkibi YS-Yen. Hed - 600'!$C$31*'SatışEkibi YS-Yen. Hed - 600'!$N47*'Satış YS-Yen.Hed (Ayık) - 600'!I$2</f>
        <v>135.75</v>
      </c>
      <c r="J54" s="276">
        <f>'SatışEkibi YS-Yen. Hed - 600'!$C$31*'SatışEkibi YS-Yen. Hed - 600'!$N47*'Satış YS-Yen.Hed (Ayık) - 600'!J$2</f>
        <v>136.88124999999999</v>
      </c>
      <c r="K54" s="276">
        <f>'SatışEkibi YS-Yen. Hed - 600'!$C$31*'SatışEkibi YS-Yen. Hed - 600'!$N47*'Satış YS-Yen.Hed (Ayık) - 600'!K$2</f>
        <v>144.80000000000001</v>
      </c>
      <c r="L54" s="276">
        <f>'SatışEkibi YS-Yen. Hed - 600'!$C$31*'SatışEkibi YS-Yen. Hed - 600'!$N47*'Satış YS-Yen.Hed (Ayık) - 600'!L$2</f>
        <v>169.68749999999997</v>
      </c>
      <c r="M54" s="276">
        <f>'SatışEkibi YS-Yen. Hed - 600'!$C$31*'SatışEkibi YS-Yen. Hed - 600'!$N47*'Satış YS-Yen.Hed (Ayık) - 600'!M$2</f>
        <v>171.95</v>
      </c>
      <c r="N54" s="276">
        <f>'SatışEkibi YS-Yen. Hed - 600'!$C$31*'SatışEkibi YS-Yen. Hed - 600'!$N47*'Satış YS-Yen.Hed (Ayık) - 600'!N$2</f>
        <v>195.70625000000001</v>
      </c>
      <c r="O54" s="295">
        <f t="shared" si="45"/>
        <v>1810</v>
      </c>
      <c r="Q54" s="277" t="str">
        <f t="shared" si="44"/>
        <v>Stokbar</v>
      </c>
      <c r="R54" s="278" t="str">
        <f t="shared" si="46"/>
        <v>Yenileme</v>
      </c>
      <c r="S54" s="279">
        <f t="shared" si="47"/>
        <v>404.98750000000001</v>
      </c>
      <c r="T54" s="279">
        <f t="shared" si="48"/>
        <v>450.23749999999995</v>
      </c>
      <c r="U54" s="279">
        <f t="shared" si="49"/>
        <v>417.43125000000003</v>
      </c>
      <c r="V54" s="279">
        <f t="shared" si="50"/>
        <v>537.34375</v>
      </c>
      <c r="W54" s="279">
        <f t="shared" si="51"/>
        <v>1810</v>
      </c>
    </row>
    <row r="55" spans="1:23" ht="16" hidden="1" customHeight="1" outlineLevel="1" x14ac:dyDescent="0.2">
      <c r="A55" s="293" t="s">
        <v>27</v>
      </c>
      <c r="B55" s="294" t="s">
        <v>26</v>
      </c>
      <c r="C55" s="276">
        <f>'SatışEkibi YS-Yen. Hed - 600'!$D$31*'SatışEkibi YS-Yen. Hed - 600'!$O46*'Satış YS-Yen.Hed (Ayık) - 600'!C$2</f>
        <v>267.89999999999998</v>
      </c>
      <c r="D55" s="276">
        <f>'SatışEkibi YS-Yen. Hed - 600'!$D$31*'SatışEkibi YS-Yen. Hed - 600'!$O46*'Satış YS-Yen.Hed (Ayık) - 600'!D$2</f>
        <v>267.89999999999998</v>
      </c>
      <c r="E55" s="276">
        <f>'SatışEkibi YS-Yen. Hed - 600'!$D$31*'SatışEkibi YS-Yen. Hed - 600'!$O46*'Satış YS-Yen.Hed (Ayık) - 600'!E$2</f>
        <v>305.5</v>
      </c>
      <c r="F55" s="276">
        <f>'SatışEkibi YS-Yen. Hed - 600'!$D$31*'SatışEkibi YS-Yen. Hed - 600'!$O46*'Satış YS-Yen.Hed (Ayık) - 600'!F$2</f>
        <v>298.45</v>
      </c>
      <c r="G55" s="276">
        <f>'SatışEkibi YS-Yen. Hed - 600'!$D$31*'SatışEkibi YS-Yen. Hed - 600'!$O46*'Satış YS-Yen.Hed (Ayık) - 600'!G$2</f>
        <v>298.45</v>
      </c>
      <c r="H55" s="276">
        <f>'SatışEkibi YS-Yen. Hed - 600'!$D$31*'SatışEkibi YS-Yen. Hed - 600'!$O46*'Satış YS-Yen.Hed (Ayık) - 600'!H$2</f>
        <v>338.39999999999992</v>
      </c>
      <c r="I55" s="276">
        <f>'SatışEkibi YS-Yen. Hed - 600'!$D$31*'SatışEkibi YS-Yen. Hed - 600'!$O46*'Satış YS-Yen.Hed (Ayık) - 600'!I$2</f>
        <v>281.99999999999994</v>
      </c>
      <c r="J55" s="276">
        <f>'SatışEkibi YS-Yen. Hed - 600'!$D$31*'SatışEkibi YS-Yen. Hed - 600'!$O46*'Satış YS-Yen.Hed (Ayık) - 600'!J$2</f>
        <v>284.34999999999997</v>
      </c>
      <c r="K55" s="276">
        <f>'SatışEkibi YS-Yen. Hed - 600'!$D$31*'SatışEkibi YS-Yen. Hed - 600'!$O46*'Satış YS-Yen.Hed (Ayık) - 600'!K$2</f>
        <v>300.79999999999995</v>
      </c>
      <c r="L55" s="276">
        <f>'SatışEkibi YS-Yen. Hed - 600'!$D$31*'SatışEkibi YS-Yen. Hed - 600'!$O46*'Satış YS-Yen.Hed (Ayık) - 600'!L$2</f>
        <v>352.49999999999989</v>
      </c>
      <c r="M55" s="276">
        <f>'SatışEkibi YS-Yen. Hed - 600'!$D$31*'SatışEkibi YS-Yen. Hed - 600'!$O46*'Satış YS-Yen.Hed (Ayık) - 600'!M$2</f>
        <v>357.19999999999993</v>
      </c>
      <c r="N55" s="276">
        <f>'SatışEkibi YS-Yen. Hed - 600'!$D$31*'SatışEkibi YS-Yen. Hed - 600'!$O46*'Satış YS-Yen.Hed (Ayık) - 600'!N$2</f>
        <v>406.54999999999995</v>
      </c>
      <c r="O55" s="295">
        <f t="shared" si="45"/>
        <v>3760</v>
      </c>
      <c r="Q55" s="277" t="str">
        <f t="shared" si="44"/>
        <v>Quest</v>
      </c>
      <c r="R55" s="278" t="str">
        <f t="shared" si="46"/>
        <v>Yeni Satış</v>
      </c>
      <c r="S55" s="279">
        <f t="shared" si="47"/>
        <v>841.3</v>
      </c>
      <c r="T55" s="279">
        <f t="shared" si="48"/>
        <v>935.3</v>
      </c>
      <c r="U55" s="279">
        <f t="shared" si="49"/>
        <v>867.14999999999986</v>
      </c>
      <c r="V55" s="279">
        <f t="shared" si="50"/>
        <v>1116.2499999999998</v>
      </c>
      <c r="W55" s="279">
        <f t="shared" si="51"/>
        <v>3760</v>
      </c>
    </row>
    <row r="56" spans="1:23" ht="16" hidden="1" customHeight="1" outlineLevel="1" x14ac:dyDescent="0.2">
      <c r="A56" s="293" t="s">
        <v>27</v>
      </c>
      <c r="B56" s="294" t="s">
        <v>28</v>
      </c>
      <c r="C56" s="276">
        <f>'SatışEkibi YS-Yen. Hed - 600'!$D$31*'SatışEkibi YS-Yen. Hed - 600'!$O47*'Satış YS-Yen.Hed (Ayık) - 600'!C$2</f>
        <v>78.375000000000014</v>
      </c>
      <c r="D56" s="276">
        <f>'SatışEkibi YS-Yen. Hed - 600'!$D$31*'SatışEkibi YS-Yen. Hed - 600'!$O47*'Satış YS-Yen.Hed (Ayık) - 600'!D$2</f>
        <v>78.375000000000014</v>
      </c>
      <c r="E56" s="276">
        <f>'SatışEkibi YS-Yen. Hed - 600'!$D$31*'SatışEkibi YS-Yen. Hed - 600'!$O47*'Satış YS-Yen.Hed (Ayık) - 600'!E$2</f>
        <v>89.375</v>
      </c>
      <c r="F56" s="276">
        <f>'SatışEkibi YS-Yen. Hed - 600'!$D$31*'SatışEkibi YS-Yen. Hed - 600'!$O47*'Satış YS-Yen.Hed (Ayık) - 600'!F$2</f>
        <v>87.3125</v>
      </c>
      <c r="G56" s="276">
        <f>'SatışEkibi YS-Yen. Hed - 600'!$D$31*'SatışEkibi YS-Yen. Hed - 600'!$O47*'Satış YS-Yen.Hed (Ayık) - 600'!G$2</f>
        <v>87.3125</v>
      </c>
      <c r="H56" s="276">
        <f>'SatışEkibi YS-Yen. Hed - 600'!$D$31*'SatışEkibi YS-Yen. Hed - 600'!$O47*'Satış YS-Yen.Hed (Ayık) - 600'!H$2</f>
        <v>98.999999999999986</v>
      </c>
      <c r="I56" s="276">
        <f>'SatışEkibi YS-Yen. Hed - 600'!$D$31*'SatışEkibi YS-Yen. Hed - 600'!$O47*'Satış YS-Yen.Hed (Ayık) - 600'!I$2</f>
        <v>82.5</v>
      </c>
      <c r="J56" s="276">
        <f>'SatışEkibi YS-Yen. Hed - 600'!$D$31*'SatışEkibi YS-Yen. Hed - 600'!$O47*'Satış YS-Yen.Hed (Ayık) - 600'!J$2</f>
        <v>83.1875</v>
      </c>
      <c r="K56" s="276">
        <f>'SatışEkibi YS-Yen. Hed - 600'!$D$31*'SatışEkibi YS-Yen. Hed - 600'!$O47*'Satış YS-Yen.Hed (Ayık) - 600'!K$2</f>
        <v>88</v>
      </c>
      <c r="L56" s="276">
        <f>'SatışEkibi YS-Yen. Hed - 600'!$D$31*'SatışEkibi YS-Yen. Hed - 600'!$O47*'Satış YS-Yen.Hed (Ayık) - 600'!L$2</f>
        <v>103.12499999999999</v>
      </c>
      <c r="M56" s="276">
        <f>'SatışEkibi YS-Yen. Hed - 600'!$D$31*'SatışEkibi YS-Yen. Hed - 600'!$O47*'Satış YS-Yen.Hed (Ayık) - 600'!M$2</f>
        <v>104.49999999999999</v>
      </c>
      <c r="N56" s="276">
        <f>'SatışEkibi YS-Yen. Hed - 600'!$D$31*'SatışEkibi YS-Yen. Hed - 600'!$O47*'Satış YS-Yen.Hed (Ayık) - 600'!N$2</f>
        <v>118.9375</v>
      </c>
      <c r="O56" s="295">
        <f t="shared" si="45"/>
        <v>1100</v>
      </c>
      <c r="Q56" s="277" t="str">
        <f t="shared" si="44"/>
        <v>Quest</v>
      </c>
      <c r="R56" s="278" t="str">
        <f t="shared" si="46"/>
        <v>Yenileme</v>
      </c>
      <c r="S56" s="279">
        <f t="shared" si="47"/>
        <v>246.12500000000003</v>
      </c>
      <c r="T56" s="279">
        <f t="shared" si="48"/>
        <v>273.625</v>
      </c>
      <c r="U56" s="279">
        <f t="shared" si="49"/>
        <v>253.6875</v>
      </c>
      <c r="V56" s="279">
        <f t="shared" si="50"/>
        <v>326.5625</v>
      </c>
      <c r="W56" s="279">
        <f t="shared" si="51"/>
        <v>1100</v>
      </c>
    </row>
    <row r="57" spans="1:23" ht="16" hidden="1" customHeight="1" outlineLevel="1" x14ac:dyDescent="0.2">
      <c r="A57" s="293" t="s">
        <v>32</v>
      </c>
      <c r="B57" s="294" t="s">
        <v>26</v>
      </c>
      <c r="C57" s="276">
        <f>'SatışEkibi YS-Yen. Hed - 600'!$F$31*'SatışEkibi YS-Yen. Hed - 600'!$Q46*'Satış YS-Yen.Hed (Ayık) - 600'!C$2</f>
        <v>35.625000000000007</v>
      </c>
      <c r="D57" s="276">
        <f>'SatışEkibi YS-Yen. Hed - 600'!$F$31*'SatışEkibi YS-Yen. Hed - 600'!$Q46*'Satış YS-Yen.Hed (Ayık) - 600'!D$2</f>
        <v>35.625000000000007</v>
      </c>
      <c r="E57" s="276">
        <f>'SatışEkibi YS-Yen. Hed - 600'!$F$31*'SatışEkibi YS-Yen. Hed - 600'!$Q46*'Satış YS-Yen.Hed (Ayık) - 600'!E$2</f>
        <v>40.625</v>
      </c>
      <c r="F57" s="276">
        <f>'SatışEkibi YS-Yen. Hed - 600'!$F$31*'SatışEkibi YS-Yen. Hed - 600'!$Q46*'Satış YS-Yen.Hed (Ayık) - 600'!F$2</f>
        <v>39.6875</v>
      </c>
      <c r="G57" s="276">
        <f>'SatışEkibi YS-Yen. Hed - 600'!$F$31*'SatışEkibi YS-Yen. Hed - 600'!$Q46*'Satış YS-Yen.Hed (Ayık) - 600'!G$2</f>
        <v>39.6875</v>
      </c>
      <c r="H57" s="276">
        <f>'SatışEkibi YS-Yen. Hed - 600'!$F$31*'SatışEkibi YS-Yen. Hed - 600'!$Q46*'Satış YS-Yen.Hed (Ayık) - 600'!H$2</f>
        <v>44.999999999999993</v>
      </c>
      <c r="I57" s="276">
        <f>'SatışEkibi YS-Yen. Hed - 600'!$F$31*'SatışEkibi YS-Yen. Hed - 600'!$Q46*'Satış YS-Yen.Hed (Ayık) - 600'!I$2</f>
        <v>37.5</v>
      </c>
      <c r="J57" s="276">
        <f>'SatışEkibi YS-Yen. Hed - 600'!$F$31*'SatışEkibi YS-Yen. Hed - 600'!$Q46*'Satış YS-Yen.Hed (Ayık) - 600'!J$2</f>
        <v>37.8125</v>
      </c>
      <c r="K57" s="276">
        <f>'SatışEkibi YS-Yen. Hed - 600'!$F$31*'SatışEkibi YS-Yen. Hed - 600'!$Q46*'Satış YS-Yen.Hed (Ayık) - 600'!K$2</f>
        <v>40</v>
      </c>
      <c r="L57" s="276">
        <f>'SatışEkibi YS-Yen. Hed - 600'!$F$31*'SatışEkibi YS-Yen. Hed - 600'!$Q46*'Satış YS-Yen.Hed (Ayık) - 600'!L$2</f>
        <v>46.874999999999993</v>
      </c>
      <c r="M57" s="276">
        <f>'SatışEkibi YS-Yen. Hed - 600'!$F$31*'SatışEkibi YS-Yen. Hed - 600'!$Q46*'Satış YS-Yen.Hed (Ayık) - 600'!M$2</f>
        <v>47.499999999999993</v>
      </c>
      <c r="N57" s="276">
        <f>'SatışEkibi YS-Yen. Hed - 600'!$F$31*'SatışEkibi YS-Yen. Hed - 600'!$Q46*'Satış YS-Yen.Hed (Ayık) - 600'!N$2</f>
        <v>54.0625</v>
      </c>
      <c r="O57" s="295">
        <f t="shared" si="45"/>
        <v>500</v>
      </c>
      <c r="Q57" s="277" t="str">
        <f t="shared" si="44"/>
        <v>Varuna</v>
      </c>
      <c r="R57" s="278" t="str">
        <f t="shared" si="46"/>
        <v>Yeni Satış</v>
      </c>
      <c r="S57" s="279">
        <f t="shared" si="47"/>
        <v>111.87500000000001</v>
      </c>
      <c r="T57" s="279">
        <f t="shared" si="48"/>
        <v>124.375</v>
      </c>
      <c r="U57" s="279">
        <f t="shared" si="49"/>
        <v>115.3125</v>
      </c>
      <c r="V57" s="279">
        <f t="shared" si="50"/>
        <v>148.4375</v>
      </c>
      <c r="W57" s="279">
        <f t="shared" si="51"/>
        <v>500</v>
      </c>
    </row>
    <row r="58" spans="1:23" ht="16" hidden="1" customHeight="1" outlineLevel="1" x14ac:dyDescent="0.2">
      <c r="A58" s="293" t="s">
        <v>34</v>
      </c>
      <c r="B58" s="294" t="s">
        <v>26</v>
      </c>
      <c r="C58" s="276">
        <f>'SatışEkibi YS-Yen. Hed - 600'!$G$31*'SatışEkibi YS-Yen. Hed - 600'!$R46*'Satış YS-Yen.Hed (Ayık) - 600'!C$2</f>
        <v>71.250000000000014</v>
      </c>
      <c r="D58" s="276">
        <f>'SatışEkibi YS-Yen. Hed - 600'!$G$31*'SatışEkibi YS-Yen. Hed - 600'!$R46*'Satış YS-Yen.Hed (Ayık) - 600'!D$2</f>
        <v>71.250000000000014</v>
      </c>
      <c r="E58" s="276">
        <f>'SatışEkibi YS-Yen. Hed - 600'!$G$31*'SatışEkibi YS-Yen. Hed - 600'!$R46*'Satış YS-Yen.Hed (Ayık) - 600'!E$2</f>
        <v>81.25</v>
      </c>
      <c r="F58" s="276">
        <f>'SatışEkibi YS-Yen. Hed - 600'!$G$31*'SatışEkibi YS-Yen. Hed - 600'!$R46*'Satış YS-Yen.Hed (Ayık) - 600'!F$2</f>
        <v>79.375</v>
      </c>
      <c r="G58" s="276">
        <f>'SatışEkibi YS-Yen. Hed - 600'!$G$31*'SatışEkibi YS-Yen. Hed - 600'!$R46*'Satış YS-Yen.Hed (Ayık) - 600'!G$2</f>
        <v>79.375</v>
      </c>
      <c r="H58" s="276">
        <f>'SatışEkibi YS-Yen. Hed - 600'!$G$31*'SatışEkibi YS-Yen. Hed - 600'!$R46*'Satış YS-Yen.Hed (Ayık) - 600'!H$2</f>
        <v>89.999999999999986</v>
      </c>
      <c r="I58" s="276">
        <f>'SatışEkibi YS-Yen. Hed - 600'!$G$31*'SatışEkibi YS-Yen. Hed - 600'!$R46*'Satış YS-Yen.Hed (Ayık) - 600'!I$2</f>
        <v>75</v>
      </c>
      <c r="J58" s="276">
        <f>'SatışEkibi YS-Yen. Hed - 600'!$G$31*'SatışEkibi YS-Yen. Hed - 600'!$R46*'Satış YS-Yen.Hed (Ayık) - 600'!J$2</f>
        <v>75.625</v>
      </c>
      <c r="K58" s="276">
        <f>'SatışEkibi YS-Yen. Hed - 600'!$G$31*'SatışEkibi YS-Yen. Hed - 600'!$R46*'Satış YS-Yen.Hed (Ayık) - 600'!K$2</f>
        <v>80</v>
      </c>
      <c r="L58" s="276">
        <f>'SatışEkibi YS-Yen. Hed - 600'!$G$31*'SatışEkibi YS-Yen. Hed - 600'!$R46*'Satış YS-Yen.Hed (Ayık) - 600'!L$2</f>
        <v>93.749999999999986</v>
      </c>
      <c r="M58" s="276">
        <f>'SatışEkibi YS-Yen. Hed - 600'!$G$31*'SatışEkibi YS-Yen. Hed - 600'!$R46*'Satış YS-Yen.Hed (Ayık) - 600'!M$2</f>
        <v>94.999999999999986</v>
      </c>
      <c r="N58" s="276">
        <f>'SatışEkibi YS-Yen. Hed - 600'!$G$31*'SatışEkibi YS-Yen. Hed - 600'!$R46*'Satış YS-Yen.Hed (Ayık) - 600'!N$2</f>
        <v>108.125</v>
      </c>
      <c r="O58" s="295">
        <f t="shared" si="45"/>
        <v>1000</v>
      </c>
      <c r="Q58" s="277" t="str">
        <f t="shared" si="44"/>
        <v>Hosting</v>
      </c>
      <c r="R58" s="278" t="str">
        <f t="shared" si="46"/>
        <v>Yeni Satış</v>
      </c>
      <c r="S58" s="279">
        <f t="shared" si="47"/>
        <v>223.75000000000003</v>
      </c>
      <c r="T58" s="279">
        <f t="shared" si="48"/>
        <v>248.75</v>
      </c>
      <c r="U58" s="279">
        <f t="shared" si="49"/>
        <v>230.625</v>
      </c>
      <c r="V58" s="279">
        <f t="shared" si="50"/>
        <v>296.875</v>
      </c>
      <c r="W58" s="279">
        <f t="shared" si="51"/>
        <v>1000</v>
      </c>
    </row>
    <row r="59" spans="1:23" ht="16" hidden="1" customHeight="1" outlineLevel="1" x14ac:dyDescent="0.2">
      <c r="A59" s="293" t="s">
        <v>35</v>
      </c>
      <c r="B59" s="294" t="s">
        <v>26</v>
      </c>
      <c r="C59" s="276">
        <f>'SatışEkibi YS-Yen. Hed - 600'!$I$31*'SatışEkibi YS-Yen. Hed - 600'!$T46*'Satış YS-Yen.Hed (Ayık) - 600'!C$2</f>
        <v>106.87500000000001</v>
      </c>
      <c r="D59" s="276">
        <f>'SatışEkibi YS-Yen. Hed - 600'!$I$31*'SatışEkibi YS-Yen. Hed - 600'!$T46*'Satış YS-Yen.Hed (Ayık) - 600'!D$2</f>
        <v>106.87500000000001</v>
      </c>
      <c r="E59" s="276">
        <f>'SatışEkibi YS-Yen. Hed - 600'!$I$31*'SatışEkibi YS-Yen. Hed - 600'!$T46*'Satış YS-Yen.Hed (Ayık) - 600'!E$2</f>
        <v>121.875</v>
      </c>
      <c r="F59" s="276">
        <f>'SatışEkibi YS-Yen. Hed - 600'!$I$31*'SatışEkibi YS-Yen. Hed - 600'!$T46*'Satış YS-Yen.Hed (Ayık) - 600'!F$2</f>
        <v>119.0625</v>
      </c>
      <c r="G59" s="276">
        <f>'SatışEkibi YS-Yen. Hed - 600'!$I$31*'SatışEkibi YS-Yen. Hed - 600'!$T46*'Satış YS-Yen.Hed (Ayık) - 600'!G$2</f>
        <v>119.0625</v>
      </c>
      <c r="H59" s="276">
        <f>'SatışEkibi YS-Yen. Hed - 600'!$I$31*'SatışEkibi YS-Yen. Hed - 600'!$T46*'Satış YS-Yen.Hed (Ayık) - 600'!H$2</f>
        <v>134.99999999999997</v>
      </c>
      <c r="I59" s="276">
        <f>'SatışEkibi YS-Yen. Hed - 600'!$I$31*'SatışEkibi YS-Yen. Hed - 600'!$T46*'Satış YS-Yen.Hed (Ayık) - 600'!I$2</f>
        <v>112.5</v>
      </c>
      <c r="J59" s="276">
        <f>'SatışEkibi YS-Yen. Hed - 600'!$I$31*'SatışEkibi YS-Yen. Hed - 600'!$T46*'Satış YS-Yen.Hed (Ayık) - 600'!J$2</f>
        <v>113.4375</v>
      </c>
      <c r="K59" s="276">
        <f>'SatışEkibi YS-Yen. Hed - 600'!$I$31*'SatışEkibi YS-Yen. Hed - 600'!$T46*'Satış YS-Yen.Hed (Ayık) - 600'!K$2</f>
        <v>120</v>
      </c>
      <c r="L59" s="276">
        <f>'SatışEkibi YS-Yen. Hed - 600'!$I$31*'SatışEkibi YS-Yen. Hed - 600'!$T46*'Satış YS-Yen.Hed (Ayık) - 600'!L$2</f>
        <v>140.62499999999997</v>
      </c>
      <c r="M59" s="276">
        <f>'SatışEkibi YS-Yen. Hed - 600'!$I$31*'SatışEkibi YS-Yen. Hed - 600'!$T46*'Satış YS-Yen.Hed (Ayık) - 600'!M$2</f>
        <v>142.49999999999997</v>
      </c>
      <c r="N59" s="276">
        <f>'SatışEkibi YS-Yen. Hed - 600'!$I$31*'SatışEkibi YS-Yen. Hed - 600'!$T46*'Satış YS-Yen.Hed (Ayık) - 600'!N$2</f>
        <v>162.1875</v>
      </c>
      <c r="O59" s="295">
        <f t="shared" si="45"/>
        <v>1500</v>
      </c>
      <c r="Q59" s="277" t="str">
        <f t="shared" si="44"/>
        <v>BFH</v>
      </c>
      <c r="R59" s="278" t="str">
        <f t="shared" si="46"/>
        <v>Yeni Satış</v>
      </c>
      <c r="S59" s="279">
        <f t="shared" si="47"/>
        <v>335.625</v>
      </c>
      <c r="T59" s="279">
        <f t="shared" si="48"/>
        <v>373.125</v>
      </c>
      <c r="U59" s="279">
        <f t="shared" si="49"/>
        <v>345.9375</v>
      </c>
      <c r="V59" s="279">
        <f t="shared" si="50"/>
        <v>445.31249999999994</v>
      </c>
      <c r="W59" s="279">
        <f t="shared" si="51"/>
        <v>1500</v>
      </c>
    </row>
    <row r="60" spans="1:23" ht="16" customHeight="1" collapsed="1" x14ac:dyDescent="0.2">
      <c r="A60" s="283" t="s">
        <v>30</v>
      </c>
      <c r="B60" s="284" t="s">
        <v>26</v>
      </c>
      <c r="C60" s="282">
        <f>SUMIF($B$51:$B$59,"Yeni Satış",C51:C59)</f>
        <v>1062.48</v>
      </c>
      <c r="D60" s="282">
        <f t="shared" ref="D60:N60" si="52">SUMIF($B$51:$B$59,"Yeni Satış",D51:D59)</f>
        <v>1062.48</v>
      </c>
      <c r="E60" s="282">
        <f t="shared" si="52"/>
        <v>1211.5999999999999</v>
      </c>
      <c r="F60" s="282">
        <f t="shared" si="52"/>
        <v>1183.6400000000001</v>
      </c>
      <c r="G60" s="282">
        <f t="shared" si="52"/>
        <v>1183.6400000000001</v>
      </c>
      <c r="H60" s="282">
        <f t="shared" si="52"/>
        <v>1342.0799999999997</v>
      </c>
      <c r="I60" s="282">
        <f t="shared" si="52"/>
        <v>1118.3999999999999</v>
      </c>
      <c r="J60" s="282">
        <f t="shared" si="52"/>
        <v>1127.72</v>
      </c>
      <c r="K60" s="282">
        <f t="shared" si="52"/>
        <v>1192.96</v>
      </c>
      <c r="L60" s="282">
        <f t="shared" si="52"/>
        <v>1397.9999999999998</v>
      </c>
      <c r="M60" s="282">
        <f t="shared" si="52"/>
        <v>1416.6399999999999</v>
      </c>
      <c r="N60" s="282">
        <f t="shared" si="52"/>
        <v>1612.36</v>
      </c>
      <c r="O60" s="282">
        <f>SUMIF($B$5:$B$13,"Yeni Satış",O51:O59)</f>
        <v>13062</v>
      </c>
      <c r="Q60" s="283" t="s">
        <v>30</v>
      </c>
      <c r="R60" s="284" t="str">
        <f t="shared" si="46"/>
        <v>Yeni Satış</v>
      </c>
      <c r="S60" s="285">
        <f>SUMIF(R51:R59,"Yeni Satış",S51:S59)</f>
        <v>3336.56</v>
      </c>
      <c r="T60" s="285">
        <f>SUMIF(R51:R59,"Yeni Satış",T51:T59)</f>
        <v>3709.3599999999997</v>
      </c>
      <c r="U60" s="285">
        <f>SUMIF(R51:R59,"Yeni Satış",U51:U59)</f>
        <v>3439.08</v>
      </c>
      <c r="V60" s="285">
        <f>SUMIF(R51:R59,"Yeni Satış",V51:V59)</f>
        <v>4427</v>
      </c>
      <c r="W60" s="285">
        <f t="shared" si="51"/>
        <v>14912</v>
      </c>
    </row>
    <row r="61" spans="1:23" ht="16" customHeight="1" x14ac:dyDescent="0.2">
      <c r="A61" s="283" t="s">
        <v>30</v>
      </c>
      <c r="B61" s="284" t="s">
        <v>28</v>
      </c>
      <c r="C61" s="282">
        <f>SUMIF($B$51:$B$59,"Yenileme",C51:C60)</f>
        <v>830.77500000000009</v>
      </c>
      <c r="D61" s="282">
        <f t="shared" ref="D61:N61" si="53">SUMIF($B$51:$B$59,"Yenileme",D51:D60)</f>
        <v>830.77500000000009</v>
      </c>
      <c r="E61" s="282">
        <f t="shared" si="53"/>
        <v>947.375</v>
      </c>
      <c r="F61" s="282">
        <f t="shared" si="53"/>
        <v>925.51250000000005</v>
      </c>
      <c r="G61" s="282">
        <f t="shared" si="53"/>
        <v>925.51250000000005</v>
      </c>
      <c r="H61" s="282">
        <f t="shared" si="53"/>
        <v>1049.3999999999999</v>
      </c>
      <c r="I61" s="282">
        <f t="shared" si="53"/>
        <v>874.5</v>
      </c>
      <c r="J61" s="282">
        <f t="shared" si="53"/>
        <v>881.78750000000002</v>
      </c>
      <c r="K61" s="282">
        <f t="shared" si="53"/>
        <v>932.8</v>
      </c>
      <c r="L61" s="282">
        <f t="shared" si="53"/>
        <v>1093.1249999999998</v>
      </c>
      <c r="M61" s="282">
        <f t="shared" si="53"/>
        <v>1107.6999999999998</v>
      </c>
      <c r="N61" s="282">
        <f t="shared" si="53"/>
        <v>1260.7375</v>
      </c>
      <c r="O61" s="282">
        <f>SUMIF($B$5:$B$13,"Yenileme",O51:O59)</f>
        <v>13510</v>
      </c>
      <c r="Q61" s="283" t="s">
        <v>30</v>
      </c>
      <c r="R61" s="284" t="str">
        <f t="shared" si="46"/>
        <v>Yenileme</v>
      </c>
      <c r="S61" s="285">
        <f>SUMIF(R51:R59,"Yenileme",S51:S59)</f>
        <v>2608.9250000000002</v>
      </c>
      <c r="T61" s="285">
        <f>SUMIF(R51:R59,"Yenileme",T51:T59)</f>
        <v>2900.4250000000002</v>
      </c>
      <c r="U61" s="285">
        <f>SUMIF(R51:R59,"Yenileme",U51:U59)</f>
        <v>2689.0875000000001</v>
      </c>
      <c r="V61" s="285">
        <f>SUMIF(R51:R59,"Yenileme",V51:V59)</f>
        <v>3461.5625</v>
      </c>
      <c r="W61" s="285">
        <f t="shared" si="51"/>
        <v>11660</v>
      </c>
    </row>
    <row r="62" spans="1:23" ht="16" customHeight="1" x14ac:dyDescent="0.2">
      <c r="A62" s="297" t="s">
        <v>38</v>
      </c>
      <c r="B62" s="298" t="s">
        <v>144</v>
      </c>
      <c r="C62" s="288">
        <f>SUM(C60:C61)</f>
        <v>1893.2550000000001</v>
      </c>
      <c r="D62" s="288">
        <f t="shared" ref="D62:N62" si="54">SUM(D60:D61)</f>
        <v>1893.2550000000001</v>
      </c>
      <c r="E62" s="288">
        <f t="shared" si="54"/>
        <v>2158.9749999999999</v>
      </c>
      <c r="F62" s="288">
        <f t="shared" si="54"/>
        <v>2109.1525000000001</v>
      </c>
      <c r="G62" s="288">
        <f t="shared" si="54"/>
        <v>2109.1525000000001</v>
      </c>
      <c r="H62" s="288">
        <f t="shared" si="54"/>
        <v>2391.4799999999996</v>
      </c>
      <c r="I62" s="288">
        <f t="shared" si="54"/>
        <v>1992.8999999999999</v>
      </c>
      <c r="J62" s="288">
        <f t="shared" si="54"/>
        <v>2009.5075000000002</v>
      </c>
      <c r="K62" s="288">
        <f t="shared" si="54"/>
        <v>2125.7600000000002</v>
      </c>
      <c r="L62" s="288">
        <f t="shared" si="54"/>
        <v>2491.1249999999995</v>
      </c>
      <c r="M62" s="288">
        <f t="shared" si="54"/>
        <v>2524.3399999999997</v>
      </c>
      <c r="N62" s="288">
        <f t="shared" si="54"/>
        <v>2873.0974999999999</v>
      </c>
      <c r="O62" s="304">
        <f>O60+O61</f>
        <v>26572</v>
      </c>
      <c r="Q62" s="297" t="s">
        <v>38</v>
      </c>
      <c r="R62" s="298" t="str">
        <f t="shared" si="46"/>
        <v>YS + Yen.</v>
      </c>
      <c r="S62" s="302">
        <f>S60+S61</f>
        <v>5945.4850000000006</v>
      </c>
      <c r="T62" s="302">
        <f>T60+T61</f>
        <v>6609.7849999999999</v>
      </c>
      <c r="U62" s="302">
        <f>U60+U61</f>
        <v>6128.1674999999996</v>
      </c>
      <c r="V62" s="302">
        <f>V60+V61</f>
        <v>7888.5625</v>
      </c>
      <c r="W62" s="291">
        <f>W60+W61</f>
        <v>26572</v>
      </c>
    </row>
    <row r="63" spans="1:23" ht="16" customHeight="1" x14ac:dyDescent="0.2"/>
    <row r="64" spans="1:23" x14ac:dyDescent="0.2">
      <c r="A64" s="264" t="s">
        <v>148</v>
      </c>
      <c r="B64" s="264"/>
      <c r="C64" s="266" t="s">
        <v>131</v>
      </c>
      <c r="D64" s="266" t="s">
        <v>132</v>
      </c>
      <c r="E64" s="266" t="s">
        <v>133</v>
      </c>
      <c r="F64" s="266" t="s">
        <v>134</v>
      </c>
      <c r="G64" s="266" t="s">
        <v>135</v>
      </c>
      <c r="H64" s="266" t="s">
        <v>136</v>
      </c>
      <c r="I64" s="266" t="s">
        <v>137</v>
      </c>
      <c r="J64" s="266" t="s">
        <v>138</v>
      </c>
      <c r="K64" s="266" t="s">
        <v>139</v>
      </c>
      <c r="L64" s="266" t="s">
        <v>140</v>
      </c>
      <c r="M64" s="266" t="s">
        <v>141</v>
      </c>
      <c r="N64" s="266" t="s">
        <v>142</v>
      </c>
      <c r="O64" s="266" t="s">
        <v>143</v>
      </c>
      <c r="Q64" s="301" t="str">
        <f t="shared" ref="Q64:Q74" si="55">A64</f>
        <v>Özge Güler  —  Direkt Satış</v>
      </c>
      <c r="R64" s="301"/>
      <c r="S64" s="266" t="s">
        <v>154</v>
      </c>
      <c r="T64" s="266" t="s">
        <v>155</v>
      </c>
      <c r="U64" s="266" t="s">
        <v>156</v>
      </c>
      <c r="V64" s="266" t="s">
        <v>157</v>
      </c>
      <c r="W64" s="266" t="s">
        <v>143</v>
      </c>
    </row>
    <row r="65" spans="1:23" ht="16" hidden="1" customHeight="1" outlineLevel="1" x14ac:dyDescent="0.2">
      <c r="A65" s="293" t="s">
        <v>25</v>
      </c>
      <c r="B65" s="294" t="s">
        <v>26</v>
      </c>
      <c r="C65" s="276">
        <f>'SatışEkibi YS-Yen. Hed - 600'!$B$31*'SatışEkibi YS-Yen. Hed - 600'!$M49*'Satış YS-Yen.Hed (Ayık) - 600'!C$2</f>
        <v>356.25000000000006</v>
      </c>
      <c r="D65" s="276">
        <f>'SatışEkibi YS-Yen. Hed - 600'!$B$31*'SatışEkibi YS-Yen. Hed - 600'!$M49*'Satış YS-Yen.Hed (Ayık) - 600'!D$2</f>
        <v>356.25000000000006</v>
      </c>
      <c r="E65" s="276">
        <f>'SatışEkibi YS-Yen. Hed - 600'!$B$31*'SatışEkibi YS-Yen. Hed - 600'!$M49*'Satış YS-Yen.Hed (Ayık) - 600'!E$2</f>
        <v>406.25</v>
      </c>
      <c r="F65" s="276">
        <f>'SatışEkibi YS-Yen. Hed - 600'!$B$31*'SatışEkibi YS-Yen. Hed - 600'!$M49*'Satış YS-Yen.Hed (Ayık) - 600'!F$2</f>
        <v>396.875</v>
      </c>
      <c r="G65" s="276">
        <f>'SatışEkibi YS-Yen. Hed - 600'!$B$31*'SatışEkibi YS-Yen. Hed - 600'!$M49*'Satış YS-Yen.Hed (Ayık) - 600'!G$2</f>
        <v>396.875</v>
      </c>
      <c r="H65" s="276">
        <f>'SatışEkibi YS-Yen. Hed - 600'!$B$31*'SatışEkibi YS-Yen. Hed - 600'!$M49*'Satış YS-Yen.Hed (Ayık) - 600'!H$2</f>
        <v>449.99999999999989</v>
      </c>
      <c r="I65" s="276">
        <f>'SatışEkibi YS-Yen. Hed - 600'!$B$31*'SatışEkibi YS-Yen. Hed - 600'!$M49*'Satış YS-Yen.Hed (Ayık) - 600'!I$2</f>
        <v>375</v>
      </c>
      <c r="J65" s="276">
        <f>'SatışEkibi YS-Yen. Hed - 600'!$B$31*'SatışEkibi YS-Yen. Hed - 600'!$M49*'Satış YS-Yen.Hed (Ayık) - 600'!J$2</f>
        <v>378.125</v>
      </c>
      <c r="K65" s="276">
        <f>'SatışEkibi YS-Yen. Hed - 600'!$B$31*'SatışEkibi YS-Yen. Hed - 600'!$M49*'Satış YS-Yen.Hed (Ayık) - 600'!K$2</f>
        <v>400</v>
      </c>
      <c r="L65" s="276">
        <f>'SatışEkibi YS-Yen. Hed - 600'!$B$31*'SatışEkibi YS-Yen. Hed - 600'!$M49*'Satış YS-Yen.Hed (Ayık) - 600'!L$2</f>
        <v>468.74999999999994</v>
      </c>
      <c r="M65" s="276">
        <f>'SatışEkibi YS-Yen. Hed - 600'!$B$31*'SatışEkibi YS-Yen. Hed - 600'!$M49*'Satış YS-Yen.Hed (Ayık) - 600'!M$2</f>
        <v>474.99999999999994</v>
      </c>
      <c r="N65" s="276">
        <f>'SatışEkibi YS-Yen. Hed - 600'!$B$31*'SatışEkibi YS-Yen. Hed - 600'!$M49*'Satış YS-Yen.Hed (Ayık) - 600'!N$2</f>
        <v>540.625</v>
      </c>
      <c r="O65" s="295">
        <f t="shared" ref="O65:O74" si="56">SUM(C65:N65)</f>
        <v>5000</v>
      </c>
      <c r="Q65" s="277" t="str">
        <f t="shared" si="55"/>
        <v>Enroute</v>
      </c>
      <c r="R65" s="278" t="str">
        <f t="shared" ref="R65:R77" si="57">B65</f>
        <v>Yeni Satış</v>
      </c>
      <c r="S65" s="279">
        <f t="shared" ref="S65:S74" si="58">SUM(C65:E65)</f>
        <v>1118.75</v>
      </c>
      <c r="T65" s="279">
        <f t="shared" ref="T65:T74" si="59">SUM(F65:H65)</f>
        <v>1243.75</v>
      </c>
      <c r="U65" s="279">
        <f t="shared" ref="U65:U74" si="60">SUM(I65:K65)</f>
        <v>1153.125</v>
      </c>
      <c r="V65" s="279">
        <f t="shared" ref="V65:V74" si="61">SUM(L65:N65)</f>
        <v>1484.375</v>
      </c>
      <c r="W65" s="279">
        <f t="shared" ref="W65:W76" si="62">SUM(S65:V65)</f>
        <v>5000</v>
      </c>
    </row>
    <row r="66" spans="1:23" ht="16" hidden="1" customHeight="1" outlineLevel="1" x14ac:dyDescent="0.2">
      <c r="A66" s="293" t="s">
        <v>25</v>
      </c>
      <c r="B66" s="294" t="s">
        <v>28</v>
      </c>
      <c r="C66" s="276">
        <f>'SatışEkibi YS-Yen. Hed - 600'!$B$31*'SatışEkibi YS-Yen. Hed - 600'!$M50*'Satış YS-Yen.Hed (Ayık) - 600'!C$2</f>
        <v>926.25000000000011</v>
      </c>
      <c r="D66" s="276">
        <f>'SatışEkibi YS-Yen. Hed - 600'!$B$31*'SatışEkibi YS-Yen. Hed - 600'!$M50*'Satış YS-Yen.Hed (Ayık) - 600'!D$2</f>
        <v>926.25000000000011</v>
      </c>
      <c r="E66" s="276">
        <f>'SatışEkibi YS-Yen. Hed - 600'!$B$31*'SatışEkibi YS-Yen. Hed - 600'!$M50*'Satış YS-Yen.Hed (Ayık) - 600'!E$2</f>
        <v>1056.25</v>
      </c>
      <c r="F66" s="276">
        <f>'SatışEkibi YS-Yen. Hed - 600'!$B$31*'SatışEkibi YS-Yen. Hed - 600'!$M50*'Satış YS-Yen.Hed (Ayık) - 600'!F$2</f>
        <v>1031.875</v>
      </c>
      <c r="G66" s="276">
        <f>'SatışEkibi YS-Yen. Hed - 600'!$B$31*'SatışEkibi YS-Yen. Hed - 600'!$M50*'Satış YS-Yen.Hed (Ayık) - 600'!G$2</f>
        <v>1031.875</v>
      </c>
      <c r="H66" s="276">
        <f>'SatışEkibi YS-Yen. Hed - 600'!$B$31*'SatışEkibi YS-Yen. Hed - 600'!$M50*'Satış YS-Yen.Hed (Ayık) - 600'!H$2</f>
        <v>1169.9999999999998</v>
      </c>
      <c r="I66" s="276">
        <f>'SatışEkibi YS-Yen. Hed - 600'!$B$31*'SatışEkibi YS-Yen. Hed - 600'!$M50*'Satış YS-Yen.Hed (Ayık) - 600'!I$2</f>
        <v>975</v>
      </c>
      <c r="J66" s="276">
        <f>'SatışEkibi YS-Yen. Hed - 600'!$B$31*'SatışEkibi YS-Yen. Hed - 600'!$M50*'Satış YS-Yen.Hed (Ayık) - 600'!J$2</f>
        <v>983.125</v>
      </c>
      <c r="K66" s="276">
        <f>'SatışEkibi YS-Yen. Hed - 600'!$B$31*'SatışEkibi YS-Yen. Hed - 600'!$M50*'Satış YS-Yen.Hed (Ayık) - 600'!K$2</f>
        <v>1040</v>
      </c>
      <c r="L66" s="276">
        <f>'SatışEkibi YS-Yen. Hed - 600'!$B$31*'SatışEkibi YS-Yen. Hed - 600'!$M50*'Satış YS-Yen.Hed (Ayık) - 600'!L$2</f>
        <v>1218.7499999999998</v>
      </c>
      <c r="M66" s="276">
        <f>'SatışEkibi YS-Yen. Hed - 600'!$B$31*'SatışEkibi YS-Yen. Hed - 600'!$M50*'Satış YS-Yen.Hed (Ayık) - 600'!M$2</f>
        <v>1234.9999999999998</v>
      </c>
      <c r="N66" s="276">
        <f>'SatışEkibi YS-Yen. Hed - 600'!$B$31*'SatışEkibi YS-Yen. Hed - 600'!$M50*'Satış YS-Yen.Hed (Ayık) - 600'!N$2</f>
        <v>1405.625</v>
      </c>
      <c r="O66" s="295">
        <f t="shared" si="56"/>
        <v>13000</v>
      </c>
      <c r="Q66" s="277" t="str">
        <f t="shared" si="55"/>
        <v>Enroute</v>
      </c>
      <c r="R66" s="278" t="str">
        <f t="shared" si="57"/>
        <v>Yenileme</v>
      </c>
      <c r="S66" s="279">
        <f t="shared" si="58"/>
        <v>2908.75</v>
      </c>
      <c r="T66" s="279">
        <f t="shared" si="59"/>
        <v>3233.75</v>
      </c>
      <c r="U66" s="279">
        <f t="shared" si="60"/>
        <v>2998.125</v>
      </c>
      <c r="V66" s="279">
        <f t="shared" si="61"/>
        <v>3859.3749999999995</v>
      </c>
      <c r="W66" s="279">
        <f t="shared" si="62"/>
        <v>13000</v>
      </c>
    </row>
    <row r="67" spans="1:23" ht="16" hidden="1" customHeight="1" outlineLevel="1" x14ac:dyDescent="0.2">
      <c r="A67" s="293" t="s">
        <v>29</v>
      </c>
      <c r="B67" s="294" t="s">
        <v>26</v>
      </c>
      <c r="C67" s="276">
        <f>'SatışEkibi YS-Yen. Hed - 600'!$C$31*'SatışEkibi YS-Yen. Hed - 600'!$N49*'Satış YS-Yen.Hed (Ayık) - 600'!C$2</f>
        <v>142.50000000000003</v>
      </c>
      <c r="D67" s="276">
        <f>'SatışEkibi YS-Yen. Hed - 600'!$C$31*'SatışEkibi YS-Yen. Hed - 600'!$N49*'Satış YS-Yen.Hed (Ayık) - 600'!D$2</f>
        <v>142.50000000000003</v>
      </c>
      <c r="E67" s="276">
        <f>'SatışEkibi YS-Yen. Hed - 600'!$C$31*'SatışEkibi YS-Yen. Hed - 600'!$N49*'Satış YS-Yen.Hed (Ayık) - 600'!E$2</f>
        <v>162.5</v>
      </c>
      <c r="F67" s="276">
        <f>'SatışEkibi YS-Yen. Hed - 600'!$C$31*'SatışEkibi YS-Yen. Hed - 600'!$N49*'Satış YS-Yen.Hed (Ayık) - 600'!F$2</f>
        <v>158.75</v>
      </c>
      <c r="G67" s="276">
        <f>'SatışEkibi YS-Yen. Hed - 600'!$C$31*'SatışEkibi YS-Yen. Hed - 600'!$N49*'Satış YS-Yen.Hed (Ayık) - 600'!G$2</f>
        <v>158.75</v>
      </c>
      <c r="H67" s="276">
        <f>'SatışEkibi YS-Yen. Hed - 600'!$C$31*'SatışEkibi YS-Yen. Hed - 600'!$N49*'Satış YS-Yen.Hed (Ayık) - 600'!H$2</f>
        <v>179.99999999999997</v>
      </c>
      <c r="I67" s="276">
        <f>'SatışEkibi YS-Yen. Hed - 600'!$C$31*'SatışEkibi YS-Yen. Hed - 600'!$N49*'Satış YS-Yen.Hed (Ayık) - 600'!I$2</f>
        <v>150</v>
      </c>
      <c r="J67" s="276">
        <f>'SatışEkibi YS-Yen. Hed - 600'!$C$31*'SatışEkibi YS-Yen. Hed - 600'!$N49*'Satış YS-Yen.Hed (Ayık) - 600'!J$2</f>
        <v>151.25</v>
      </c>
      <c r="K67" s="276">
        <f>'SatışEkibi YS-Yen. Hed - 600'!$C$31*'SatışEkibi YS-Yen. Hed - 600'!$N49*'Satış YS-Yen.Hed (Ayık) - 600'!K$2</f>
        <v>160</v>
      </c>
      <c r="L67" s="276">
        <f>'SatışEkibi YS-Yen. Hed - 600'!$C$31*'SatışEkibi YS-Yen. Hed - 600'!$N49*'Satış YS-Yen.Hed (Ayık) - 600'!L$2</f>
        <v>187.49999999999997</v>
      </c>
      <c r="M67" s="276">
        <f>'SatışEkibi YS-Yen. Hed - 600'!$C$31*'SatışEkibi YS-Yen. Hed - 600'!$N49*'Satış YS-Yen.Hed (Ayık) - 600'!M$2</f>
        <v>189.99999999999997</v>
      </c>
      <c r="N67" s="276">
        <f>'SatışEkibi YS-Yen. Hed - 600'!$C$31*'SatışEkibi YS-Yen. Hed - 600'!$N49*'Satış YS-Yen.Hed (Ayık) - 600'!N$2</f>
        <v>216.25</v>
      </c>
      <c r="O67" s="295">
        <f t="shared" si="56"/>
        <v>2000</v>
      </c>
      <c r="Q67" s="277" t="str">
        <f t="shared" si="55"/>
        <v>Stokbar</v>
      </c>
      <c r="R67" s="278" t="str">
        <f t="shared" si="57"/>
        <v>Yeni Satış</v>
      </c>
      <c r="S67" s="279">
        <f t="shared" si="58"/>
        <v>447.50000000000006</v>
      </c>
      <c r="T67" s="279">
        <f t="shared" si="59"/>
        <v>497.5</v>
      </c>
      <c r="U67" s="279">
        <f t="shared" si="60"/>
        <v>461.25</v>
      </c>
      <c r="V67" s="279">
        <f t="shared" si="61"/>
        <v>593.75</v>
      </c>
      <c r="W67" s="279">
        <f t="shared" si="62"/>
        <v>2000</v>
      </c>
    </row>
    <row r="68" spans="1:23" ht="16" hidden="1" customHeight="1" outlineLevel="1" x14ac:dyDescent="0.2">
      <c r="A68" s="293" t="s">
        <v>29</v>
      </c>
      <c r="B68" s="294" t="s">
        <v>28</v>
      </c>
      <c r="C68" s="276">
        <f>'SatışEkibi YS-Yen. Hed - 600'!$C$31*'SatışEkibi YS-Yen. Hed - 600'!$N50*'Satış YS-Yen.Hed (Ayık) - 600'!C$2</f>
        <v>170.92875000000001</v>
      </c>
      <c r="D68" s="276">
        <f>'SatışEkibi YS-Yen. Hed - 600'!$C$31*'SatışEkibi YS-Yen. Hed - 600'!$N50*'Satış YS-Yen.Hed (Ayık) - 600'!D$2</f>
        <v>170.92875000000001</v>
      </c>
      <c r="E68" s="276">
        <f>'SatışEkibi YS-Yen. Hed - 600'!$C$31*'SatışEkibi YS-Yen. Hed - 600'!$N50*'Satış YS-Yen.Hed (Ayık) - 600'!E$2</f>
        <v>194.91875000000002</v>
      </c>
      <c r="F68" s="276">
        <f>'SatışEkibi YS-Yen. Hed - 600'!$C$31*'SatışEkibi YS-Yen. Hed - 600'!$N50*'Satış YS-Yen.Hed (Ayık) - 600'!F$2</f>
        <v>190.420625</v>
      </c>
      <c r="G68" s="276">
        <f>'SatışEkibi YS-Yen. Hed - 600'!$C$31*'SatışEkibi YS-Yen. Hed - 600'!$N50*'Satış YS-Yen.Hed (Ayık) - 600'!G$2</f>
        <v>190.420625</v>
      </c>
      <c r="H68" s="276">
        <f>'SatışEkibi YS-Yen. Hed - 600'!$C$31*'SatışEkibi YS-Yen. Hed - 600'!$N50*'Satış YS-Yen.Hed (Ayık) - 600'!H$2</f>
        <v>215.90999999999997</v>
      </c>
      <c r="I68" s="276">
        <f>'SatışEkibi YS-Yen. Hed - 600'!$C$31*'SatışEkibi YS-Yen. Hed - 600'!$N50*'Satış YS-Yen.Hed (Ayık) - 600'!I$2</f>
        <v>179.92499999999998</v>
      </c>
      <c r="J68" s="276">
        <f>'SatışEkibi YS-Yen. Hed - 600'!$C$31*'SatışEkibi YS-Yen. Hed - 600'!$N50*'Satış YS-Yen.Hed (Ayık) - 600'!J$2</f>
        <v>181.424375</v>
      </c>
      <c r="K68" s="276">
        <f>'SatışEkibi YS-Yen. Hed - 600'!$C$31*'SatışEkibi YS-Yen. Hed - 600'!$N50*'Satış YS-Yen.Hed (Ayık) - 600'!K$2</f>
        <v>191.92000000000002</v>
      </c>
      <c r="L68" s="276">
        <f>'SatışEkibi YS-Yen. Hed - 600'!$C$31*'SatışEkibi YS-Yen. Hed - 600'!$N50*'Satış YS-Yen.Hed (Ayık) - 600'!L$2</f>
        <v>224.90624999999997</v>
      </c>
      <c r="M68" s="276">
        <f>'SatışEkibi YS-Yen. Hed - 600'!$C$31*'SatışEkibi YS-Yen. Hed - 600'!$N50*'Satış YS-Yen.Hed (Ayık) - 600'!M$2</f>
        <v>227.90499999999997</v>
      </c>
      <c r="N68" s="276">
        <f>'SatışEkibi YS-Yen. Hed - 600'!$C$31*'SatışEkibi YS-Yen. Hed - 600'!$N50*'Satış YS-Yen.Hed (Ayık) - 600'!N$2</f>
        <v>259.39187499999997</v>
      </c>
      <c r="O68" s="295">
        <f t="shared" si="56"/>
        <v>2398.9999999999995</v>
      </c>
      <c r="Q68" s="277" t="str">
        <f t="shared" si="55"/>
        <v>Stokbar</v>
      </c>
      <c r="R68" s="278" t="str">
        <f t="shared" si="57"/>
        <v>Yenileme</v>
      </c>
      <c r="S68" s="279">
        <f t="shared" si="58"/>
        <v>536.77625</v>
      </c>
      <c r="T68" s="279">
        <f t="shared" si="59"/>
        <v>596.75125000000003</v>
      </c>
      <c r="U68" s="279">
        <f t="shared" si="60"/>
        <v>553.26937500000008</v>
      </c>
      <c r="V68" s="279">
        <f t="shared" si="61"/>
        <v>712.203125</v>
      </c>
      <c r="W68" s="279">
        <f t="shared" si="62"/>
        <v>2399</v>
      </c>
    </row>
    <row r="69" spans="1:23" ht="16" hidden="1" customHeight="1" outlineLevel="1" x14ac:dyDescent="0.2">
      <c r="A69" s="293" t="s">
        <v>27</v>
      </c>
      <c r="B69" s="294" t="s">
        <v>26</v>
      </c>
      <c r="C69" s="276">
        <f>'SatışEkibi YS-Yen. Hed - 600'!$D$31*'SatışEkibi YS-Yen. Hed - 600'!$O49*'Satış YS-Yen.Hed (Ayık) - 600'!C$2</f>
        <v>224.08125000000001</v>
      </c>
      <c r="D69" s="276">
        <f>'SatışEkibi YS-Yen. Hed - 600'!$D$31*'SatışEkibi YS-Yen. Hed - 600'!$O49*'Satış YS-Yen.Hed (Ayık) - 600'!D$2</f>
        <v>224.08125000000001</v>
      </c>
      <c r="E69" s="276">
        <f>'SatışEkibi YS-Yen. Hed - 600'!$D$31*'SatışEkibi YS-Yen. Hed - 600'!$O49*'Satış YS-Yen.Hed (Ayık) - 600'!E$2</f>
        <v>255.53125</v>
      </c>
      <c r="F69" s="276">
        <f>'SatışEkibi YS-Yen. Hed - 600'!$D$31*'SatışEkibi YS-Yen. Hed - 600'!$O49*'Satış YS-Yen.Hed (Ayık) - 600'!F$2</f>
        <v>249.63437500000001</v>
      </c>
      <c r="G69" s="276">
        <f>'SatışEkibi YS-Yen. Hed - 600'!$D$31*'SatışEkibi YS-Yen. Hed - 600'!$O49*'Satış YS-Yen.Hed (Ayık) - 600'!G$2</f>
        <v>249.63437500000001</v>
      </c>
      <c r="H69" s="276">
        <f>'SatışEkibi YS-Yen. Hed - 600'!$D$31*'SatışEkibi YS-Yen. Hed - 600'!$O49*'Satış YS-Yen.Hed (Ayık) - 600'!H$2</f>
        <v>283.04999999999995</v>
      </c>
      <c r="I69" s="276">
        <f>'SatışEkibi YS-Yen. Hed - 600'!$D$31*'SatışEkibi YS-Yen. Hed - 600'!$O49*'Satış YS-Yen.Hed (Ayık) - 600'!I$2</f>
        <v>235.875</v>
      </c>
      <c r="J69" s="276">
        <f>'SatışEkibi YS-Yen. Hed - 600'!$D$31*'SatışEkibi YS-Yen. Hed - 600'!$O49*'Satış YS-Yen.Hed (Ayık) - 600'!J$2</f>
        <v>237.84062499999999</v>
      </c>
      <c r="K69" s="276">
        <f>'SatışEkibi YS-Yen. Hed - 600'!$D$31*'SatışEkibi YS-Yen. Hed - 600'!$O49*'Satış YS-Yen.Hed (Ayık) - 600'!K$2</f>
        <v>251.6</v>
      </c>
      <c r="L69" s="276">
        <f>'SatışEkibi YS-Yen. Hed - 600'!$D$31*'SatışEkibi YS-Yen. Hed - 600'!$O49*'Satış YS-Yen.Hed (Ayık) - 600'!L$2</f>
        <v>294.84374999999994</v>
      </c>
      <c r="M69" s="276">
        <f>'SatışEkibi YS-Yen. Hed - 600'!$D$31*'SatışEkibi YS-Yen. Hed - 600'!$O49*'Satış YS-Yen.Hed (Ayık) - 600'!M$2</f>
        <v>298.77499999999998</v>
      </c>
      <c r="N69" s="276">
        <f>'SatışEkibi YS-Yen. Hed - 600'!$D$31*'SatışEkibi YS-Yen. Hed - 600'!$O49*'Satış YS-Yen.Hed (Ayık) - 600'!N$2</f>
        <v>340.05312500000002</v>
      </c>
      <c r="O69" s="295">
        <f t="shared" si="56"/>
        <v>3145</v>
      </c>
      <c r="Q69" s="277" t="str">
        <f t="shared" si="55"/>
        <v>Quest</v>
      </c>
      <c r="R69" s="278" t="str">
        <f t="shared" si="57"/>
        <v>Yeni Satış</v>
      </c>
      <c r="S69" s="279">
        <f t="shared" si="58"/>
        <v>703.69375000000002</v>
      </c>
      <c r="T69" s="279">
        <f t="shared" si="59"/>
        <v>782.31874999999991</v>
      </c>
      <c r="U69" s="279">
        <f t="shared" si="60"/>
        <v>725.31562499999995</v>
      </c>
      <c r="V69" s="279">
        <f t="shared" si="61"/>
        <v>933.67187499999989</v>
      </c>
      <c r="W69" s="279">
        <f t="shared" si="62"/>
        <v>3145</v>
      </c>
    </row>
    <row r="70" spans="1:23" ht="16" hidden="1" customHeight="1" outlineLevel="1" x14ac:dyDescent="0.2">
      <c r="A70" s="293" t="s">
        <v>27</v>
      </c>
      <c r="B70" s="294" t="s">
        <v>28</v>
      </c>
      <c r="C70" s="276">
        <f>'SatışEkibi YS-Yen. Hed - 600'!$D$31*'SatışEkibi YS-Yen. Hed - 600'!$O50*'Satış YS-Yen.Hed (Ayık) - 600'!C$2</f>
        <v>135.74040376302636</v>
      </c>
      <c r="D70" s="276">
        <f>'SatışEkibi YS-Yen. Hed - 600'!$D$31*'SatışEkibi YS-Yen. Hed - 600'!$O50*'Satış YS-Yen.Hed (Ayık) - 600'!D$2</f>
        <v>135.74040376302636</v>
      </c>
      <c r="E70" s="276">
        <f>'SatışEkibi YS-Yen. Hed - 600'!$D$31*'SatışEkibi YS-Yen. Hed - 600'!$O50*'Satış YS-Yen.Hed (Ayık) - 600'!E$2</f>
        <v>154.79168850169671</v>
      </c>
      <c r="F70" s="276">
        <f>'SatışEkibi YS-Yen. Hed - 600'!$D$31*'SatışEkibi YS-Yen. Hed - 600'!$O50*'Satış YS-Yen.Hed (Ayık) - 600'!F$2</f>
        <v>151.21957261319602</v>
      </c>
      <c r="G70" s="276">
        <f>'SatışEkibi YS-Yen. Hed - 600'!$D$31*'SatışEkibi YS-Yen. Hed - 600'!$O50*'Satış YS-Yen.Hed (Ayık) - 600'!G$2</f>
        <v>151.21957261319602</v>
      </c>
      <c r="H70" s="276">
        <f>'SatışEkibi YS-Yen. Hed - 600'!$D$31*'SatışEkibi YS-Yen. Hed - 600'!$O50*'Satış YS-Yen.Hed (Ayık) - 600'!H$2</f>
        <v>171.46156264803324</v>
      </c>
      <c r="I70" s="276">
        <f>'SatışEkibi YS-Yen. Hed - 600'!$D$31*'SatışEkibi YS-Yen. Hed - 600'!$O50*'Satış YS-Yen.Hed (Ayık) - 600'!I$2</f>
        <v>142.88463554002772</v>
      </c>
      <c r="J70" s="276">
        <f>'SatışEkibi YS-Yen. Hed - 600'!$D$31*'SatışEkibi YS-Yen. Hed - 600'!$O50*'Satış YS-Yen.Hed (Ayık) - 600'!J$2</f>
        <v>144.07534083619461</v>
      </c>
      <c r="K70" s="276">
        <f>'SatışEkibi YS-Yen. Hed - 600'!$D$31*'SatışEkibi YS-Yen. Hed - 600'!$O50*'Satış YS-Yen.Hed (Ayık) - 600'!K$2</f>
        <v>152.41027790936292</v>
      </c>
      <c r="L70" s="276">
        <f>'SatışEkibi YS-Yen. Hed - 600'!$D$31*'SatışEkibi YS-Yen. Hed - 600'!$O50*'Satış YS-Yen.Hed (Ayık) - 600'!L$2</f>
        <v>178.60579442503462</v>
      </c>
      <c r="M70" s="276">
        <f>'SatışEkibi YS-Yen. Hed - 600'!$D$31*'SatışEkibi YS-Yen. Hed - 600'!$O50*'Satış YS-Yen.Hed (Ayık) - 600'!M$2</f>
        <v>180.98720501736841</v>
      </c>
      <c r="N70" s="276">
        <f>'SatışEkibi YS-Yen. Hed - 600'!$D$31*'SatışEkibi YS-Yen. Hed - 600'!$O50*'Satış YS-Yen.Hed (Ayık) - 600'!N$2</f>
        <v>205.9920162368733</v>
      </c>
      <c r="O70" s="295">
        <f t="shared" si="56"/>
        <v>1905.1284738670363</v>
      </c>
      <c r="Q70" s="277" t="str">
        <f t="shared" si="55"/>
        <v>Quest</v>
      </c>
      <c r="R70" s="278" t="str">
        <f t="shared" si="57"/>
        <v>Yenileme</v>
      </c>
      <c r="S70" s="279">
        <f t="shared" si="58"/>
        <v>426.27249602774941</v>
      </c>
      <c r="T70" s="279">
        <f t="shared" si="59"/>
        <v>473.90070787442528</v>
      </c>
      <c r="U70" s="279">
        <f t="shared" si="60"/>
        <v>439.37025428558525</v>
      </c>
      <c r="V70" s="279">
        <f t="shared" si="61"/>
        <v>565.58501567927635</v>
      </c>
      <c r="W70" s="279">
        <f t="shared" si="62"/>
        <v>1905.1284738670361</v>
      </c>
    </row>
    <row r="71" spans="1:23" ht="16" hidden="1" customHeight="1" outlineLevel="1" x14ac:dyDescent="0.2">
      <c r="A71" s="293" t="s">
        <v>32</v>
      </c>
      <c r="B71" s="294" t="s">
        <v>26</v>
      </c>
      <c r="C71" s="276">
        <f>'SatışEkibi YS-Yen. Hed - 600'!$F$31*'SatışEkibi YS-Yen. Hed - 600'!$Q49*'Satış YS-Yen.Hed (Ayık) - 600'!C$2</f>
        <v>53.437500000000007</v>
      </c>
      <c r="D71" s="276">
        <f>'SatışEkibi YS-Yen. Hed - 600'!$F$31*'SatışEkibi YS-Yen. Hed - 600'!$Q49*'Satış YS-Yen.Hed (Ayık) - 600'!D$2</f>
        <v>53.437500000000007</v>
      </c>
      <c r="E71" s="276">
        <f>'SatışEkibi YS-Yen. Hed - 600'!$F$31*'SatışEkibi YS-Yen. Hed - 600'!$Q49*'Satış YS-Yen.Hed (Ayık) - 600'!E$2</f>
        <v>60.9375</v>
      </c>
      <c r="F71" s="276">
        <f>'SatışEkibi YS-Yen. Hed - 600'!$F$31*'SatışEkibi YS-Yen. Hed - 600'!$Q49*'Satış YS-Yen.Hed (Ayık) - 600'!F$2</f>
        <v>59.53125</v>
      </c>
      <c r="G71" s="276">
        <f>'SatışEkibi YS-Yen. Hed - 600'!$F$31*'SatışEkibi YS-Yen. Hed - 600'!$Q49*'Satış YS-Yen.Hed (Ayık) - 600'!G$2</f>
        <v>59.53125</v>
      </c>
      <c r="H71" s="276">
        <f>'SatışEkibi YS-Yen. Hed - 600'!$F$31*'SatışEkibi YS-Yen. Hed - 600'!$Q49*'Satış YS-Yen.Hed (Ayık) - 600'!H$2</f>
        <v>67.499999999999986</v>
      </c>
      <c r="I71" s="276">
        <f>'SatışEkibi YS-Yen. Hed - 600'!$F$31*'SatışEkibi YS-Yen. Hed - 600'!$Q49*'Satış YS-Yen.Hed (Ayık) - 600'!I$2</f>
        <v>56.25</v>
      </c>
      <c r="J71" s="276">
        <f>'SatışEkibi YS-Yen. Hed - 600'!$F$31*'SatışEkibi YS-Yen. Hed - 600'!$Q49*'Satış YS-Yen.Hed (Ayık) - 600'!J$2</f>
        <v>56.71875</v>
      </c>
      <c r="K71" s="276">
        <f>'SatışEkibi YS-Yen. Hed - 600'!$F$31*'SatışEkibi YS-Yen. Hed - 600'!$Q49*'Satış YS-Yen.Hed (Ayık) - 600'!K$2</f>
        <v>60</v>
      </c>
      <c r="L71" s="276">
        <f>'SatışEkibi YS-Yen. Hed - 600'!$F$31*'SatışEkibi YS-Yen. Hed - 600'!$Q49*'Satış YS-Yen.Hed (Ayık) - 600'!L$2</f>
        <v>70.312499999999986</v>
      </c>
      <c r="M71" s="276">
        <f>'SatışEkibi YS-Yen. Hed - 600'!$F$31*'SatışEkibi YS-Yen. Hed - 600'!$Q49*'Satış YS-Yen.Hed (Ayık) - 600'!M$2</f>
        <v>71.249999999999986</v>
      </c>
      <c r="N71" s="276">
        <f>'SatışEkibi YS-Yen. Hed - 600'!$F$31*'SatışEkibi YS-Yen. Hed - 600'!$Q49*'Satış YS-Yen.Hed (Ayık) - 600'!N$2</f>
        <v>81.09375</v>
      </c>
      <c r="O71" s="295">
        <f t="shared" si="56"/>
        <v>750</v>
      </c>
      <c r="Q71" s="277" t="str">
        <f t="shared" si="55"/>
        <v>Varuna</v>
      </c>
      <c r="R71" s="278" t="str">
        <f t="shared" si="57"/>
        <v>Yeni Satış</v>
      </c>
      <c r="S71" s="279">
        <f t="shared" si="58"/>
        <v>167.8125</v>
      </c>
      <c r="T71" s="279">
        <f t="shared" si="59"/>
        <v>186.5625</v>
      </c>
      <c r="U71" s="279">
        <f t="shared" si="60"/>
        <v>172.96875</v>
      </c>
      <c r="V71" s="279">
        <f t="shared" si="61"/>
        <v>222.65624999999997</v>
      </c>
      <c r="W71" s="279">
        <f t="shared" si="62"/>
        <v>750</v>
      </c>
    </row>
    <row r="72" spans="1:23" ht="16" hidden="1" customHeight="1" outlineLevel="1" x14ac:dyDescent="0.2">
      <c r="A72" s="293" t="s">
        <v>34</v>
      </c>
      <c r="B72" s="294" t="s">
        <v>26</v>
      </c>
      <c r="C72" s="276">
        <f>'SatışEkibi YS-Yen. Hed - 600'!$G$31*'SatışEkibi YS-Yen. Hed - 600'!$R49*'Satış YS-Yen.Hed (Ayık) - 600'!C$2</f>
        <v>71.250000000000014</v>
      </c>
      <c r="D72" s="276">
        <f>'SatışEkibi YS-Yen. Hed - 600'!$G$31*'SatışEkibi YS-Yen. Hed - 600'!$R49*'Satış YS-Yen.Hed (Ayık) - 600'!D$2</f>
        <v>71.250000000000014</v>
      </c>
      <c r="E72" s="276">
        <f>'SatışEkibi YS-Yen. Hed - 600'!$G$31*'SatışEkibi YS-Yen. Hed - 600'!$R49*'Satış YS-Yen.Hed (Ayık) - 600'!E$2</f>
        <v>81.25</v>
      </c>
      <c r="F72" s="276">
        <f>'SatışEkibi YS-Yen. Hed - 600'!$G$31*'SatışEkibi YS-Yen. Hed - 600'!$R49*'Satış YS-Yen.Hed (Ayık) - 600'!F$2</f>
        <v>79.375</v>
      </c>
      <c r="G72" s="276">
        <f>'SatışEkibi YS-Yen. Hed - 600'!$G$31*'SatışEkibi YS-Yen. Hed - 600'!$R49*'Satış YS-Yen.Hed (Ayık) - 600'!G$2</f>
        <v>79.375</v>
      </c>
      <c r="H72" s="276">
        <f>'SatışEkibi YS-Yen. Hed - 600'!$G$31*'SatışEkibi YS-Yen. Hed - 600'!$R49*'Satış YS-Yen.Hed (Ayık) - 600'!H$2</f>
        <v>89.999999999999986</v>
      </c>
      <c r="I72" s="276">
        <f>'SatışEkibi YS-Yen. Hed - 600'!$G$31*'SatışEkibi YS-Yen. Hed - 600'!$R49*'Satış YS-Yen.Hed (Ayık) - 600'!I$2</f>
        <v>75</v>
      </c>
      <c r="J72" s="276">
        <f>'SatışEkibi YS-Yen. Hed - 600'!$G$31*'SatışEkibi YS-Yen. Hed - 600'!$R49*'Satış YS-Yen.Hed (Ayık) - 600'!J$2</f>
        <v>75.625</v>
      </c>
      <c r="K72" s="276">
        <f>'SatışEkibi YS-Yen. Hed - 600'!$G$31*'SatışEkibi YS-Yen. Hed - 600'!$R49*'Satış YS-Yen.Hed (Ayık) - 600'!K$2</f>
        <v>80</v>
      </c>
      <c r="L72" s="276">
        <f>'SatışEkibi YS-Yen. Hed - 600'!$G$31*'SatışEkibi YS-Yen. Hed - 600'!$R49*'Satış YS-Yen.Hed (Ayık) - 600'!L$2</f>
        <v>93.749999999999986</v>
      </c>
      <c r="M72" s="276">
        <f>'SatışEkibi YS-Yen. Hed - 600'!$G$31*'SatışEkibi YS-Yen. Hed - 600'!$R49*'Satış YS-Yen.Hed (Ayık) - 600'!M$2</f>
        <v>94.999999999999986</v>
      </c>
      <c r="N72" s="276">
        <f>'SatışEkibi YS-Yen. Hed - 600'!$G$31*'SatışEkibi YS-Yen. Hed - 600'!$R49*'Satış YS-Yen.Hed (Ayık) - 600'!N$2</f>
        <v>108.125</v>
      </c>
      <c r="O72" s="295">
        <f t="shared" si="56"/>
        <v>1000</v>
      </c>
      <c r="Q72" s="277" t="str">
        <f t="shared" si="55"/>
        <v>Hosting</v>
      </c>
      <c r="R72" s="278" t="str">
        <f t="shared" si="57"/>
        <v>Yeni Satış</v>
      </c>
      <c r="S72" s="279">
        <f t="shared" si="58"/>
        <v>223.75000000000003</v>
      </c>
      <c r="T72" s="279">
        <f t="shared" si="59"/>
        <v>248.75</v>
      </c>
      <c r="U72" s="279">
        <f t="shared" si="60"/>
        <v>230.625</v>
      </c>
      <c r="V72" s="279">
        <f t="shared" si="61"/>
        <v>296.875</v>
      </c>
      <c r="W72" s="279">
        <f t="shared" si="62"/>
        <v>1000</v>
      </c>
    </row>
    <row r="73" spans="1:23" ht="16" hidden="1" customHeight="1" outlineLevel="1" x14ac:dyDescent="0.2">
      <c r="A73" s="293" t="s">
        <v>34</v>
      </c>
      <c r="B73" s="294" t="s">
        <v>28</v>
      </c>
      <c r="C73" s="276">
        <f>'SatışEkibi YS-Yen. Hed - 600'!$G$31*'SatışEkibi YS-Yen. Hed - 600'!$R50*'Satış YS-Yen.Hed (Ayık) - 600'!C$2</f>
        <v>458.92125000000004</v>
      </c>
      <c r="D73" s="276">
        <f>'SatışEkibi YS-Yen. Hed - 600'!$G$31*'SatışEkibi YS-Yen. Hed - 600'!$R50*'Satış YS-Yen.Hed (Ayık) - 600'!D$2</f>
        <v>458.92125000000004</v>
      </c>
      <c r="E73" s="276">
        <f>'SatışEkibi YS-Yen. Hed - 600'!$G$31*'SatışEkibi YS-Yen. Hed - 600'!$R50*'Satış YS-Yen.Hed (Ayık) - 600'!E$2</f>
        <v>523.33125000000007</v>
      </c>
      <c r="F73" s="276">
        <f>'SatışEkibi YS-Yen. Hed - 600'!$G$31*'SatışEkibi YS-Yen. Hed - 600'!$R50*'Satış YS-Yen.Hed (Ayık) - 600'!F$2</f>
        <v>511.25437499999998</v>
      </c>
      <c r="G73" s="276">
        <f>'SatışEkibi YS-Yen. Hed - 600'!$G$31*'SatışEkibi YS-Yen. Hed - 600'!$R50*'Satış YS-Yen.Hed (Ayık) - 600'!G$2</f>
        <v>511.25437499999998</v>
      </c>
      <c r="H73" s="276">
        <f>'SatışEkibi YS-Yen. Hed - 600'!$G$31*'SatışEkibi YS-Yen. Hed - 600'!$R50*'Satış YS-Yen.Hed (Ayık) - 600'!H$2</f>
        <v>579.68999999999994</v>
      </c>
      <c r="I73" s="276">
        <f>'SatışEkibi YS-Yen. Hed - 600'!$G$31*'SatışEkibi YS-Yen. Hed - 600'!$R50*'Satış YS-Yen.Hed (Ayık) - 600'!I$2</f>
        <v>483.07499999999999</v>
      </c>
      <c r="J73" s="276">
        <f>'SatışEkibi YS-Yen. Hed - 600'!$G$31*'SatışEkibi YS-Yen. Hed - 600'!$R50*'Satış YS-Yen.Hed (Ayık) - 600'!J$2</f>
        <v>487.10062499999998</v>
      </c>
      <c r="K73" s="276">
        <f>'SatışEkibi YS-Yen. Hed - 600'!$G$31*'SatışEkibi YS-Yen. Hed - 600'!$R50*'Satış YS-Yen.Hed (Ayık) - 600'!K$2</f>
        <v>515.28</v>
      </c>
      <c r="L73" s="276">
        <f>'SatışEkibi YS-Yen. Hed - 600'!$G$31*'SatışEkibi YS-Yen. Hed - 600'!$R50*'Satış YS-Yen.Hed (Ayık) - 600'!L$2</f>
        <v>603.84374999999989</v>
      </c>
      <c r="M73" s="276">
        <f>'SatışEkibi YS-Yen. Hed - 600'!$G$31*'SatışEkibi YS-Yen. Hed - 600'!$R50*'Satış YS-Yen.Hed (Ayık) - 600'!M$2</f>
        <v>611.89499999999987</v>
      </c>
      <c r="N73" s="276">
        <f>'SatışEkibi YS-Yen. Hed - 600'!$G$31*'SatışEkibi YS-Yen. Hed - 600'!$R50*'Satış YS-Yen.Hed (Ayık) - 600'!N$2</f>
        <v>696.43312500000002</v>
      </c>
      <c r="O73" s="295">
        <f t="shared" si="56"/>
        <v>6441</v>
      </c>
      <c r="Q73" s="277" t="str">
        <f t="shared" si="55"/>
        <v>Hosting</v>
      </c>
      <c r="R73" s="278" t="str">
        <f t="shared" si="57"/>
        <v>Yenileme</v>
      </c>
      <c r="S73" s="279">
        <f t="shared" si="58"/>
        <v>1441.1737500000002</v>
      </c>
      <c r="T73" s="279">
        <f t="shared" si="59"/>
        <v>1602.19875</v>
      </c>
      <c r="U73" s="279">
        <f t="shared" si="60"/>
        <v>1485.4556250000001</v>
      </c>
      <c r="V73" s="279">
        <f t="shared" si="61"/>
        <v>1912.1718749999998</v>
      </c>
      <c r="W73" s="279">
        <f t="shared" si="62"/>
        <v>6441</v>
      </c>
    </row>
    <row r="74" spans="1:23" ht="16" hidden="1" customHeight="1" outlineLevel="1" x14ac:dyDescent="0.2">
      <c r="A74" s="293" t="s">
        <v>35</v>
      </c>
      <c r="B74" s="294" t="s">
        <v>26</v>
      </c>
      <c r="C74" s="276">
        <f>'SatışEkibi YS-Yen. Hed - 600'!$I$31*'SatışEkibi YS-Yen. Hed - 600'!$T49*'Satış YS-Yen.Hed (Ayık) - 600'!C$2</f>
        <v>102.31500000000001</v>
      </c>
      <c r="D74" s="276">
        <f>'SatışEkibi YS-Yen. Hed - 600'!$I$31*'SatışEkibi YS-Yen. Hed - 600'!$T49*'Satış YS-Yen.Hed (Ayık) - 600'!D$2</f>
        <v>102.31500000000001</v>
      </c>
      <c r="E74" s="276">
        <f>'SatışEkibi YS-Yen. Hed - 600'!$I$31*'SatışEkibi YS-Yen. Hed - 600'!$T49*'Satış YS-Yen.Hed (Ayık) - 600'!E$2</f>
        <v>116.675</v>
      </c>
      <c r="F74" s="276">
        <f>'SatışEkibi YS-Yen. Hed - 600'!$I$31*'SatışEkibi YS-Yen. Hed - 600'!$T49*'Satış YS-Yen.Hed (Ayık) - 600'!F$2</f>
        <v>113.9825</v>
      </c>
      <c r="G74" s="276">
        <f>'SatışEkibi YS-Yen. Hed - 600'!$I$31*'SatışEkibi YS-Yen. Hed - 600'!$T49*'Satış YS-Yen.Hed (Ayık) - 600'!G$2</f>
        <v>113.9825</v>
      </c>
      <c r="H74" s="276">
        <f>'SatışEkibi YS-Yen. Hed - 600'!$I$31*'SatışEkibi YS-Yen. Hed - 600'!$T49*'Satış YS-Yen.Hed (Ayık) - 600'!H$2</f>
        <v>129.23999999999998</v>
      </c>
      <c r="I74" s="276">
        <f>'SatışEkibi YS-Yen. Hed - 600'!$I$31*'SatışEkibi YS-Yen. Hed - 600'!$T49*'Satış YS-Yen.Hed (Ayık) - 600'!I$2</f>
        <v>107.7</v>
      </c>
      <c r="J74" s="276">
        <f>'SatışEkibi YS-Yen. Hed - 600'!$I$31*'SatışEkibi YS-Yen. Hed - 600'!$T49*'Satış YS-Yen.Hed (Ayık) - 600'!J$2</f>
        <v>108.5975</v>
      </c>
      <c r="K74" s="276">
        <f>'SatışEkibi YS-Yen. Hed - 600'!$I$31*'SatışEkibi YS-Yen. Hed - 600'!$T49*'Satış YS-Yen.Hed (Ayık) - 600'!K$2</f>
        <v>114.88</v>
      </c>
      <c r="L74" s="276">
        <f>'SatışEkibi YS-Yen. Hed - 600'!$I$31*'SatışEkibi YS-Yen. Hed - 600'!$T49*'Satış YS-Yen.Hed (Ayık) - 600'!L$2</f>
        <v>134.62499999999997</v>
      </c>
      <c r="M74" s="276">
        <f>'SatışEkibi YS-Yen. Hed - 600'!$I$31*'SatışEkibi YS-Yen. Hed - 600'!$T49*'Satış YS-Yen.Hed (Ayık) - 600'!M$2</f>
        <v>136.41999999999999</v>
      </c>
      <c r="N74" s="276">
        <f>'SatışEkibi YS-Yen. Hed - 600'!$I$31*'SatışEkibi YS-Yen. Hed - 600'!$T49*'Satış YS-Yen.Hed (Ayık) - 600'!N$2</f>
        <v>155.26750000000001</v>
      </c>
      <c r="O74" s="295">
        <f t="shared" si="56"/>
        <v>1436</v>
      </c>
      <c r="Q74" s="277" t="str">
        <f t="shared" si="55"/>
        <v>BFH</v>
      </c>
      <c r="R74" s="278" t="str">
        <f t="shared" si="57"/>
        <v>Yeni Satış</v>
      </c>
      <c r="S74" s="279">
        <f t="shared" si="58"/>
        <v>321.30500000000001</v>
      </c>
      <c r="T74" s="279">
        <f t="shared" si="59"/>
        <v>357.20499999999998</v>
      </c>
      <c r="U74" s="279">
        <f t="shared" si="60"/>
        <v>331.17750000000001</v>
      </c>
      <c r="V74" s="279">
        <f t="shared" si="61"/>
        <v>426.3125</v>
      </c>
      <c r="W74" s="279">
        <f t="shared" si="62"/>
        <v>1436</v>
      </c>
    </row>
    <row r="75" spans="1:23" ht="16" customHeight="1" collapsed="1" x14ac:dyDescent="0.2">
      <c r="A75" s="283" t="s">
        <v>30</v>
      </c>
      <c r="B75" s="284" t="s">
        <v>26</v>
      </c>
      <c r="C75" s="282">
        <f>SUMIF($B$65:$B$74,"Yeni Satış",C65:C74)</f>
        <v>949.83375000000024</v>
      </c>
      <c r="D75" s="282">
        <f t="shared" ref="D75:N75" si="63">SUMIF($B$65:$B$74,"Yeni Satış",D65:D74)</f>
        <v>949.83375000000024</v>
      </c>
      <c r="E75" s="282">
        <f t="shared" si="63"/>
        <v>1083.14375</v>
      </c>
      <c r="F75" s="282">
        <f t="shared" si="63"/>
        <v>1058.1481249999999</v>
      </c>
      <c r="G75" s="282">
        <f t="shared" si="63"/>
        <v>1058.1481249999999</v>
      </c>
      <c r="H75" s="282">
        <f t="shared" si="63"/>
        <v>1199.7899999999997</v>
      </c>
      <c r="I75" s="282">
        <f t="shared" si="63"/>
        <v>999.82500000000005</v>
      </c>
      <c r="J75" s="282">
        <f t="shared" si="63"/>
        <v>1008.156875</v>
      </c>
      <c r="K75" s="282">
        <f t="shared" si="63"/>
        <v>1066.48</v>
      </c>
      <c r="L75" s="282">
        <f t="shared" si="63"/>
        <v>1249.7812499999998</v>
      </c>
      <c r="M75" s="282">
        <f t="shared" si="63"/>
        <v>1266.4449999999999</v>
      </c>
      <c r="N75" s="282">
        <f t="shared" si="63"/>
        <v>1441.4143749999998</v>
      </c>
      <c r="O75" s="296">
        <f>SUMIF(B65:B74,"Yeni Satış",O65:O74)</f>
        <v>13331</v>
      </c>
      <c r="Q75" s="283" t="s">
        <v>30</v>
      </c>
      <c r="R75" s="284" t="str">
        <f t="shared" si="57"/>
        <v>Yeni Satış</v>
      </c>
      <c r="S75" s="285">
        <f>SUMIF(R65:R74,"Yeni Satış",S65:S74)</f>
        <v>2982.8112499999997</v>
      </c>
      <c r="T75" s="285">
        <f>SUMIF(R65:R74,"Yeni Satış",T65:T74)</f>
        <v>3316.0862499999998</v>
      </c>
      <c r="U75" s="285">
        <f>SUMIF(R65:R74,"Yeni Satış",U65:U74)</f>
        <v>3074.461875</v>
      </c>
      <c r="V75" s="285">
        <f>SUMIF(R65:R74,"Yeni Satış",V65:V74)</f>
        <v>3957.640625</v>
      </c>
      <c r="W75" s="285">
        <f t="shared" si="62"/>
        <v>13331</v>
      </c>
    </row>
    <row r="76" spans="1:23" ht="16" customHeight="1" x14ac:dyDescent="0.2">
      <c r="A76" s="283" t="s">
        <v>30</v>
      </c>
      <c r="B76" s="284" t="s">
        <v>28</v>
      </c>
      <c r="C76" s="282">
        <f>SUMIF($B$65:$B$74,"Yenileme",C65:C74)</f>
        <v>1691.8404037630264</v>
      </c>
      <c r="D76" s="282">
        <f t="shared" ref="D76:N76" si="64">SUMIF($B$65:$B$74,"Yenileme",D65:D74)</f>
        <v>1691.8404037630264</v>
      </c>
      <c r="E76" s="282">
        <f t="shared" si="64"/>
        <v>1929.2916885016966</v>
      </c>
      <c r="F76" s="282">
        <f t="shared" si="64"/>
        <v>1884.769572613196</v>
      </c>
      <c r="G76" s="282">
        <f t="shared" si="64"/>
        <v>1884.769572613196</v>
      </c>
      <c r="H76" s="282">
        <f t="shared" si="64"/>
        <v>2137.061562648033</v>
      </c>
      <c r="I76" s="282">
        <f t="shared" si="64"/>
        <v>1780.8846355400276</v>
      </c>
      <c r="J76" s="282">
        <f t="shared" si="64"/>
        <v>1795.7253408361946</v>
      </c>
      <c r="K76" s="282">
        <f t="shared" si="64"/>
        <v>1899.610277909363</v>
      </c>
      <c r="L76" s="282">
        <f t="shared" si="64"/>
        <v>2226.1057944250342</v>
      </c>
      <c r="M76" s="282">
        <f t="shared" si="64"/>
        <v>2255.7872050173683</v>
      </c>
      <c r="N76" s="282">
        <f t="shared" si="64"/>
        <v>2567.4420162368733</v>
      </c>
      <c r="O76" s="296">
        <f>SUMIF(B65:B74,"Yenileme",O65:O74)</f>
        <v>23745.128473867037</v>
      </c>
      <c r="Q76" s="283" t="s">
        <v>30</v>
      </c>
      <c r="R76" s="284" t="str">
        <f t="shared" si="57"/>
        <v>Yenileme</v>
      </c>
      <c r="S76" s="285">
        <f>SUMIF(R65:R74,"Yenileme",S65:S74)</f>
        <v>5312.972496027749</v>
      </c>
      <c r="T76" s="285">
        <f>SUMIF(R65:R74,"Yenileme",T65:T74)</f>
        <v>5906.600707874426</v>
      </c>
      <c r="U76" s="285">
        <f>SUMIF(R65:R74,"Yenileme",U65:U74)</f>
        <v>5476.2202542855848</v>
      </c>
      <c r="V76" s="285">
        <f>SUMIF(R65:R74,"Yenileme",V65:V74)</f>
        <v>7049.3350156792767</v>
      </c>
      <c r="W76" s="285">
        <f t="shared" si="62"/>
        <v>23745.128473867037</v>
      </c>
    </row>
    <row r="77" spans="1:23" ht="16" customHeight="1" x14ac:dyDescent="0.2">
      <c r="A77" s="297" t="s">
        <v>38</v>
      </c>
      <c r="B77" s="298" t="s">
        <v>144</v>
      </c>
      <c r="C77" s="288">
        <f>SUM(C75:C76)</f>
        <v>2641.6741537630269</v>
      </c>
      <c r="D77" s="288">
        <f t="shared" ref="D77:N77" si="65">SUM(D75:D76)</f>
        <v>2641.6741537630269</v>
      </c>
      <c r="E77" s="288">
        <f t="shared" si="65"/>
        <v>3012.4354385016968</v>
      </c>
      <c r="F77" s="288">
        <f t="shared" si="65"/>
        <v>2942.9176976131957</v>
      </c>
      <c r="G77" s="288">
        <f t="shared" si="65"/>
        <v>2942.9176976131957</v>
      </c>
      <c r="H77" s="288">
        <f t="shared" si="65"/>
        <v>3336.851562648033</v>
      </c>
      <c r="I77" s="288">
        <f t="shared" si="65"/>
        <v>2780.7096355400276</v>
      </c>
      <c r="J77" s="288">
        <f t="shared" si="65"/>
        <v>2803.8822158361945</v>
      </c>
      <c r="K77" s="288">
        <f t="shared" si="65"/>
        <v>2966.0902779093631</v>
      </c>
      <c r="L77" s="288">
        <f t="shared" si="65"/>
        <v>3475.8870444250342</v>
      </c>
      <c r="M77" s="288">
        <f t="shared" si="65"/>
        <v>3522.232205017368</v>
      </c>
      <c r="N77" s="288">
        <f t="shared" si="65"/>
        <v>4008.8563912368732</v>
      </c>
      <c r="O77" s="304">
        <f>O75+O76</f>
        <v>37076.128473867037</v>
      </c>
      <c r="Q77" s="297" t="s">
        <v>38</v>
      </c>
      <c r="R77" s="298" t="str">
        <f t="shared" si="57"/>
        <v>YS + Yen.</v>
      </c>
      <c r="S77" s="302">
        <f>S75+S76</f>
        <v>8295.7837460277478</v>
      </c>
      <c r="T77" s="302">
        <f>T75+T76</f>
        <v>9222.6869578744263</v>
      </c>
      <c r="U77" s="302">
        <f>U75+U76</f>
        <v>8550.6821292855857</v>
      </c>
      <c r="V77" s="302">
        <f>V75+V76</f>
        <v>11006.975640679277</v>
      </c>
      <c r="W77" s="291">
        <f>W75+W76</f>
        <v>37076.128473867037</v>
      </c>
    </row>
    <row r="78" spans="1:23" ht="16" customHeight="1" x14ac:dyDescent="0.2"/>
    <row r="79" spans="1:23" x14ac:dyDescent="0.2">
      <c r="A79" s="264" t="s">
        <v>149</v>
      </c>
      <c r="B79" s="264"/>
      <c r="C79" s="266" t="s">
        <v>131</v>
      </c>
      <c r="D79" s="266" t="s">
        <v>132</v>
      </c>
      <c r="E79" s="266" t="s">
        <v>133</v>
      </c>
      <c r="F79" s="266" t="s">
        <v>134</v>
      </c>
      <c r="G79" s="266" t="s">
        <v>135</v>
      </c>
      <c r="H79" s="266" t="s">
        <v>136</v>
      </c>
      <c r="I79" s="266" t="s">
        <v>137</v>
      </c>
      <c r="J79" s="266" t="s">
        <v>138</v>
      </c>
      <c r="K79" s="266" t="s">
        <v>139</v>
      </c>
      <c r="L79" s="266" t="s">
        <v>140</v>
      </c>
      <c r="M79" s="266" t="s">
        <v>141</v>
      </c>
      <c r="N79" s="266" t="s">
        <v>142</v>
      </c>
      <c r="O79" s="266" t="s">
        <v>143</v>
      </c>
      <c r="Q79" s="301" t="str">
        <f t="shared" ref="Q79:Q89" si="66">A79</f>
        <v>Melike Akgünlü  —  Direkt Satış</v>
      </c>
      <c r="R79" s="301"/>
      <c r="S79" s="266" t="s">
        <v>154</v>
      </c>
      <c r="T79" s="266" t="s">
        <v>155</v>
      </c>
      <c r="U79" s="266" t="s">
        <v>156</v>
      </c>
      <c r="V79" s="266" t="s">
        <v>157</v>
      </c>
      <c r="W79" s="266" t="s">
        <v>143</v>
      </c>
    </row>
    <row r="80" spans="1:23" ht="16" hidden="1" customHeight="1" outlineLevel="1" x14ac:dyDescent="0.2">
      <c r="A80" s="293" t="s">
        <v>25</v>
      </c>
      <c r="B80" s="294" t="s">
        <v>26</v>
      </c>
      <c r="C80" s="276">
        <f>'SatışEkibi YS-Yen. Hed - 600'!$B$52*C$2</f>
        <v>540.07500000000005</v>
      </c>
      <c r="D80" s="276">
        <f>'SatışEkibi YS-Yen. Hed - 600'!$B$52*D$2</f>
        <v>540.07500000000005</v>
      </c>
      <c r="E80" s="276">
        <f>'SatışEkibi YS-Yen. Hed - 600'!$B$52*E$2</f>
        <v>615.875</v>
      </c>
      <c r="F80" s="276">
        <f>'SatışEkibi YS-Yen. Hed - 600'!$B$52*F$2</f>
        <v>601.66250000000002</v>
      </c>
      <c r="G80" s="276">
        <f>'SatışEkibi YS-Yen. Hed - 600'!$B$52*G$2</f>
        <v>601.66250000000002</v>
      </c>
      <c r="H80" s="276">
        <f>'SatışEkibi YS-Yen. Hed - 600'!$B$52*H$2</f>
        <v>682.19999999999982</v>
      </c>
      <c r="I80" s="276">
        <f>'SatışEkibi YS-Yen. Hed - 600'!$B$52*I$2</f>
        <v>568.5</v>
      </c>
      <c r="J80" s="276">
        <f>'SatışEkibi YS-Yen. Hed - 600'!$B$52*J$2</f>
        <v>573.23749999999995</v>
      </c>
      <c r="K80" s="276">
        <f>'SatışEkibi YS-Yen. Hed - 600'!$B$52*K$2</f>
        <v>606.4</v>
      </c>
      <c r="L80" s="276">
        <f>'SatışEkibi YS-Yen. Hed - 600'!$B$52*L$2</f>
        <v>710.62499999999989</v>
      </c>
      <c r="M80" s="276">
        <f>'SatışEkibi YS-Yen. Hed - 600'!$B$52*M$2</f>
        <v>720.09999999999991</v>
      </c>
      <c r="N80" s="276">
        <f>'SatışEkibi YS-Yen. Hed - 600'!$B$52*N$2</f>
        <v>819.58749999999998</v>
      </c>
      <c r="O80" s="295">
        <f t="shared" ref="O80:O89" si="67">SUM(C80:N80)</f>
        <v>7579.9999999999982</v>
      </c>
      <c r="Q80" s="277" t="str">
        <f t="shared" si="66"/>
        <v>Enroute</v>
      </c>
      <c r="R80" s="278" t="str">
        <f t="shared" ref="R80:R92" si="68">B80</f>
        <v>Yeni Satış</v>
      </c>
      <c r="S80" s="279">
        <f t="shared" ref="S80:S89" si="69">SUM(C80:E80)</f>
        <v>1696.0250000000001</v>
      </c>
      <c r="T80" s="279">
        <f t="shared" ref="T80:T89" si="70">SUM(F80:H80)</f>
        <v>1885.5249999999999</v>
      </c>
      <c r="U80" s="279">
        <f t="shared" ref="U80:U89" si="71">SUM(I80:K80)</f>
        <v>1748.1374999999998</v>
      </c>
      <c r="V80" s="279">
        <f t="shared" ref="V80:V89" si="72">SUM(L80:N80)</f>
        <v>2250.3125</v>
      </c>
      <c r="W80" s="279">
        <f t="shared" ref="W80:W91" si="73">SUM(S80:V80)</f>
        <v>7580</v>
      </c>
    </row>
    <row r="81" spans="1:23" ht="16" hidden="1" customHeight="1" outlineLevel="1" x14ac:dyDescent="0.2">
      <c r="A81" s="293" t="s">
        <v>25</v>
      </c>
      <c r="B81" s="294" t="s">
        <v>28</v>
      </c>
      <c r="C81" s="276">
        <f>'SatışEkibi YS-Yen. Hed - 600'!$B$53*'Satış YS-Yen.Hed (Ayık) - 600'!C$2</f>
        <v>611.82375000000002</v>
      </c>
      <c r="D81" s="276">
        <f>'SatışEkibi YS-Yen. Hed - 600'!$B$53*'Satış YS-Yen.Hed (Ayık) - 600'!D$2</f>
        <v>611.82375000000002</v>
      </c>
      <c r="E81" s="276">
        <f>'SatışEkibi YS-Yen. Hed - 600'!$B$53*'Satış YS-Yen.Hed (Ayık) - 600'!E$2</f>
        <v>697.69375000000002</v>
      </c>
      <c r="F81" s="276">
        <f>'SatışEkibi YS-Yen. Hed - 600'!$B$53*'Satış YS-Yen.Hed (Ayık) - 600'!F$2</f>
        <v>681.59312499999999</v>
      </c>
      <c r="G81" s="276">
        <f>'SatışEkibi YS-Yen. Hed - 600'!$B$53*'Satış YS-Yen.Hed (Ayık) - 600'!G$2</f>
        <v>681.59312499999999</v>
      </c>
      <c r="H81" s="276">
        <f>'SatışEkibi YS-Yen. Hed - 600'!$B$53*'Satış YS-Yen.Hed (Ayık) - 600'!H$2</f>
        <v>772.82999999999981</v>
      </c>
      <c r="I81" s="276">
        <f>'SatışEkibi YS-Yen. Hed - 600'!$B$53*'Satış YS-Yen.Hed (Ayık) - 600'!I$2</f>
        <v>644.02499999999998</v>
      </c>
      <c r="J81" s="276">
        <f>'SatışEkibi YS-Yen. Hed - 600'!$B$53*'Satış YS-Yen.Hed (Ayık) - 600'!J$2</f>
        <v>649.39187500000003</v>
      </c>
      <c r="K81" s="276">
        <f>'SatışEkibi YS-Yen. Hed - 600'!$B$53*'Satış YS-Yen.Hed (Ayık) - 600'!K$2</f>
        <v>686.96</v>
      </c>
      <c r="L81" s="276">
        <f>'SatışEkibi YS-Yen. Hed - 600'!$B$53*'Satış YS-Yen.Hed (Ayık) - 600'!L$2</f>
        <v>805.03124999999989</v>
      </c>
      <c r="M81" s="276">
        <f>'SatışEkibi YS-Yen. Hed - 600'!$B$53*'Satış YS-Yen.Hed (Ayık) - 600'!M$2</f>
        <v>815.76499999999987</v>
      </c>
      <c r="N81" s="276">
        <f>'SatışEkibi YS-Yen. Hed - 600'!$B$53*'Satış YS-Yen.Hed (Ayık) - 600'!N$2</f>
        <v>928.46937500000001</v>
      </c>
      <c r="O81" s="295">
        <f t="shared" si="67"/>
        <v>8587</v>
      </c>
      <c r="Q81" s="277" t="str">
        <f t="shared" si="66"/>
        <v>Enroute</v>
      </c>
      <c r="R81" s="278" t="str">
        <f t="shared" si="68"/>
        <v>Yenileme</v>
      </c>
      <c r="S81" s="279">
        <f t="shared" si="69"/>
        <v>1921.3412499999999</v>
      </c>
      <c r="T81" s="279">
        <f t="shared" si="70"/>
        <v>2136.0162499999997</v>
      </c>
      <c r="U81" s="279">
        <f t="shared" si="71"/>
        <v>1980.3768749999999</v>
      </c>
      <c r="V81" s="279">
        <f t="shared" si="72"/>
        <v>2549.265625</v>
      </c>
      <c r="W81" s="279">
        <f t="shared" si="73"/>
        <v>8587</v>
      </c>
    </row>
    <row r="82" spans="1:23" ht="16" hidden="1" customHeight="1" outlineLevel="1" x14ac:dyDescent="0.2">
      <c r="A82" s="293" t="s">
        <v>29</v>
      </c>
      <c r="B82" s="294" t="s">
        <v>26</v>
      </c>
      <c r="C82" s="276">
        <f>'SatışEkibi YS-Yen. Hed - 600'!$C$52*C$2</f>
        <v>498.75000000000006</v>
      </c>
      <c r="D82" s="276">
        <f>'SatışEkibi YS-Yen. Hed - 600'!$C$52*D$2</f>
        <v>498.75000000000006</v>
      </c>
      <c r="E82" s="276">
        <f>'SatışEkibi YS-Yen. Hed - 600'!$C$52*E$2</f>
        <v>568.75</v>
      </c>
      <c r="F82" s="276">
        <f>'SatışEkibi YS-Yen. Hed - 600'!$C$52*F$2</f>
        <v>555.625</v>
      </c>
      <c r="G82" s="276">
        <f>'SatışEkibi YS-Yen. Hed - 600'!$C$52*G$2</f>
        <v>555.625</v>
      </c>
      <c r="H82" s="276">
        <f>'SatışEkibi YS-Yen. Hed - 600'!$C$52*H$2</f>
        <v>629.99999999999989</v>
      </c>
      <c r="I82" s="276">
        <f>'SatışEkibi YS-Yen. Hed - 600'!$C$52*I$2</f>
        <v>525</v>
      </c>
      <c r="J82" s="276">
        <f>'SatışEkibi YS-Yen. Hed - 600'!$C$52*J$2</f>
        <v>529.375</v>
      </c>
      <c r="K82" s="276">
        <f>'SatışEkibi YS-Yen. Hed - 600'!$C$52*K$2</f>
        <v>560</v>
      </c>
      <c r="L82" s="276">
        <f>'SatışEkibi YS-Yen. Hed - 600'!$C$52*L$2</f>
        <v>656.24999999999989</v>
      </c>
      <c r="M82" s="276">
        <f>'SatışEkibi YS-Yen. Hed - 600'!$C$52*M$2</f>
        <v>664.99999999999989</v>
      </c>
      <c r="N82" s="276">
        <f>'SatışEkibi YS-Yen. Hed - 600'!$C$52*N$2</f>
        <v>756.875</v>
      </c>
      <c r="O82" s="295">
        <f t="shared" si="67"/>
        <v>7000</v>
      </c>
      <c r="Q82" s="277" t="str">
        <f t="shared" si="66"/>
        <v>Stokbar</v>
      </c>
      <c r="R82" s="278" t="str">
        <f t="shared" si="68"/>
        <v>Yeni Satış</v>
      </c>
      <c r="S82" s="279">
        <f t="shared" si="69"/>
        <v>1566.25</v>
      </c>
      <c r="T82" s="279">
        <f t="shared" si="70"/>
        <v>1741.25</v>
      </c>
      <c r="U82" s="279">
        <f t="shared" si="71"/>
        <v>1614.375</v>
      </c>
      <c r="V82" s="279">
        <f t="shared" si="72"/>
        <v>2078.125</v>
      </c>
      <c r="W82" s="279">
        <f t="shared" si="73"/>
        <v>7000</v>
      </c>
    </row>
    <row r="83" spans="1:23" ht="16" hidden="1" customHeight="1" outlineLevel="1" x14ac:dyDescent="0.2">
      <c r="A83" s="293" t="s">
        <v>29</v>
      </c>
      <c r="B83" s="294" t="s">
        <v>28</v>
      </c>
      <c r="C83" s="276">
        <f>'SatışEkibi YS-Yen. Hed - 600'!$C$53*'Satış YS-Yen.Hed (Ayık) - 600'!C$2</f>
        <v>57.285000000000004</v>
      </c>
      <c r="D83" s="276">
        <f>'SatışEkibi YS-Yen. Hed - 600'!$C$53*'Satış YS-Yen.Hed (Ayık) - 600'!D$2</f>
        <v>57.285000000000004</v>
      </c>
      <c r="E83" s="276">
        <f>'SatışEkibi YS-Yen. Hed - 600'!$C$53*'Satış YS-Yen.Hed (Ayık) - 600'!E$2</f>
        <v>65.325000000000003</v>
      </c>
      <c r="F83" s="276">
        <f>'SatışEkibi YS-Yen. Hed - 600'!$C$53*'Satış YS-Yen.Hed (Ayık) - 600'!F$2</f>
        <v>63.817500000000003</v>
      </c>
      <c r="G83" s="276">
        <f>'SatışEkibi YS-Yen. Hed - 600'!$C$53*'Satış YS-Yen.Hed (Ayık) - 600'!G$2</f>
        <v>63.817500000000003</v>
      </c>
      <c r="H83" s="276">
        <f>'SatışEkibi YS-Yen. Hed - 600'!$C$53*'Satış YS-Yen.Hed (Ayık) - 600'!H$2</f>
        <v>72.359999999999985</v>
      </c>
      <c r="I83" s="276">
        <f>'SatışEkibi YS-Yen. Hed - 600'!$C$53*'Satış YS-Yen.Hed (Ayık) - 600'!I$2</f>
        <v>60.3</v>
      </c>
      <c r="J83" s="276">
        <f>'SatışEkibi YS-Yen. Hed - 600'!$C$53*'Satış YS-Yen.Hed (Ayık) - 600'!J$2</f>
        <v>60.802499999999995</v>
      </c>
      <c r="K83" s="276">
        <f>'SatışEkibi YS-Yen. Hed - 600'!$C$53*'Satış YS-Yen.Hed (Ayık) - 600'!K$2</f>
        <v>64.320000000000007</v>
      </c>
      <c r="L83" s="276">
        <f>'SatışEkibi YS-Yen. Hed - 600'!$C$53*'Satış YS-Yen.Hed (Ayık) - 600'!L$2</f>
        <v>75.374999999999986</v>
      </c>
      <c r="M83" s="276">
        <f>'SatışEkibi YS-Yen. Hed - 600'!$C$53*'Satış YS-Yen.Hed (Ayık) - 600'!M$2</f>
        <v>76.38</v>
      </c>
      <c r="N83" s="276">
        <f>'SatışEkibi YS-Yen. Hed - 600'!$C$53*'Satış YS-Yen.Hed (Ayık) - 600'!N$2</f>
        <v>86.932500000000005</v>
      </c>
      <c r="O83" s="295">
        <f t="shared" si="67"/>
        <v>804</v>
      </c>
      <c r="Q83" s="277" t="str">
        <f t="shared" si="66"/>
        <v>Stokbar</v>
      </c>
      <c r="R83" s="278" t="str">
        <f t="shared" si="68"/>
        <v>Yenileme</v>
      </c>
      <c r="S83" s="279">
        <f t="shared" si="69"/>
        <v>179.89500000000001</v>
      </c>
      <c r="T83" s="279">
        <f t="shared" si="70"/>
        <v>199.995</v>
      </c>
      <c r="U83" s="279">
        <f t="shared" si="71"/>
        <v>185.42250000000001</v>
      </c>
      <c r="V83" s="279">
        <f t="shared" si="72"/>
        <v>238.6875</v>
      </c>
      <c r="W83" s="279">
        <f t="shared" si="73"/>
        <v>804</v>
      </c>
    </row>
    <row r="84" spans="1:23" ht="16" hidden="1" customHeight="1" outlineLevel="1" x14ac:dyDescent="0.2">
      <c r="A84" s="293" t="s">
        <v>27</v>
      </c>
      <c r="B84" s="294" t="s">
        <v>26</v>
      </c>
      <c r="C84" s="276">
        <f>'SatışEkibi YS-Yen. Hed - 600'!$D$52*C$2</f>
        <v>514.56750000000011</v>
      </c>
      <c r="D84" s="276">
        <f>'SatışEkibi YS-Yen. Hed - 600'!$D$52*D$2</f>
        <v>514.56750000000011</v>
      </c>
      <c r="E84" s="276">
        <f>'SatışEkibi YS-Yen. Hed - 600'!$D$52*E$2</f>
        <v>586.78750000000002</v>
      </c>
      <c r="F84" s="276">
        <f>'SatışEkibi YS-Yen. Hed - 600'!$D$52*F$2</f>
        <v>573.24625000000003</v>
      </c>
      <c r="G84" s="276">
        <f>'SatışEkibi YS-Yen. Hed - 600'!$D$52*G$2</f>
        <v>573.24625000000003</v>
      </c>
      <c r="H84" s="276">
        <f>'SatışEkibi YS-Yen. Hed - 600'!$D$52*H$2</f>
        <v>649.9799999999999</v>
      </c>
      <c r="I84" s="276">
        <f>'SatışEkibi YS-Yen. Hed - 600'!$D$52*I$2</f>
        <v>541.65</v>
      </c>
      <c r="J84" s="276">
        <f>'SatışEkibi YS-Yen. Hed - 600'!$D$52*J$2</f>
        <v>546.16374999999994</v>
      </c>
      <c r="K84" s="276">
        <f>'SatışEkibi YS-Yen. Hed - 600'!$D$52*K$2</f>
        <v>577.76</v>
      </c>
      <c r="L84" s="276">
        <f>'SatışEkibi YS-Yen. Hed - 600'!$D$52*L$2</f>
        <v>677.06249999999989</v>
      </c>
      <c r="M84" s="276">
        <f>'SatışEkibi YS-Yen. Hed - 600'!$D$52*M$2</f>
        <v>686.08999999999992</v>
      </c>
      <c r="N84" s="276">
        <f>'SatışEkibi YS-Yen. Hed - 600'!$D$52*N$2</f>
        <v>780.87874999999997</v>
      </c>
      <c r="O84" s="295">
        <f t="shared" si="67"/>
        <v>7222.0000000000009</v>
      </c>
      <c r="Q84" s="277" t="str">
        <f t="shared" si="66"/>
        <v>Quest</v>
      </c>
      <c r="R84" s="278" t="str">
        <f t="shared" si="68"/>
        <v>Yeni Satış</v>
      </c>
      <c r="S84" s="279">
        <f t="shared" si="69"/>
        <v>1615.9225000000001</v>
      </c>
      <c r="T84" s="279">
        <f t="shared" si="70"/>
        <v>1796.4724999999999</v>
      </c>
      <c r="U84" s="279">
        <f t="shared" si="71"/>
        <v>1665.5737499999998</v>
      </c>
      <c r="V84" s="279">
        <f t="shared" si="72"/>
        <v>2144.0312499999995</v>
      </c>
      <c r="W84" s="279">
        <f t="shared" si="73"/>
        <v>7222</v>
      </c>
    </row>
    <row r="85" spans="1:23" ht="16" hidden="1" customHeight="1" outlineLevel="1" x14ac:dyDescent="0.2">
      <c r="A85" s="293" t="s">
        <v>27</v>
      </c>
      <c r="B85" s="294" t="s">
        <v>28</v>
      </c>
      <c r="C85" s="276">
        <f>'SatışEkibi YS-Yen. Hed - 600'!$D$53*'Satış YS-Yen.Hed (Ayık) - 600'!C$2</f>
        <v>74.328718815524283</v>
      </c>
      <c r="D85" s="276">
        <f>'SatışEkibi YS-Yen. Hed - 600'!$D$53*'Satış YS-Yen.Hed (Ayık) - 600'!D$2</f>
        <v>74.328718815524283</v>
      </c>
      <c r="E85" s="276">
        <f>'SatışEkibi YS-Yen. Hed - 600'!$D$53*'Satış YS-Yen.Hed (Ayık) - 600'!E$2</f>
        <v>84.760819701913647</v>
      </c>
      <c r="F85" s="276">
        <f>'SatışEkibi YS-Yen. Hed - 600'!$D$53*'Satış YS-Yen.Hed (Ayık) - 600'!F$2</f>
        <v>82.804800785715642</v>
      </c>
      <c r="G85" s="276">
        <f>'SatışEkibi YS-Yen. Hed - 600'!$D$53*'Satış YS-Yen.Hed (Ayık) - 600'!G$2</f>
        <v>82.804800785715642</v>
      </c>
      <c r="H85" s="276">
        <f>'SatışEkibi YS-Yen. Hed - 600'!$D$53*'Satış YS-Yen.Hed (Ayık) - 600'!H$2</f>
        <v>93.888907977504317</v>
      </c>
      <c r="I85" s="276">
        <f>'SatışEkibi YS-Yen. Hed - 600'!$D$53*'Satış YS-Yen.Hed (Ayık) - 600'!I$2</f>
        <v>78.240756647920279</v>
      </c>
      <c r="J85" s="276">
        <f>'SatışEkibi YS-Yen. Hed - 600'!$D$53*'Satış YS-Yen.Hed (Ayık) - 600'!J$2</f>
        <v>78.892762953319618</v>
      </c>
      <c r="K85" s="276">
        <f>'SatışEkibi YS-Yen. Hed - 600'!$D$53*'Satış YS-Yen.Hed (Ayık) - 600'!K$2</f>
        <v>83.456807091114968</v>
      </c>
      <c r="L85" s="276">
        <f>'SatışEkibi YS-Yen. Hed - 600'!$D$53*'Satış YS-Yen.Hed (Ayık) - 600'!L$2</f>
        <v>97.800945809900341</v>
      </c>
      <c r="M85" s="276">
        <f>'SatışEkibi YS-Yen. Hed - 600'!$D$53*'Satış YS-Yen.Hed (Ayık) - 600'!M$2</f>
        <v>99.10495842069902</v>
      </c>
      <c r="N85" s="276">
        <f>'SatışEkibi YS-Yen. Hed - 600'!$D$53*'Satış YS-Yen.Hed (Ayık) - 600'!N$2</f>
        <v>112.79709083408507</v>
      </c>
      <c r="O85" s="295">
        <f t="shared" si="67"/>
        <v>1043.2100886389373</v>
      </c>
      <c r="Q85" s="277" t="str">
        <f t="shared" si="66"/>
        <v>Quest</v>
      </c>
      <c r="R85" s="278" t="str">
        <f t="shared" si="68"/>
        <v>Yenileme</v>
      </c>
      <c r="S85" s="279">
        <f t="shared" si="69"/>
        <v>233.41825733296221</v>
      </c>
      <c r="T85" s="279">
        <f t="shared" si="70"/>
        <v>259.4985095489356</v>
      </c>
      <c r="U85" s="279">
        <f t="shared" si="71"/>
        <v>240.59032669235486</v>
      </c>
      <c r="V85" s="279">
        <f t="shared" si="72"/>
        <v>309.70299506468444</v>
      </c>
      <c r="W85" s="279">
        <f t="shared" si="73"/>
        <v>1043.2100886389371</v>
      </c>
    </row>
    <row r="86" spans="1:23" ht="16" hidden="1" customHeight="1" outlineLevel="1" x14ac:dyDescent="0.2">
      <c r="A86" s="293" t="s">
        <v>32</v>
      </c>
      <c r="B86" s="294" t="s">
        <v>26</v>
      </c>
      <c r="C86" s="276">
        <f>'SatışEkibi YS-Yen. Hed - 600'!$F$52*'Satış YS-Yen.Hed (Ayık) - 600'!C$2</f>
        <v>89.062500000000014</v>
      </c>
      <c r="D86" s="276">
        <f>'SatışEkibi YS-Yen. Hed - 600'!$F$52*'Satış YS-Yen.Hed (Ayık) - 600'!D$2</f>
        <v>89.062500000000014</v>
      </c>
      <c r="E86" s="276">
        <f>'SatışEkibi YS-Yen. Hed - 600'!$F$52*'Satış YS-Yen.Hed (Ayık) - 600'!E$2</f>
        <v>101.5625</v>
      </c>
      <c r="F86" s="276">
        <f>'SatışEkibi YS-Yen. Hed - 600'!$F$52*'Satış YS-Yen.Hed (Ayık) - 600'!F$2</f>
        <v>99.21875</v>
      </c>
      <c r="G86" s="276">
        <f>'SatışEkibi YS-Yen. Hed - 600'!$F$52*'Satış YS-Yen.Hed (Ayık) - 600'!G$2</f>
        <v>99.21875</v>
      </c>
      <c r="H86" s="276">
        <f>'SatışEkibi YS-Yen. Hed - 600'!$F$52*'Satış YS-Yen.Hed (Ayık) - 600'!H$2</f>
        <v>112.49999999999997</v>
      </c>
      <c r="I86" s="276">
        <f>'SatışEkibi YS-Yen. Hed - 600'!$F$52*'Satış YS-Yen.Hed (Ayık) - 600'!I$2</f>
        <v>93.75</v>
      </c>
      <c r="J86" s="276">
        <f>'SatışEkibi YS-Yen. Hed - 600'!$F$52*'Satış YS-Yen.Hed (Ayık) - 600'!J$2</f>
        <v>94.53125</v>
      </c>
      <c r="K86" s="276">
        <f>'SatışEkibi YS-Yen. Hed - 600'!$F$52*'Satış YS-Yen.Hed (Ayık) - 600'!K$2</f>
        <v>100</v>
      </c>
      <c r="L86" s="276">
        <f>'SatışEkibi YS-Yen. Hed - 600'!$F$52*'Satış YS-Yen.Hed (Ayık) - 600'!L$2</f>
        <v>117.18749999999999</v>
      </c>
      <c r="M86" s="276">
        <f>'SatışEkibi YS-Yen. Hed - 600'!$F$52*'Satış YS-Yen.Hed (Ayık) - 600'!M$2</f>
        <v>118.74999999999999</v>
      </c>
      <c r="N86" s="276">
        <f>'SatışEkibi YS-Yen. Hed - 600'!$F$52*'Satış YS-Yen.Hed (Ayık) - 600'!N$2</f>
        <v>135.15625</v>
      </c>
      <c r="O86" s="295">
        <f t="shared" si="67"/>
        <v>1250</v>
      </c>
      <c r="Q86" s="277" t="str">
        <f t="shared" si="66"/>
        <v>Varuna</v>
      </c>
      <c r="R86" s="278" t="str">
        <f t="shared" si="68"/>
        <v>Yeni Satış</v>
      </c>
      <c r="S86" s="279">
        <f t="shared" si="69"/>
        <v>279.6875</v>
      </c>
      <c r="T86" s="279">
        <f t="shared" si="70"/>
        <v>310.9375</v>
      </c>
      <c r="U86" s="279">
        <f t="shared" si="71"/>
        <v>288.28125</v>
      </c>
      <c r="V86" s="279">
        <f t="shared" si="72"/>
        <v>371.09375</v>
      </c>
      <c r="W86" s="279">
        <f t="shared" si="73"/>
        <v>1250</v>
      </c>
    </row>
    <row r="87" spans="1:23" ht="16" hidden="1" customHeight="1" outlineLevel="1" x14ac:dyDescent="0.2">
      <c r="A87" s="293" t="s">
        <v>34</v>
      </c>
      <c r="B87" s="294" t="s">
        <v>26</v>
      </c>
      <c r="C87" s="276">
        <f>'SatışEkibi YS-Yen. Hed - 600'!$G$52*'Satış YS-Yen.Hed (Ayık) - 600'!C$2</f>
        <v>113.78625000000001</v>
      </c>
      <c r="D87" s="276">
        <f>'SatışEkibi YS-Yen. Hed - 600'!$G$52*'Satış YS-Yen.Hed (Ayık) - 600'!D$2</f>
        <v>113.78625000000001</v>
      </c>
      <c r="E87" s="276">
        <f>'SatışEkibi YS-Yen. Hed - 600'!$G$52*'Satış YS-Yen.Hed (Ayık) - 600'!E$2</f>
        <v>129.75624999999999</v>
      </c>
      <c r="F87" s="276">
        <f>'SatışEkibi YS-Yen. Hed - 600'!$G$52*'Satış YS-Yen.Hed (Ayık) - 600'!F$2</f>
        <v>126.761875</v>
      </c>
      <c r="G87" s="276">
        <f>'SatışEkibi YS-Yen. Hed - 600'!$G$52*'Satış YS-Yen.Hed (Ayık) - 600'!G$2</f>
        <v>126.761875</v>
      </c>
      <c r="H87" s="276">
        <f>'SatışEkibi YS-Yen. Hed - 600'!$G$52*'Satış YS-Yen.Hed (Ayık) - 600'!H$2</f>
        <v>143.72999999999996</v>
      </c>
      <c r="I87" s="276">
        <f>'SatışEkibi YS-Yen. Hed - 600'!$G$52*'Satış YS-Yen.Hed (Ayık) - 600'!I$2</f>
        <v>119.77499999999999</v>
      </c>
      <c r="J87" s="276">
        <f>'SatışEkibi YS-Yen. Hed - 600'!$G$52*'Satış YS-Yen.Hed (Ayık) - 600'!J$2</f>
        <v>120.77312499999999</v>
      </c>
      <c r="K87" s="276">
        <f>'SatışEkibi YS-Yen. Hed - 600'!$G$52*'Satış YS-Yen.Hed (Ayık) - 600'!K$2</f>
        <v>127.76</v>
      </c>
      <c r="L87" s="276">
        <f>'SatışEkibi YS-Yen. Hed - 600'!$G$52*'Satış YS-Yen.Hed (Ayık) - 600'!L$2</f>
        <v>149.71874999999997</v>
      </c>
      <c r="M87" s="276">
        <f>'SatışEkibi YS-Yen. Hed - 600'!$G$52*'Satış YS-Yen.Hed (Ayık) - 600'!M$2</f>
        <v>151.71499999999997</v>
      </c>
      <c r="N87" s="276">
        <f>'SatışEkibi YS-Yen. Hed - 600'!$G$52*'Satış YS-Yen.Hed (Ayık) - 600'!N$2</f>
        <v>172.675625</v>
      </c>
      <c r="O87" s="295">
        <f t="shared" si="67"/>
        <v>1597</v>
      </c>
      <c r="Q87" s="277" t="str">
        <f t="shared" si="66"/>
        <v>Hosting</v>
      </c>
      <c r="R87" s="278" t="str">
        <f t="shared" si="68"/>
        <v>Yeni Satış</v>
      </c>
      <c r="S87" s="279">
        <f t="shared" si="69"/>
        <v>357.32875000000001</v>
      </c>
      <c r="T87" s="279">
        <f t="shared" si="70"/>
        <v>397.25374999999997</v>
      </c>
      <c r="U87" s="279">
        <f t="shared" si="71"/>
        <v>368.30812499999996</v>
      </c>
      <c r="V87" s="279">
        <f t="shared" si="72"/>
        <v>474.10937499999989</v>
      </c>
      <c r="W87" s="279">
        <f t="shared" si="73"/>
        <v>1597</v>
      </c>
    </row>
    <row r="88" spans="1:23" ht="16" hidden="1" customHeight="1" outlineLevel="1" x14ac:dyDescent="0.2">
      <c r="A88" s="293" t="s">
        <v>34</v>
      </c>
      <c r="B88" s="294" t="s">
        <v>28</v>
      </c>
      <c r="C88" s="276">
        <f>'SatışEkibi YS-Yen. Hed - 600'!$G$53*'Satış YS-Yen.Hed (Ayık) - 600'!C$2</f>
        <v>141.36000000000001</v>
      </c>
      <c r="D88" s="276">
        <f>'SatışEkibi YS-Yen. Hed - 600'!$G$53*'Satış YS-Yen.Hed (Ayık) - 600'!D$2</f>
        <v>141.36000000000001</v>
      </c>
      <c r="E88" s="276">
        <f>'SatışEkibi YS-Yen. Hed - 600'!$G$53*'Satış YS-Yen.Hed (Ayık) - 600'!E$2</f>
        <v>161.20000000000002</v>
      </c>
      <c r="F88" s="276">
        <f>'SatışEkibi YS-Yen. Hed - 600'!$G$53*'Satış YS-Yen.Hed (Ayık) - 600'!F$2</f>
        <v>157.47999999999999</v>
      </c>
      <c r="G88" s="276">
        <f>'SatışEkibi YS-Yen. Hed - 600'!$G$53*'Satış YS-Yen.Hed (Ayık) - 600'!G$2</f>
        <v>157.47999999999999</v>
      </c>
      <c r="H88" s="276">
        <f>'SatışEkibi YS-Yen. Hed - 600'!$G$53*'Satış YS-Yen.Hed (Ayık) - 600'!H$2</f>
        <v>178.55999999999997</v>
      </c>
      <c r="I88" s="276">
        <f>'SatışEkibi YS-Yen. Hed - 600'!$G$53*'Satış YS-Yen.Hed (Ayık) - 600'!I$2</f>
        <v>148.79999999999998</v>
      </c>
      <c r="J88" s="276">
        <f>'SatışEkibi YS-Yen. Hed - 600'!$G$53*'Satış YS-Yen.Hed (Ayık) - 600'!J$2</f>
        <v>150.04</v>
      </c>
      <c r="K88" s="276">
        <f>'SatışEkibi YS-Yen. Hed - 600'!$G$53*'Satış YS-Yen.Hed (Ayık) - 600'!K$2</f>
        <v>158.72</v>
      </c>
      <c r="L88" s="276">
        <f>'SatışEkibi YS-Yen. Hed - 600'!$G$53*'Satış YS-Yen.Hed (Ayık) - 600'!L$2</f>
        <v>185.99999999999997</v>
      </c>
      <c r="M88" s="276">
        <f>'SatışEkibi YS-Yen. Hed - 600'!$G$53*'Satış YS-Yen.Hed (Ayık) - 600'!M$2</f>
        <v>188.47999999999996</v>
      </c>
      <c r="N88" s="276">
        <f>'SatışEkibi YS-Yen. Hed - 600'!$G$53*'Satış YS-Yen.Hed (Ayık) - 600'!N$2</f>
        <v>214.52</v>
      </c>
      <c r="O88" s="295">
        <f t="shared" si="67"/>
        <v>1984</v>
      </c>
      <c r="Q88" s="277" t="str">
        <f t="shared" si="66"/>
        <v>Hosting</v>
      </c>
      <c r="R88" s="278" t="str">
        <f t="shared" si="68"/>
        <v>Yenileme</v>
      </c>
      <c r="S88" s="279">
        <f t="shared" si="69"/>
        <v>443.92000000000007</v>
      </c>
      <c r="T88" s="279">
        <f t="shared" si="70"/>
        <v>493.52</v>
      </c>
      <c r="U88" s="279">
        <f t="shared" si="71"/>
        <v>457.55999999999995</v>
      </c>
      <c r="V88" s="279">
        <f t="shared" si="72"/>
        <v>588.99999999999989</v>
      </c>
      <c r="W88" s="279">
        <f t="shared" si="73"/>
        <v>1984</v>
      </c>
    </row>
    <row r="89" spans="1:23" ht="16" hidden="1" customHeight="1" outlineLevel="1" x14ac:dyDescent="0.2">
      <c r="A89" s="293" t="s">
        <v>35</v>
      </c>
      <c r="B89" s="294" t="s">
        <v>26</v>
      </c>
      <c r="C89" s="276">
        <f>'SatışEkibi YS-Yen. Hed - 600'!$I$52*'Satış YS-Yen.Hed (Ayık) - 600'!C$2</f>
        <v>142.50000000000003</v>
      </c>
      <c r="D89" s="276">
        <f>'SatışEkibi YS-Yen. Hed - 600'!$I$52*'Satış YS-Yen.Hed (Ayık) - 600'!D$2</f>
        <v>142.50000000000003</v>
      </c>
      <c r="E89" s="276">
        <f>'SatışEkibi YS-Yen. Hed - 600'!$I$52*'Satış YS-Yen.Hed (Ayık) - 600'!E$2</f>
        <v>162.5</v>
      </c>
      <c r="F89" s="276">
        <f>'SatışEkibi YS-Yen. Hed - 600'!$I$52*'Satış YS-Yen.Hed (Ayık) - 600'!F$2</f>
        <v>158.75</v>
      </c>
      <c r="G89" s="276">
        <f>'SatışEkibi YS-Yen. Hed - 600'!$I$52*'Satış YS-Yen.Hed (Ayık) - 600'!G$2</f>
        <v>158.75</v>
      </c>
      <c r="H89" s="276">
        <f>'SatışEkibi YS-Yen. Hed - 600'!$I$52*'Satış YS-Yen.Hed (Ayık) - 600'!H$2</f>
        <v>179.99999999999997</v>
      </c>
      <c r="I89" s="276">
        <f>'SatışEkibi YS-Yen. Hed - 600'!$I$52*'Satış YS-Yen.Hed (Ayık) - 600'!I$2</f>
        <v>150</v>
      </c>
      <c r="J89" s="276">
        <f>'SatışEkibi YS-Yen. Hed - 600'!$I$52*'Satış YS-Yen.Hed (Ayık) - 600'!J$2</f>
        <v>151.25</v>
      </c>
      <c r="K89" s="276">
        <f>'SatışEkibi YS-Yen. Hed - 600'!$I$52*'Satış YS-Yen.Hed (Ayık) - 600'!K$2</f>
        <v>160</v>
      </c>
      <c r="L89" s="276">
        <f>'SatışEkibi YS-Yen. Hed - 600'!$I$52*'Satış YS-Yen.Hed (Ayık) - 600'!L$2</f>
        <v>187.49999999999997</v>
      </c>
      <c r="M89" s="276">
        <f>'SatışEkibi YS-Yen. Hed - 600'!$I$52*'Satış YS-Yen.Hed (Ayık) - 600'!M$2</f>
        <v>189.99999999999997</v>
      </c>
      <c r="N89" s="276">
        <f>'SatışEkibi YS-Yen. Hed - 600'!$I$52*'Satış YS-Yen.Hed (Ayık) - 600'!N$2</f>
        <v>216.25</v>
      </c>
      <c r="O89" s="295">
        <f t="shared" si="67"/>
        <v>2000</v>
      </c>
      <c r="Q89" s="277" t="str">
        <f t="shared" si="66"/>
        <v>BFH</v>
      </c>
      <c r="R89" s="278" t="str">
        <f t="shared" si="68"/>
        <v>Yeni Satış</v>
      </c>
      <c r="S89" s="279">
        <f t="shared" si="69"/>
        <v>447.50000000000006</v>
      </c>
      <c r="T89" s="279">
        <f t="shared" si="70"/>
        <v>497.5</v>
      </c>
      <c r="U89" s="279">
        <f t="shared" si="71"/>
        <v>461.25</v>
      </c>
      <c r="V89" s="279">
        <f t="shared" si="72"/>
        <v>593.75</v>
      </c>
      <c r="W89" s="279">
        <f t="shared" si="73"/>
        <v>2000</v>
      </c>
    </row>
    <row r="90" spans="1:23" ht="16" customHeight="1" collapsed="1" x14ac:dyDescent="0.2">
      <c r="A90" s="283" t="s">
        <v>30</v>
      </c>
      <c r="B90" s="284" t="s">
        <v>26</v>
      </c>
      <c r="C90" s="282">
        <f>SUMIF($B$5:$B$13,"Yeni Satış",C80:C89)</f>
        <v>1400.8612188155244</v>
      </c>
      <c r="D90" s="282">
        <f t="shared" ref="D90" si="74">SUMIF($B$5:$B$13,"Yeni Satış",D80:D89)</f>
        <v>1400.8612188155244</v>
      </c>
      <c r="E90" s="282">
        <f t="shared" ref="E90" si="75">SUMIF($B$5:$B$13,"Yeni Satış",E80:E89)</f>
        <v>1597.4733197019139</v>
      </c>
      <c r="F90" s="282">
        <f t="shared" ref="F90" si="76">SUMIF($B$5:$B$13,"Yeni Satış",F80:F89)</f>
        <v>1560.6085507857156</v>
      </c>
      <c r="G90" s="282">
        <f t="shared" ref="G90" si="77">SUMIF($B$5:$B$13,"Yeni Satış",G80:G89)</f>
        <v>1560.6085507857156</v>
      </c>
      <c r="H90" s="282">
        <f t="shared" ref="H90" si="78">SUMIF($B$5:$B$13,"Yeni Satış",H80:H89)</f>
        <v>1769.5089079775039</v>
      </c>
      <c r="I90" s="282">
        <f t="shared" ref="I90" si="79">SUMIF($B$5:$B$13,"Yeni Satış",I80:I89)</f>
        <v>1474.5907566479202</v>
      </c>
      <c r="J90" s="282">
        <f t="shared" ref="J90" si="80">SUMIF($B$5:$B$13,"Yeni Satış",J80:J89)</f>
        <v>1486.8790129533195</v>
      </c>
      <c r="K90" s="282">
        <f t="shared" ref="K90" si="81">SUMIF($B$5:$B$13,"Yeni Satış",K80:K89)</f>
        <v>1572.8968070911151</v>
      </c>
      <c r="L90" s="282">
        <f t="shared" ref="L90" si="82">SUMIF($B$5:$B$13,"Yeni Satış",L80:L89)</f>
        <v>1843.2384458099002</v>
      </c>
      <c r="M90" s="282">
        <f t="shared" ref="M90" si="83">SUMIF($B$5:$B$13,"Yeni Satış",M80:M89)</f>
        <v>1867.814958420699</v>
      </c>
      <c r="N90" s="282">
        <f t="shared" ref="N90" si="84">SUMIF($B$5:$B$13,"Yeni Satış",N80:N89)</f>
        <v>2125.8683408340853</v>
      </c>
      <c r="O90" s="296">
        <f>SUMIF(B80:B89,"Yeni Satış",O80:O89)</f>
        <v>26649</v>
      </c>
      <c r="Q90" s="283" t="s">
        <v>30</v>
      </c>
      <c r="R90" s="284" t="str">
        <f t="shared" si="68"/>
        <v>Yeni Satış</v>
      </c>
      <c r="S90" s="285">
        <f>SUMIF(R80:R89,"Yeni Satış",S80:S89)</f>
        <v>5962.7137499999999</v>
      </c>
      <c r="T90" s="285">
        <f>SUMIF(R80:R89,"Yeni Satış",T80:T89)</f>
        <v>6628.9387499999993</v>
      </c>
      <c r="U90" s="285">
        <f>SUMIF(R80:R89,"Yeni Satış",U80:U89)</f>
        <v>6145.9256249999989</v>
      </c>
      <c r="V90" s="285">
        <f>SUMIF(R80:R89,"Yeni Satış",V80:V89)</f>
        <v>7911.421875</v>
      </c>
      <c r="W90" s="285">
        <f t="shared" si="73"/>
        <v>26649</v>
      </c>
    </row>
    <row r="91" spans="1:23" ht="16" customHeight="1" x14ac:dyDescent="0.2">
      <c r="A91" s="283" t="s">
        <v>30</v>
      </c>
      <c r="B91" s="284" t="s">
        <v>28</v>
      </c>
      <c r="C91" s="282">
        <f>SUMIF($B$5:$B$13,"Yenileme",C80:C90)</f>
        <v>1240.1775000000002</v>
      </c>
      <c r="D91" s="282">
        <f t="shared" ref="D91" si="85">SUMIF($B$5:$B$13,"Yenileme",D80:D90)</f>
        <v>1240.1775000000002</v>
      </c>
      <c r="E91" s="282">
        <f t="shared" ref="E91" si="86">SUMIF($B$5:$B$13,"Yenileme",E80:E90)</f>
        <v>1414.2375</v>
      </c>
      <c r="F91" s="282">
        <f t="shared" ref="F91" si="87">SUMIF($B$5:$B$13,"Yenileme",F80:F90)</f>
        <v>1381.6012499999999</v>
      </c>
      <c r="G91" s="282">
        <f t="shared" ref="G91" si="88">SUMIF($B$5:$B$13,"Yenileme",G80:G90)</f>
        <v>1381.6012499999999</v>
      </c>
      <c r="H91" s="282">
        <f t="shared" ref="H91" si="89">SUMIF($B$5:$B$13,"Yenileme",H80:H90)</f>
        <v>1566.5399999999997</v>
      </c>
      <c r="I91" s="282">
        <f t="shared" ref="I91" si="90">SUMIF($B$5:$B$13,"Yenileme",I80:I90)</f>
        <v>1305.45</v>
      </c>
      <c r="J91" s="282">
        <f t="shared" ref="J91" si="91">SUMIF($B$5:$B$13,"Yenileme",J80:J90)</f>
        <v>1316.3287499999999</v>
      </c>
      <c r="K91" s="282">
        <f t="shared" ref="K91" si="92">SUMIF($B$5:$B$13,"Yenileme",K80:K90)</f>
        <v>1392.48</v>
      </c>
      <c r="L91" s="282">
        <f t="shared" ref="L91" si="93">SUMIF($B$5:$B$13,"Yenileme",L80:L90)</f>
        <v>1631.8124999999998</v>
      </c>
      <c r="M91" s="282">
        <f t="shared" ref="M91" si="94">SUMIF($B$5:$B$13,"Yenileme",M80:M90)</f>
        <v>1653.5699999999997</v>
      </c>
      <c r="N91" s="282">
        <f t="shared" ref="N91" si="95">SUMIF($B$5:$B$13,"Yenileme",N80:N90)</f>
        <v>1882.0237500000001</v>
      </c>
      <c r="O91" s="296">
        <f>SUMIF(B80:B89,"Yenileme",O80:O89)</f>
        <v>12418.210088638938</v>
      </c>
      <c r="Q91" s="283" t="s">
        <v>30</v>
      </c>
      <c r="R91" s="284" t="str">
        <f t="shared" si="68"/>
        <v>Yenileme</v>
      </c>
      <c r="S91" s="285">
        <f>SUMIF(R80:R89,"Yenileme",S80:S89)</f>
        <v>2778.5745073329622</v>
      </c>
      <c r="T91" s="285">
        <f>SUMIF(R80:R89,"Yenileme",T80:T89)</f>
        <v>3089.0297595489351</v>
      </c>
      <c r="U91" s="285">
        <f>SUMIF(R80:R89,"Yenileme",U80:U89)</f>
        <v>2863.9497016923547</v>
      </c>
      <c r="V91" s="285">
        <f>SUMIF(R80:R89,"Yenileme",V80:V89)</f>
        <v>3686.6561200646843</v>
      </c>
      <c r="W91" s="285">
        <f t="shared" si="73"/>
        <v>12418.210088638936</v>
      </c>
    </row>
    <row r="92" spans="1:23" ht="16" customHeight="1" x14ac:dyDescent="0.2">
      <c r="A92" s="297" t="s">
        <v>38</v>
      </c>
      <c r="B92" s="298" t="s">
        <v>144</v>
      </c>
      <c r="C92" s="288">
        <f>SUM(C90:C91)</f>
        <v>2641.0387188155246</v>
      </c>
      <c r="D92" s="288">
        <f t="shared" ref="D92" si="96">SUM(D90:D91)</f>
        <v>2641.0387188155246</v>
      </c>
      <c r="E92" s="288">
        <f t="shared" ref="E92" si="97">SUM(E90:E91)</f>
        <v>3011.7108197019138</v>
      </c>
      <c r="F92" s="288">
        <f t="shared" ref="F92" si="98">SUM(F90:F91)</f>
        <v>2942.2098007857157</v>
      </c>
      <c r="G92" s="288">
        <f t="shared" ref="G92" si="99">SUM(G90:G91)</f>
        <v>2942.2098007857157</v>
      </c>
      <c r="H92" s="288">
        <f t="shared" ref="H92" si="100">SUM(H90:H91)</f>
        <v>3336.0489079775034</v>
      </c>
      <c r="I92" s="288">
        <f t="shared" ref="I92" si="101">SUM(I90:I91)</f>
        <v>2780.0407566479203</v>
      </c>
      <c r="J92" s="288">
        <f t="shared" ref="J92" si="102">SUM(J90:J91)</f>
        <v>2803.2077629533196</v>
      </c>
      <c r="K92" s="288">
        <f t="shared" ref="K92" si="103">SUM(K90:K91)</f>
        <v>2965.3768070911151</v>
      </c>
      <c r="L92" s="288">
        <f t="shared" ref="L92" si="104">SUM(L90:L91)</f>
        <v>3475.0509458099</v>
      </c>
      <c r="M92" s="288">
        <f t="shared" ref="M92" si="105">SUM(M90:M91)</f>
        <v>3521.3849584206987</v>
      </c>
      <c r="N92" s="288">
        <f t="shared" ref="N92" si="106">SUM(N90:N91)</f>
        <v>4007.8920908340851</v>
      </c>
      <c r="O92" s="304">
        <f>O90+O91</f>
        <v>39067.210088638938</v>
      </c>
      <c r="Q92" s="297" t="s">
        <v>38</v>
      </c>
      <c r="R92" s="298" t="str">
        <f t="shared" si="68"/>
        <v>YS + Yen.</v>
      </c>
      <c r="S92" s="302">
        <f>S90+S91</f>
        <v>8741.2882573329625</v>
      </c>
      <c r="T92" s="302">
        <f>T90+T91</f>
        <v>9717.9685095489349</v>
      </c>
      <c r="U92" s="302">
        <f>U90+U91</f>
        <v>9009.8753266923541</v>
      </c>
      <c r="V92" s="302">
        <f>V90+V91</f>
        <v>11598.077995064685</v>
      </c>
      <c r="W92" s="291">
        <f>W90+W91</f>
        <v>39067.210088638938</v>
      </c>
    </row>
    <row r="93" spans="1:23" ht="16" customHeight="1" x14ac:dyDescent="0.2"/>
    <row r="94" spans="1:23" x14ac:dyDescent="0.2">
      <c r="A94" s="333" t="s">
        <v>170</v>
      </c>
      <c r="B94" s="333"/>
      <c r="C94" s="266" t="s">
        <v>131</v>
      </c>
      <c r="D94" s="266" t="s">
        <v>132</v>
      </c>
      <c r="E94" s="266" t="s">
        <v>133</v>
      </c>
      <c r="F94" s="266" t="s">
        <v>134</v>
      </c>
      <c r="G94" s="266" t="s">
        <v>135</v>
      </c>
      <c r="H94" s="266" t="s">
        <v>136</v>
      </c>
      <c r="I94" s="266" t="s">
        <v>137</v>
      </c>
      <c r="J94" s="266" t="s">
        <v>138</v>
      </c>
      <c r="K94" s="266" t="s">
        <v>139</v>
      </c>
      <c r="L94" s="266" t="s">
        <v>140</v>
      </c>
      <c r="M94" s="266" t="s">
        <v>141</v>
      </c>
      <c r="N94" s="266" t="s">
        <v>142</v>
      </c>
      <c r="O94" s="266" t="s">
        <v>143</v>
      </c>
      <c r="Q94" s="301" t="str">
        <f>A94</f>
        <v>Dilara Bogu  —  Direk Satış</v>
      </c>
      <c r="R94" s="301"/>
      <c r="S94" s="266" t="s">
        <v>154</v>
      </c>
      <c r="T94" s="266" t="s">
        <v>155</v>
      </c>
      <c r="U94" s="266" t="s">
        <v>156</v>
      </c>
      <c r="V94" s="266" t="s">
        <v>157</v>
      </c>
      <c r="W94" s="266" t="s">
        <v>143</v>
      </c>
    </row>
    <row r="95" spans="1:23" ht="16" hidden="1" customHeight="1" outlineLevel="1" x14ac:dyDescent="0.2">
      <c r="A95" s="293" t="s">
        <v>32</v>
      </c>
      <c r="B95" s="294" t="s">
        <v>26</v>
      </c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>
        <f>SUM(C95:N95)</f>
        <v>0</v>
      </c>
      <c r="Q95" s="277" t="str">
        <f>A95</f>
        <v>Varuna</v>
      </c>
      <c r="R95" s="278" t="str">
        <f>B95</f>
        <v>Yeni Satış</v>
      </c>
      <c r="S95" s="279">
        <f>SUM(C95:E95)</f>
        <v>0</v>
      </c>
      <c r="T95" s="279">
        <f>SUM(F95:H95)</f>
        <v>0</v>
      </c>
      <c r="U95" s="279">
        <f>SUM(I95:K95)</f>
        <v>0</v>
      </c>
      <c r="V95" s="279">
        <f>SUM(L95:N95)</f>
        <v>0</v>
      </c>
      <c r="W95" s="279">
        <f>SUM(S95:V95)</f>
        <v>0</v>
      </c>
    </row>
    <row r="96" spans="1:23" ht="16" hidden="1" customHeight="1" outlineLevel="1" x14ac:dyDescent="0.2">
      <c r="A96" s="293" t="s">
        <v>32</v>
      </c>
      <c r="B96" s="294" t="s">
        <v>28</v>
      </c>
      <c r="C96" s="295">
        <f>'SatışEkibi YS-Yen. Hed - 600'!$F$56*'Satış YS-Yen.Hed (Ayık) - 600'!C$2</f>
        <v>272.60250000000002</v>
      </c>
      <c r="D96" s="295">
        <f>'SatışEkibi YS-Yen. Hed - 600'!$F$56*'Satış YS-Yen.Hed (Ayık) - 600'!D$2</f>
        <v>272.60250000000002</v>
      </c>
      <c r="E96" s="295">
        <f>'SatışEkibi YS-Yen. Hed - 600'!$F$56*'Satış YS-Yen.Hed (Ayık) - 600'!E$2</f>
        <v>310.86250000000001</v>
      </c>
      <c r="F96" s="295">
        <f>'SatışEkibi YS-Yen. Hed - 600'!$F$56*'Satış YS-Yen.Hed (Ayık) - 600'!F$2</f>
        <v>303.68875000000003</v>
      </c>
      <c r="G96" s="295">
        <f>'SatışEkibi YS-Yen. Hed - 600'!$F$56*'Satış YS-Yen.Hed (Ayık) - 600'!G$2</f>
        <v>303.68875000000003</v>
      </c>
      <c r="H96" s="295">
        <f>'SatışEkibi YS-Yen. Hed - 600'!$F$56*'Satış YS-Yen.Hed (Ayık) - 600'!H$2</f>
        <v>344.33999999999992</v>
      </c>
      <c r="I96" s="295">
        <f>'SatışEkibi YS-Yen. Hed - 600'!$F$56*'Satış YS-Yen.Hed (Ayık) - 600'!I$2</f>
        <v>286.95</v>
      </c>
      <c r="J96" s="295">
        <f>'SatışEkibi YS-Yen. Hed - 600'!$F$56*'Satış YS-Yen.Hed (Ayık) - 600'!J$2</f>
        <v>289.34125</v>
      </c>
      <c r="K96" s="295">
        <f>'SatışEkibi YS-Yen. Hed - 600'!$F$56*'Satış YS-Yen.Hed (Ayık) - 600'!K$2</f>
        <v>306.08</v>
      </c>
      <c r="L96" s="295">
        <f>'SatışEkibi YS-Yen. Hed - 600'!$F$56*'Satış YS-Yen.Hed (Ayık) - 600'!L$2</f>
        <v>358.68749999999994</v>
      </c>
      <c r="M96" s="295">
        <f>'SatışEkibi YS-Yen. Hed - 600'!$F$56*'Satış YS-Yen.Hed (Ayık) - 600'!M$2</f>
        <v>363.46999999999997</v>
      </c>
      <c r="N96" s="295">
        <f>'SatışEkibi YS-Yen. Hed - 600'!$F$56*'Satış YS-Yen.Hed (Ayık) - 600'!N$2</f>
        <v>413.68624999999997</v>
      </c>
      <c r="O96" s="295">
        <f>SUM(C96:N96)</f>
        <v>3826</v>
      </c>
      <c r="Q96" s="277" t="str">
        <f>A96</f>
        <v>Varuna</v>
      </c>
      <c r="R96" s="278" t="str">
        <f>B96</f>
        <v>Yenileme</v>
      </c>
      <c r="S96" s="279">
        <f>SUM(C96:E96)</f>
        <v>856.06750000000011</v>
      </c>
      <c r="T96" s="279">
        <f>SUM(F96:H96)</f>
        <v>951.71749999999997</v>
      </c>
      <c r="U96" s="279">
        <f>SUM(I96:K96)</f>
        <v>882.37124999999992</v>
      </c>
      <c r="V96" s="279">
        <f>SUM(L96:N96)</f>
        <v>1135.84375</v>
      </c>
      <c r="W96" s="279">
        <f>SUM(S96:V96)</f>
        <v>3826</v>
      </c>
    </row>
    <row r="97" spans="1:23" ht="16" customHeight="1" collapsed="1" x14ac:dyDescent="0.2">
      <c r="A97" s="283" t="s">
        <v>30</v>
      </c>
      <c r="B97" s="284" t="s">
        <v>26</v>
      </c>
      <c r="C97" s="282">
        <f>C95</f>
        <v>0</v>
      </c>
      <c r="D97" s="282">
        <f t="shared" ref="D97:N97" si="107">D95</f>
        <v>0</v>
      </c>
      <c r="E97" s="282">
        <f t="shared" si="107"/>
        <v>0</v>
      </c>
      <c r="F97" s="282">
        <f t="shared" si="107"/>
        <v>0</v>
      </c>
      <c r="G97" s="282">
        <f t="shared" si="107"/>
        <v>0</v>
      </c>
      <c r="H97" s="282">
        <f t="shared" si="107"/>
        <v>0</v>
      </c>
      <c r="I97" s="282">
        <f t="shared" si="107"/>
        <v>0</v>
      </c>
      <c r="J97" s="282">
        <f t="shared" si="107"/>
        <v>0</v>
      </c>
      <c r="K97" s="282">
        <f t="shared" si="107"/>
        <v>0</v>
      </c>
      <c r="L97" s="282">
        <f t="shared" si="107"/>
        <v>0</v>
      </c>
      <c r="M97" s="282">
        <f t="shared" si="107"/>
        <v>0</v>
      </c>
      <c r="N97" s="282">
        <f t="shared" si="107"/>
        <v>0</v>
      </c>
      <c r="O97" s="296">
        <f>SUMIF(B95:B96,"Yeni Satış",O95:O96)</f>
        <v>0</v>
      </c>
      <c r="Q97" s="283" t="s">
        <v>30</v>
      </c>
      <c r="R97" s="284" t="str">
        <f>B97</f>
        <v>Yeni Satış</v>
      </c>
      <c r="S97" s="285">
        <f>SUMIF(R95:R96,"Yeni Satış",S95:S96)</f>
        <v>0</v>
      </c>
      <c r="T97" s="285">
        <f>SUMIF(R95:R96,"Yeni Satış",T95:T96)</f>
        <v>0</v>
      </c>
      <c r="U97" s="285">
        <f>SUMIF(R95:R96,"Yeni Satış",U95:U96)</f>
        <v>0</v>
      </c>
      <c r="V97" s="285">
        <f>SUMIF(R95:R96,"Yeni Satış",V95:V96)</f>
        <v>0</v>
      </c>
      <c r="W97" s="285">
        <f>SUM(S97:V97)</f>
        <v>0</v>
      </c>
    </row>
    <row r="98" spans="1:23" ht="16" customHeight="1" x14ac:dyDescent="0.2">
      <c r="A98" s="283" t="s">
        <v>30</v>
      </c>
      <c r="B98" s="284" t="s">
        <v>28</v>
      </c>
      <c r="C98" s="282">
        <f>C96</f>
        <v>272.60250000000002</v>
      </c>
      <c r="D98" s="282">
        <f t="shared" ref="D98:N98" si="108">D96</f>
        <v>272.60250000000002</v>
      </c>
      <c r="E98" s="282">
        <f t="shared" si="108"/>
        <v>310.86250000000001</v>
      </c>
      <c r="F98" s="282">
        <f t="shared" si="108"/>
        <v>303.68875000000003</v>
      </c>
      <c r="G98" s="282">
        <f t="shared" si="108"/>
        <v>303.68875000000003</v>
      </c>
      <c r="H98" s="282">
        <f t="shared" si="108"/>
        <v>344.33999999999992</v>
      </c>
      <c r="I98" s="282">
        <f t="shared" si="108"/>
        <v>286.95</v>
      </c>
      <c r="J98" s="282">
        <f t="shared" si="108"/>
        <v>289.34125</v>
      </c>
      <c r="K98" s="282">
        <f t="shared" si="108"/>
        <v>306.08</v>
      </c>
      <c r="L98" s="282">
        <f t="shared" si="108"/>
        <v>358.68749999999994</v>
      </c>
      <c r="M98" s="282">
        <f t="shared" si="108"/>
        <v>363.46999999999997</v>
      </c>
      <c r="N98" s="282">
        <f t="shared" si="108"/>
        <v>413.68624999999997</v>
      </c>
      <c r="O98" s="296">
        <f>SUMIF(B95:B96,"Yenileme",O95:O96)</f>
        <v>3826</v>
      </c>
      <c r="Q98" s="283" t="s">
        <v>30</v>
      </c>
      <c r="R98" s="284" t="str">
        <f>B98</f>
        <v>Yenileme</v>
      </c>
      <c r="S98" s="285">
        <f>SUMIF(R95:R96,"Yenileme",S95:S96)</f>
        <v>856.06750000000011</v>
      </c>
      <c r="T98" s="285">
        <f>SUMIF(R95:R96,"Yenileme",T95:T96)</f>
        <v>951.71749999999997</v>
      </c>
      <c r="U98" s="285">
        <f>SUMIF(R95:R96,"Yenileme",U95:U96)</f>
        <v>882.37124999999992</v>
      </c>
      <c r="V98" s="285">
        <f>SUMIF(R95:R96,"Yenileme",V95:V96)</f>
        <v>1135.84375</v>
      </c>
      <c r="W98" s="285">
        <f>SUM(S98:V98)</f>
        <v>3826</v>
      </c>
    </row>
    <row r="99" spans="1:23" ht="16" customHeight="1" x14ac:dyDescent="0.2">
      <c r="A99" s="297" t="s">
        <v>38</v>
      </c>
      <c r="B99" s="298" t="s">
        <v>144</v>
      </c>
      <c r="C99" s="288">
        <f>SUM(C97:C98)</f>
        <v>272.60250000000002</v>
      </c>
      <c r="D99" s="288">
        <f t="shared" ref="D99" si="109">SUM(D97:D98)</f>
        <v>272.60250000000002</v>
      </c>
      <c r="E99" s="288">
        <f t="shared" ref="E99" si="110">SUM(E97:E98)</f>
        <v>310.86250000000001</v>
      </c>
      <c r="F99" s="288">
        <f t="shared" ref="F99" si="111">SUM(F97:F98)</f>
        <v>303.68875000000003</v>
      </c>
      <c r="G99" s="288">
        <f t="shared" ref="G99" si="112">SUM(G97:G98)</f>
        <v>303.68875000000003</v>
      </c>
      <c r="H99" s="288">
        <f t="shared" ref="H99" si="113">SUM(H97:H98)</f>
        <v>344.33999999999992</v>
      </c>
      <c r="I99" s="288">
        <f t="shared" ref="I99" si="114">SUM(I97:I98)</f>
        <v>286.95</v>
      </c>
      <c r="J99" s="288">
        <f t="shared" ref="J99" si="115">SUM(J97:J98)</f>
        <v>289.34125</v>
      </c>
      <c r="K99" s="288">
        <f t="shared" ref="K99" si="116">SUM(K97:K98)</f>
        <v>306.08</v>
      </c>
      <c r="L99" s="288">
        <f t="shared" ref="L99" si="117">SUM(L97:L98)</f>
        <v>358.68749999999994</v>
      </c>
      <c r="M99" s="288">
        <f t="shared" ref="M99" si="118">SUM(M97:M98)</f>
        <v>363.46999999999997</v>
      </c>
      <c r="N99" s="288">
        <f t="shared" ref="N99" si="119">SUM(N97:N98)</f>
        <v>413.68624999999997</v>
      </c>
      <c r="O99" s="304">
        <f>O97+O98</f>
        <v>3826</v>
      </c>
      <c r="Q99" s="297" t="s">
        <v>38</v>
      </c>
      <c r="R99" s="298" t="str">
        <f>B99</f>
        <v>YS + Yen.</v>
      </c>
      <c r="S99" s="302">
        <f>S97+S98</f>
        <v>856.06750000000011</v>
      </c>
      <c r="T99" s="302">
        <f>T97+T98</f>
        <v>951.71749999999997</v>
      </c>
      <c r="U99" s="302">
        <f>U97+U98</f>
        <v>882.37124999999992</v>
      </c>
      <c r="V99" s="302">
        <f>V97+V98</f>
        <v>1135.84375</v>
      </c>
      <c r="W99" s="291">
        <f>W97+W98</f>
        <v>3826</v>
      </c>
    </row>
    <row r="100" spans="1:23" ht="16" customHeight="1" x14ac:dyDescent="0.2"/>
    <row r="101" spans="1:23" x14ac:dyDescent="0.2">
      <c r="A101" s="264" t="s">
        <v>150</v>
      </c>
      <c r="B101" s="264"/>
      <c r="C101" s="266" t="s">
        <v>131</v>
      </c>
      <c r="D101" s="266" t="s">
        <v>132</v>
      </c>
      <c r="E101" s="266" t="s">
        <v>133</v>
      </c>
      <c r="F101" s="266" t="s">
        <v>134</v>
      </c>
      <c r="G101" s="266" t="s">
        <v>135</v>
      </c>
      <c r="H101" s="266" t="s">
        <v>136</v>
      </c>
      <c r="I101" s="266" t="s">
        <v>137</v>
      </c>
      <c r="J101" s="266" t="s">
        <v>138</v>
      </c>
      <c r="K101" s="266" t="s">
        <v>139</v>
      </c>
      <c r="L101" s="266" t="s">
        <v>140</v>
      </c>
      <c r="M101" s="266" t="s">
        <v>141</v>
      </c>
      <c r="N101" s="266" t="s">
        <v>142</v>
      </c>
      <c r="O101" s="266" t="s">
        <v>143</v>
      </c>
      <c r="Q101" s="301" t="str">
        <f t="shared" ref="Q101:Q111" si="120">A101</f>
        <v>Derya Kömleksiz  —  Kanal Satış</v>
      </c>
      <c r="R101" s="301"/>
      <c r="S101" s="266" t="s">
        <v>154</v>
      </c>
      <c r="T101" s="266" t="s">
        <v>155</v>
      </c>
      <c r="U101" s="266" t="s">
        <v>156</v>
      </c>
      <c r="V101" s="266" t="s">
        <v>157</v>
      </c>
      <c r="W101" s="266" t="s">
        <v>143</v>
      </c>
    </row>
    <row r="102" spans="1:23" ht="16" hidden="1" customHeight="1" outlineLevel="1" x14ac:dyDescent="0.2">
      <c r="A102" s="293" t="s">
        <v>25</v>
      </c>
      <c r="B102" s="294" t="s">
        <v>26</v>
      </c>
      <c r="C102" s="276">
        <f>'SatışEkibi YS-Yen. Hed - 600'!$B$61*C$2</f>
        <v>178.12500000000003</v>
      </c>
      <c r="D102" s="276">
        <f>'SatışEkibi YS-Yen. Hed - 600'!$B$61*D$2</f>
        <v>178.12500000000003</v>
      </c>
      <c r="E102" s="276">
        <f>'SatışEkibi YS-Yen. Hed - 600'!$B$61*E$2</f>
        <v>203.125</v>
      </c>
      <c r="F102" s="276">
        <f>'SatışEkibi YS-Yen. Hed - 600'!$B$61*F$2</f>
        <v>198.4375</v>
      </c>
      <c r="G102" s="276">
        <f>'SatışEkibi YS-Yen. Hed - 600'!$B$61*G$2</f>
        <v>198.4375</v>
      </c>
      <c r="H102" s="276">
        <f>'SatışEkibi YS-Yen. Hed - 600'!$B$61*H$2</f>
        <v>224.99999999999994</v>
      </c>
      <c r="I102" s="276">
        <f>'SatışEkibi YS-Yen. Hed - 600'!$B$61*I$2</f>
        <v>187.5</v>
      </c>
      <c r="J102" s="276">
        <f>'SatışEkibi YS-Yen. Hed - 600'!$B$61*J$2</f>
        <v>189.0625</v>
      </c>
      <c r="K102" s="276">
        <f>'SatışEkibi YS-Yen. Hed - 600'!$B$61*K$2</f>
        <v>200</v>
      </c>
      <c r="L102" s="276">
        <f>'SatışEkibi YS-Yen. Hed - 600'!$B$61*L$2</f>
        <v>234.37499999999997</v>
      </c>
      <c r="M102" s="276">
        <f>'SatışEkibi YS-Yen. Hed - 600'!$B$61*M$2</f>
        <v>237.49999999999997</v>
      </c>
      <c r="N102" s="276">
        <f>'SatışEkibi YS-Yen. Hed - 600'!$B$61*N$2</f>
        <v>270.3125</v>
      </c>
      <c r="O102" s="295">
        <f t="shared" ref="O102:O111" si="121">SUM(C102:N102)</f>
        <v>2500</v>
      </c>
      <c r="Q102" s="277" t="str">
        <f t="shared" si="120"/>
        <v>Enroute</v>
      </c>
      <c r="R102" s="278" t="str">
        <f t="shared" ref="R102:R114" si="122">B102</f>
        <v>Yeni Satış</v>
      </c>
      <c r="S102" s="279">
        <f t="shared" ref="S102:S111" si="123">SUM(C102:E102)</f>
        <v>559.375</v>
      </c>
      <c r="T102" s="279">
        <f t="shared" ref="T102:T111" si="124">SUM(F102:H102)</f>
        <v>621.875</v>
      </c>
      <c r="U102" s="279">
        <f t="shared" ref="U102:U111" si="125">SUM(I102:K102)</f>
        <v>576.5625</v>
      </c>
      <c r="V102" s="279">
        <f t="shared" ref="V102:V111" si="126">SUM(L102:N102)</f>
        <v>742.1875</v>
      </c>
      <c r="W102" s="279">
        <f t="shared" ref="W102:W113" si="127">SUM(S102:V102)</f>
        <v>2500</v>
      </c>
    </row>
    <row r="103" spans="1:23" ht="16" hidden="1" customHeight="1" outlineLevel="1" x14ac:dyDescent="0.2">
      <c r="A103" s="293" t="s">
        <v>25</v>
      </c>
      <c r="B103" s="294" t="s">
        <v>28</v>
      </c>
      <c r="C103" s="276">
        <f>'SatışEkibi YS-Yen. Hed - 600'!$B$62*'Satış YS-Yen.Hed (Ayık) - 600'!C$2</f>
        <v>464.38080975000008</v>
      </c>
      <c r="D103" s="276">
        <f>'SatışEkibi YS-Yen. Hed - 600'!$B$62*'Satış YS-Yen.Hed (Ayık) - 600'!D$2</f>
        <v>464.38080975000008</v>
      </c>
      <c r="E103" s="276">
        <f>'SatışEkibi YS-Yen. Hed - 600'!$B$62*'Satış YS-Yen.Hed (Ayık) - 600'!E$2</f>
        <v>529.55706375000011</v>
      </c>
      <c r="F103" s="276">
        <f>'SatışEkibi YS-Yen. Hed - 600'!$B$62*'Satış YS-Yen.Hed (Ayık) - 600'!F$2</f>
        <v>517.33651612500012</v>
      </c>
      <c r="G103" s="276">
        <f>'SatışEkibi YS-Yen. Hed - 600'!$B$62*'Satış YS-Yen.Hed (Ayık) - 600'!G$2</f>
        <v>517.33651612500012</v>
      </c>
      <c r="H103" s="276">
        <f>'SatışEkibi YS-Yen. Hed - 600'!$B$62*'Satış YS-Yen.Hed (Ayık) - 600'!H$2</f>
        <v>586.58628599999997</v>
      </c>
      <c r="I103" s="276">
        <f>'SatışEkibi YS-Yen. Hed - 600'!$B$62*'Satış YS-Yen.Hed (Ayık) - 600'!I$2</f>
        <v>488.82190500000002</v>
      </c>
      <c r="J103" s="276">
        <f>'SatışEkibi YS-Yen. Hed - 600'!$B$62*'Satış YS-Yen.Hed (Ayık) - 600'!J$2</f>
        <v>492.89542087500007</v>
      </c>
      <c r="K103" s="276">
        <f>'SatışEkibi YS-Yen. Hed - 600'!$B$62*'Satış YS-Yen.Hed (Ayık) - 600'!K$2</f>
        <v>521.41003200000011</v>
      </c>
      <c r="L103" s="276">
        <f>'SatışEkibi YS-Yen. Hed - 600'!$B$62*'Satış YS-Yen.Hed (Ayık) - 600'!L$2</f>
        <v>611.02738124999996</v>
      </c>
      <c r="M103" s="276">
        <f>'SatışEkibi YS-Yen. Hed - 600'!$B$62*'Satış YS-Yen.Hed (Ayık) - 600'!M$2</f>
        <v>619.17441299999996</v>
      </c>
      <c r="N103" s="276">
        <f>'SatışEkibi YS-Yen. Hed - 600'!$B$62*'Satış YS-Yen.Hed (Ayık) - 600'!N$2</f>
        <v>704.71824637500004</v>
      </c>
      <c r="O103" s="295">
        <f t="shared" si="121"/>
        <v>6517.625399999999</v>
      </c>
      <c r="Q103" s="277" t="str">
        <f t="shared" si="120"/>
        <v>Enroute</v>
      </c>
      <c r="R103" s="278" t="str">
        <f t="shared" si="122"/>
        <v>Yenileme</v>
      </c>
      <c r="S103" s="279">
        <f t="shared" si="123"/>
        <v>1458.3186832500003</v>
      </c>
      <c r="T103" s="279">
        <f t="shared" si="124"/>
        <v>1621.2593182500002</v>
      </c>
      <c r="U103" s="279">
        <f t="shared" si="125"/>
        <v>1503.1273578750001</v>
      </c>
      <c r="V103" s="279">
        <f t="shared" si="126"/>
        <v>1934.920040625</v>
      </c>
      <c r="W103" s="279">
        <f t="shared" si="127"/>
        <v>6517.6254000000008</v>
      </c>
    </row>
    <row r="104" spans="1:23" ht="16" hidden="1" customHeight="1" outlineLevel="1" x14ac:dyDescent="0.2">
      <c r="A104" s="293" t="s">
        <v>29</v>
      </c>
      <c r="B104" s="294" t="s">
        <v>26</v>
      </c>
      <c r="C104" s="276">
        <f>'SatışEkibi YS-Yen. Hed - 600'!$C$61*C$2</f>
        <v>71.250000000000014</v>
      </c>
      <c r="D104" s="276">
        <f>'SatışEkibi YS-Yen. Hed - 600'!$C$61*D$2</f>
        <v>71.250000000000014</v>
      </c>
      <c r="E104" s="276">
        <f>'SatışEkibi YS-Yen. Hed - 600'!$C$61*E$2</f>
        <v>81.25</v>
      </c>
      <c r="F104" s="276">
        <f>'SatışEkibi YS-Yen. Hed - 600'!$C$61*F$2</f>
        <v>79.375</v>
      </c>
      <c r="G104" s="276">
        <f>'SatışEkibi YS-Yen. Hed - 600'!$C$61*G$2</f>
        <v>79.375</v>
      </c>
      <c r="H104" s="276">
        <f>'SatışEkibi YS-Yen. Hed - 600'!$C$61*H$2</f>
        <v>89.999999999999986</v>
      </c>
      <c r="I104" s="276">
        <f>'SatışEkibi YS-Yen. Hed - 600'!$C$61*I$2</f>
        <v>75</v>
      </c>
      <c r="J104" s="276">
        <f>'SatışEkibi YS-Yen. Hed - 600'!$C$61*J$2</f>
        <v>75.625</v>
      </c>
      <c r="K104" s="276">
        <f>'SatışEkibi YS-Yen. Hed - 600'!$C$61*K$2</f>
        <v>80</v>
      </c>
      <c r="L104" s="276">
        <f>'SatışEkibi YS-Yen. Hed - 600'!$C$61*L$2</f>
        <v>93.749999999999986</v>
      </c>
      <c r="M104" s="276">
        <f>'SatışEkibi YS-Yen. Hed - 600'!$C$61*M$2</f>
        <v>94.999999999999986</v>
      </c>
      <c r="N104" s="276">
        <f>'SatışEkibi YS-Yen. Hed - 600'!$C$61*N$2</f>
        <v>108.125</v>
      </c>
      <c r="O104" s="295">
        <f t="shared" si="121"/>
        <v>1000</v>
      </c>
      <c r="Q104" s="277" t="str">
        <f t="shared" si="120"/>
        <v>Stokbar</v>
      </c>
      <c r="R104" s="278" t="str">
        <f t="shared" si="122"/>
        <v>Yeni Satış</v>
      </c>
      <c r="S104" s="279">
        <f t="shared" si="123"/>
        <v>223.75000000000003</v>
      </c>
      <c r="T104" s="279">
        <f t="shared" si="124"/>
        <v>248.75</v>
      </c>
      <c r="U104" s="279">
        <f t="shared" si="125"/>
        <v>230.625</v>
      </c>
      <c r="V104" s="279">
        <f t="shared" si="126"/>
        <v>296.875</v>
      </c>
      <c r="W104" s="279">
        <f t="shared" si="127"/>
        <v>1000</v>
      </c>
    </row>
    <row r="105" spans="1:23" ht="16" hidden="1" customHeight="1" outlineLevel="1" x14ac:dyDescent="0.2">
      <c r="A105" s="293" t="s">
        <v>29</v>
      </c>
      <c r="B105" s="294" t="s">
        <v>28</v>
      </c>
      <c r="C105" s="276">
        <f>'SatışEkibi YS-Yen. Hed - 600'!$C$62*'Satış YS-Yen.Hed (Ayık) - 600'!C$2</f>
        <v>78.80831400000001</v>
      </c>
      <c r="D105" s="276">
        <f>'SatışEkibi YS-Yen. Hed - 600'!$C$62*'Satış YS-Yen.Hed (Ayık) - 600'!D$2</f>
        <v>78.80831400000001</v>
      </c>
      <c r="E105" s="276">
        <f>'SatışEkibi YS-Yen. Hed - 600'!$C$62*'Satış YS-Yen.Hed (Ayık) - 600'!E$2</f>
        <v>89.869129999999998</v>
      </c>
      <c r="F105" s="276">
        <f>'SatışEkibi YS-Yen. Hed - 600'!$C$62*'Satış YS-Yen.Hed (Ayık) - 600'!F$2</f>
        <v>87.795226999999997</v>
      </c>
      <c r="G105" s="276">
        <f>'SatışEkibi YS-Yen. Hed - 600'!$C$62*'Satış YS-Yen.Hed (Ayık) - 600'!G$2</f>
        <v>87.795226999999997</v>
      </c>
      <c r="H105" s="276">
        <f>'SatışEkibi YS-Yen. Hed - 600'!$C$62*'Satış YS-Yen.Hed (Ayık) - 600'!H$2</f>
        <v>99.547343999999981</v>
      </c>
      <c r="I105" s="276">
        <f>'SatışEkibi YS-Yen. Hed - 600'!$C$62*'Satış YS-Yen.Hed (Ayık) - 600'!I$2</f>
        <v>82.956119999999999</v>
      </c>
      <c r="J105" s="276">
        <f>'SatışEkibi YS-Yen. Hed - 600'!$C$62*'Satış YS-Yen.Hed (Ayık) - 600'!J$2</f>
        <v>83.647420999999994</v>
      </c>
      <c r="K105" s="276">
        <f>'SatışEkibi YS-Yen. Hed - 600'!$C$62*'Satış YS-Yen.Hed (Ayık) - 600'!K$2</f>
        <v>88.486528000000007</v>
      </c>
      <c r="L105" s="276">
        <f>'SatışEkibi YS-Yen. Hed - 600'!$C$62*'Satış YS-Yen.Hed (Ayık) - 600'!L$2</f>
        <v>103.69514999999998</v>
      </c>
      <c r="M105" s="276">
        <f>'SatışEkibi YS-Yen. Hed - 600'!$C$62*'Satış YS-Yen.Hed (Ayık) - 600'!M$2</f>
        <v>105.07775199999999</v>
      </c>
      <c r="N105" s="276">
        <f>'SatışEkibi YS-Yen. Hed - 600'!$C$62*'Satış YS-Yen.Hed (Ayık) - 600'!N$2</f>
        <v>119.595073</v>
      </c>
      <c r="O105" s="295">
        <f t="shared" si="121"/>
        <v>1106.0816000000002</v>
      </c>
      <c r="Q105" s="277" t="str">
        <f t="shared" si="120"/>
        <v>Stokbar</v>
      </c>
      <c r="R105" s="278" t="str">
        <f t="shared" si="122"/>
        <v>Yenileme</v>
      </c>
      <c r="S105" s="279">
        <f t="shared" si="123"/>
        <v>247.48575800000003</v>
      </c>
      <c r="T105" s="279">
        <f t="shared" si="124"/>
        <v>275.13779799999998</v>
      </c>
      <c r="U105" s="279">
        <f t="shared" si="125"/>
        <v>255.09006900000003</v>
      </c>
      <c r="V105" s="279">
        <f t="shared" si="126"/>
        <v>328.367975</v>
      </c>
      <c r="W105" s="279">
        <f t="shared" si="127"/>
        <v>1106.0816</v>
      </c>
    </row>
    <row r="106" spans="1:23" ht="16" hidden="1" customHeight="1" outlineLevel="1" x14ac:dyDescent="0.2">
      <c r="A106" s="293" t="s">
        <v>27</v>
      </c>
      <c r="B106" s="294" t="s">
        <v>28</v>
      </c>
      <c r="C106" s="276">
        <f>'SatışEkibi YS-Yen. Hed - 600'!$D$62*'Satış YS-Yen.Hed (Ayık) - 600'!C$2</f>
        <v>12.338391000000001</v>
      </c>
      <c r="D106" s="276">
        <f>'SatışEkibi YS-Yen. Hed - 600'!$D$62*'Satış YS-Yen.Hed (Ayık) - 600'!D$2</f>
        <v>12.338391000000001</v>
      </c>
      <c r="E106" s="276">
        <f>'SatışEkibi YS-Yen. Hed - 600'!$D$62*'Satış YS-Yen.Hed (Ayık) - 600'!E$2</f>
        <v>14.070095</v>
      </c>
      <c r="F106" s="276">
        <f>'SatışEkibi YS-Yen. Hed - 600'!$D$62*'Satış YS-Yen.Hed (Ayık) - 600'!F$2</f>
        <v>13.745400500000001</v>
      </c>
      <c r="G106" s="276">
        <f>'SatışEkibi YS-Yen. Hed - 600'!$D$62*'Satış YS-Yen.Hed (Ayık) - 600'!G$2</f>
        <v>13.745400500000001</v>
      </c>
      <c r="H106" s="276">
        <f>'SatışEkibi YS-Yen. Hed - 600'!$D$62*'Satış YS-Yen.Hed (Ayık) - 600'!H$2</f>
        <v>15.585335999999996</v>
      </c>
      <c r="I106" s="276">
        <f>'SatışEkibi YS-Yen. Hed - 600'!$D$62*'Satış YS-Yen.Hed (Ayık) - 600'!I$2</f>
        <v>12.987779999999999</v>
      </c>
      <c r="J106" s="276">
        <f>'SatışEkibi YS-Yen. Hed - 600'!$D$62*'Satış YS-Yen.Hed (Ayık) - 600'!J$2</f>
        <v>13.096011499999999</v>
      </c>
      <c r="K106" s="276">
        <f>'SatışEkibi YS-Yen. Hed - 600'!$D$62*'Satış YS-Yen.Hed (Ayık) - 600'!K$2</f>
        <v>13.853632000000001</v>
      </c>
      <c r="L106" s="276">
        <f>'SatışEkibi YS-Yen. Hed - 600'!$D$62*'Satış YS-Yen.Hed (Ayık) - 600'!L$2</f>
        <v>16.234724999999997</v>
      </c>
      <c r="M106" s="276">
        <f>'SatışEkibi YS-Yen. Hed - 600'!$D$62*'Satış YS-Yen.Hed (Ayık) - 600'!M$2</f>
        <v>16.451187999999998</v>
      </c>
      <c r="N106" s="276">
        <f>'SatışEkibi YS-Yen. Hed - 600'!$D$62*'Satış YS-Yen.Hed (Ayık) - 600'!N$2</f>
        <v>18.7240495</v>
      </c>
      <c r="O106" s="295">
        <f t="shared" si="121"/>
        <v>173.1704</v>
      </c>
      <c r="Q106" s="277" t="str">
        <f t="shared" si="120"/>
        <v>Quest</v>
      </c>
      <c r="R106" s="278" t="str">
        <f t="shared" si="122"/>
        <v>Yenileme</v>
      </c>
      <c r="S106" s="279">
        <f t="shared" si="123"/>
        <v>38.746877000000005</v>
      </c>
      <c r="T106" s="279">
        <f t="shared" si="124"/>
        <v>43.076136999999996</v>
      </c>
      <c r="U106" s="279">
        <f t="shared" si="125"/>
        <v>39.937423499999994</v>
      </c>
      <c r="V106" s="279">
        <f t="shared" si="126"/>
        <v>51.409962499999999</v>
      </c>
      <c r="W106" s="279">
        <f t="shared" si="127"/>
        <v>173.1704</v>
      </c>
    </row>
    <row r="107" spans="1:23" ht="16" hidden="1" customHeight="1" outlineLevel="1" x14ac:dyDescent="0.2">
      <c r="A107" s="293" t="s">
        <v>34</v>
      </c>
      <c r="B107" s="294" t="s">
        <v>26</v>
      </c>
      <c r="C107" s="276">
        <f>'SatışEkibi YS-Yen. Hed - 600'!$G$61*'Satış YS-Yen.Hed (Ayık) - 600'!C$2</f>
        <v>35.625000000000007</v>
      </c>
      <c r="D107" s="276">
        <f>'SatışEkibi YS-Yen. Hed - 600'!$G$61*'Satış YS-Yen.Hed (Ayık) - 600'!D$2</f>
        <v>35.625000000000007</v>
      </c>
      <c r="E107" s="276">
        <f>'SatışEkibi YS-Yen. Hed - 600'!$G$61*'Satış YS-Yen.Hed (Ayık) - 600'!E$2</f>
        <v>40.625</v>
      </c>
      <c r="F107" s="276">
        <f>'SatışEkibi YS-Yen. Hed - 600'!$G$61*'Satış YS-Yen.Hed (Ayık) - 600'!F$2</f>
        <v>39.6875</v>
      </c>
      <c r="G107" s="276">
        <f>'SatışEkibi YS-Yen. Hed - 600'!$G$61*'Satış YS-Yen.Hed (Ayık) - 600'!G$2</f>
        <v>39.6875</v>
      </c>
      <c r="H107" s="276">
        <f>'SatışEkibi YS-Yen. Hed - 600'!$G$61*'Satış YS-Yen.Hed (Ayık) - 600'!H$2</f>
        <v>44.999999999999993</v>
      </c>
      <c r="I107" s="276">
        <f>'SatışEkibi YS-Yen. Hed - 600'!$G$61*'Satış YS-Yen.Hed (Ayık) - 600'!I$2</f>
        <v>37.5</v>
      </c>
      <c r="J107" s="276">
        <f>'SatışEkibi YS-Yen. Hed - 600'!$G$61*'Satış YS-Yen.Hed (Ayık) - 600'!J$2</f>
        <v>37.8125</v>
      </c>
      <c r="K107" s="276">
        <f>'SatışEkibi YS-Yen. Hed - 600'!$G$61*'Satış YS-Yen.Hed (Ayık) - 600'!K$2</f>
        <v>40</v>
      </c>
      <c r="L107" s="276">
        <f>'SatışEkibi YS-Yen. Hed - 600'!$G$61*'Satış YS-Yen.Hed (Ayık) - 600'!L$2</f>
        <v>46.874999999999993</v>
      </c>
      <c r="M107" s="276">
        <f>'SatışEkibi YS-Yen. Hed - 600'!$G$61*'Satış YS-Yen.Hed (Ayık) - 600'!M$2</f>
        <v>47.499999999999993</v>
      </c>
      <c r="N107" s="276">
        <f>'SatışEkibi YS-Yen. Hed - 600'!$G$61*'Satış YS-Yen.Hed (Ayık) - 600'!N$2</f>
        <v>54.0625</v>
      </c>
      <c r="O107" s="295">
        <f t="shared" si="121"/>
        <v>500</v>
      </c>
      <c r="Q107" s="277" t="str">
        <f t="shared" si="120"/>
        <v>Hosting</v>
      </c>
      <c r="R107" s="278" t="str">
        <f t="shared" si="122"/>
        <v>Yeni Satış</v>
      </c>
      <c r="S107" s="279">
        <f t="shared" si="123"/>
        <v>111.87500000000001</v>
      </c>
      <c r="T107" s="279">
        <f t="shared" si="124"/>
        <v>124.375</v>
      </c>
      <c r="U107" s="279">
        <f t="shared" si="125"/>
        <v>115.3125</v>
      </c>
      <c r="V107" s="279">
        <f t="shared" si="126"/>
        <v>148.4375</v>
      </c>
      <c r="W107" s="279">
        <f t="shared" si="127"/>
        <v>500</v>
      </c>
    </row>
    <row r="108" spans="1:23" ht="16" hidden="1" customHeight="1" outlineLevel="1" x14ac:dyDescent="0.2">
      <c r="A108" s="293" t="s">
        <v>34</v>
      </c>
      <c r="B108" s="294" t="s">
        <v>28</v>
      </c>
      <c r="C108" s="276">
        <f>'SatışEkibi YS-Yen. Hed - 600'!$G$62*'Satış YS-Yen.Hed (Ayık) - 600'!C$2</f>
        <v>36.73571625000001</v>
      </c>
      <c r="D108" s="276">
        <f>'SatışEkibi YS-Yen. Hed - 600'!$G$62*'Satış YS-Yen.Hed (Ayık) - 600'!D$2</f>
        <v>36.73571625000001</v>
      </c>
      <c r="E108" s="276">
        <f>'SatışEkibi YS-Yen. Hed - 600'!$G$62*'Satış YS-Yen.Hed (Ayık) - 600'!E$2</f>
        <v>41.891606250000009</v>
      </c>
      <c r="F108" s="276">
        <f>'SatışEkibi YS-Yen. Hed - 600'!$G$62*'Satış YS-Yen.Hed (Ayık) - 600'!F$2</f>
        <v>40.924876875000002</v>
      </c>
      <c r="G108" s="276">
        <f>'SatışEkibi YS-Yen. Hed - 600'!$G$62*'Satış YS-Yen.Hed (Ayık) - 600'!G$2</f>
        <v>40.924876875000002</v>
      </c>
      <c r="H108" s="276">
        <f>'SatışEkibi YS-Yen. Hed - 600'!$G$62*'Satış YS-Yen.Hed (Ayık) - 600'!H$2</f>
        <v>46.403009999999995</v>
      </c>
      <c r="I108" s="276">
        <f>'SatışEkibi YS-Yen. Hed - 600'!$G$62*'Satış YS-Yen.Hed (Ayık) - 600'!I$2</f>
        <v>38.669175000000003</v>
      </c>
      <c r="J108" s="276">
        <f>'SatışEkibi YS-Yen. Hed - 600'!$G$62*'Satış YS-Yen.Hed (Ayık) - 600'!J$2</f>
        <v>38.991418125000003</v>
      </c>
      <c r="K108" s="276">
        <f>'SatışEkibi YS-Yen. Hed - 600'!$G$62*'Satış YS-Yen.Hed (Ayık) - 600'!K$2</f>
        <v>41.247120000000002</v>
      </c>
      <c r="L108" s="276">
        <f>'SatışEkibi YS-Yen. Hed - 600'!$G$62*'Satış YS-Yen.Hed (Ayık) - 600'!L$2</f>
        <v>48.336468749999995</v>
      </c>
      <c r="M108" s="276">
        <f>'SatışEkibi YS-Yen. Hed - 600'!$G$62*'Satış YS-Yen.Hed (Ayık) - 600'!M$2</f>
        <v>48.980955000000002</v>
      </c>
      <c r="N108" s="276">
        <f>'SatışEkibi YS-Yen. Hed - 600'!$G$62*'Satış YS-Yen.Hed (Ayık) - 600'!N$2</f>
        <v>55.748060625000008</v>
      </c>
      <c r="O108" s="295">
        <f t="shared" si="121"/>
        <v>515.58900000000006</v>
      </c>
      <c r="Q108" s="277" t="str">
        <f t="shared" si="120"/>
        <v>Hosting</v>
      </c>
      <c r="R108" s="278" t="str">
        <f t="shared" si="122"/>
        <v>Yenileme</v>
      </c>
      <c r="S108" s="279">
        <f t="shared" si="123"/>
        <v>115.36303875000003</v>
      </c>
      <c r="T108" s="279">
        <f t="shared" si="124"/>
        <v>128.25276374999999</v>
      </c>
      <c r="U108" s="279">
        <f t="shared" si="125"/>
        <v>118.90771312500001</v>
      </c>
      <c r="V108" s="279">
        <f t="shared" si="126"/>
        <v>153.06548437499998</v>
      </c>
      <c r="W108" s="279">
        <f t="shared" si="127"/>
        <v>515.58900000000006</v>
      </c>
    </row>
    <row r="109" spans="1:23" ht="16" hidden="1" customHeight="1" outlineLevel="1" x14ac:dyDescent="0.2">
      <c r="A109" s="293" t="s">
        <v>53</v>
      </c>
      <c r="B109" s="294" t="s">
        <v>26</v>
      </c>
      <c r="C109" s="276">
        <f>'SatışEkibi YS-Yen. Hed - 600'!$H$61*'Satış YS-Yen.Hed (Ayık) - 600'!C$2</f>
        <v>783.75000000000011</v>
      </c>
      <c r="D109" s="276">
        <f>'SatışEkibi YS-Yen. Hed - 600'!$H$61*'Satış YS-Yen.Hed (Ayık) - 600'!D$2</f>
        <v>783.75000000000011</v>
      </c>
      <c r="E109" s="276">
        <f>'SatışEkibi YS-Yen. Hed - 600'!$H$61*'Satış YS-Yen.Hed (Ayık) - 600'!E$2</f>
        <v>893.75</v>
      </c>
      <c r="F109" s="276">
        <f>'SatışEkibi YS-Yen. Hed - 600'!$H$61*'Satış YS-Yen.Hed (Ayık) - 600'!F$2</f>
        <v>873.125</v>
      </c>
      <c r="G109" s="276">
        <f>'SatışEkibi YS-Yen. Hed - 600'!$H$61*'Satış YS-Yen.Hed (Ayık) - 600'!G$2</f>
        <v>873.125</v>
      </c>
      <c r="H109" s="276">
        <f>'SatışEkibi YS-Yen. Hed - 600'!$H$61*'Satış YS-Yen.Hed (Ayık) - 600'!H$2</f>
        <v>989.99999999999977</v>
      </c>
      <c r="I109" s="276">
        <f>'SatışEkibi YS-Yen. Hed - 600'!$H$61*'Satış YS-Yen.Hed (Ayık) - 600'!I$2</f>
        <v>825</v>
      </c>
      <c r="J109" s="276">
        <f>'SatışEkibi YS-Yen. Hed - 600'!$H$61*'Satış YS-Yen.Hed (Ayık) - 600'!J$2</f>
        <v>831.875</v>
      </c>
      <c r="K109" s="276">
        <f>'SatışEkibi YS-Yen. Hed - 600'!$H$61*'Satış YS-Yen.Hed (Ayık) - 600'!K$2</f>
        <v>880</v>
      </c>
      <c r="L109" s="276">
        <f>'SatışEkibi YS-Yen. Hed - 600'!$H$61*'Satış YS-Yen.Hed (Ayık) - 600'!L$2</f>
        <v>1031.2499999999998</v>
      </c>
      <c r="M109" s="276">
        <f>'SatışEkibi YS-Yen. Hed - 600'!$H$61*'Satış YS-Yen.Hed (Ayık) - 600'!M$2</f>
        <v>1044.9999999999998</v>
      </c>
      <c r="N109" s="276">
        <f>'SatışEkibi YS-Yen. Hed - 600'!$H$61*'Satış YS-Yen.Hed (Ayık) - 600'!N$2</f>
        <v>1189.375</v>
      </c>
      <c r="O109" s="295">
        <f t="shared" si="121"/>
        <v>11000</v>
      </c>
      <c r="Q109" s="277" t="str">
        <f t="shared" si="120"/>
        <v>E-Dönüşüm</v>
      </c>
      <c r="R109" s="278" t="str">
        <f t="shared" si="122"/>
        <v>Yeni Satış</v>
      </c>
      <c r="S109" s="279">
        <f t="shared" si="123"/>
        <v>2461.25</v>
      </c>
      <c r="T109" s="279">
        <f t="shared" si="124"/>
        <v>2736.25</v>
      </c>
      <c r="U109" s="279">
        <f t="shared" si="125"/>
        <v>2536.875</v>
      </c>
      <c r="V109" s="279">
        <f t="shared" si="126"/>
        <v>3265.6249999999995</v>
      </c>
      <c r="W109" s="279">
        <f t="shared" si="127"/>
        <v>11000</v>
      </c>
    </row>
    <row r="110" spans="1:23" ht="16" hidden="1" customHeight="1" outlineLevel="1" x14ac:dyDescent="0.2">
      <c r="A110" s="293" t="s">
        <v>53</v>
      </c>
      <c r="B110" s="294" t="s">
        <v>28</v>
      </c>
      <c r="C110" s="276">
        <f>'SatışEkibi YS-Yen. Hed - 600'!$H$62*'Satış YS-Yen.Hed (Ayık) - 600'!C$2</f>
        <v>142.50000000000003</v>
      </c>
      <c r="D110" s="276">
        <f>'SatışEkibi YS-Yen. Hed - 600'!$H$62*'Satış YS-Yen.Hed (Ayık) - 600'!D$2</f>
        <v>142.50000000000003</v>
      </c>
      <c r="E110" s="276">
        <f>'SatışEkibi YS-Yen. Hed - 600'!$H$62*'Satış YS-Yen.Hed (Ayık) - 600'!E$2</f>
        <v>162.5</v>
      </c>
      <c r="F110" s="276">
        <f>'SatışEkibi YS-Yen. Hed - 600'!$H$62*'Satış YS-Yen.Hed (Ayık) - 600'!F$2</f>
        <v>158.75</v>
      </c>
      <c r="G110" s="276">
        <f>'SatışEkibi YS-Yen. Hed - 600'!$H$62*'Satış YS-Yen.Hed (Ayık) - 600'!G$2</f>
        <v>158.75</v>
      </c>
      <c r="H110" s="276">
        <f>'SatışEkibi YS-Yen. Hed - 600'!$H$62*'Satış YS-Yen.Hed (Ayık) - 600'!H$2</f>
        <v>179.99999999999997</v>
      </c>
      <c r="I110" s="276">
        <f>'SatışEkibi YS-Yen. Hed - 600'!$H$62*'Satış YS-Yen.Hed (Ayık) - 600'!I$2</f>
        <v>150</v>
      </c>
      <c r="J110" s="276">
        <f>'SatışEkibi YS-Yen. Hed - 600'!$H$62*'Satış YS-Yen.Hed (Ayık) - 600'!J$2</f>
        <v>151.25</v>
      </c>
      <c r="K110" s="276">
        <f>'SatışEkibi YS-Yen. Hed - 600'!$H$62*'Satış YS-Yen.Hed (Ayık) - 600'!K$2</f>
        <v>160</v>
      </c>
      <c r="L110" s="276">
        <f>'SatışEkibi YS-Yen. Hed - 600'!$H$62*'Satış YS-Yen.Hed (Ayık) - 600'!L$2</f>
        <v>187.49999999999997</v>
      </c>
      <c r="M110" s="276">
        <f>'SatışEkibi YS-Yen. Hed - 600'!$H$62*'Satış YS-Yen.Hed (Ayık) - 600'!M$2</f>
        <v>189.99999999999997</v>
      </c>
      <c r="N110" s="276">
        <f>'SatışEkibi YS-Yen. Hed - 600'!$H$62*'Satış YS-Yen.Hed (Ayık) - 600'!N$2</f>
        <v>216.25</v>
      </c>
      <c r="O110" s="295">
        <f t="shared" si="121"/>
        <v>2000</v>
      </c>
      <c r="Q110" s="277" t="str">
        <f t="shared" si="120"/>
        <v>E-Dönüşüm</v>
      </c>
      <c r="R110" s="278" t="str">
        <f t="shared" si="122"/>
        <v>Yenileme</v>
      </c>
      <c r="S110" s="279">
        <f t="shared" si="123"/>
        <v>447.50000000000006</v>
      </c>
      <c r="T110" s="279">
        <f t="shared" si="124"/>
        <v>497.5</v>
      </c>
      <c r="U110" s="279">
        <f t="shared" si="125"/>
        <v>461.25</v>
      </c>
      <c r="V110" s="279">
        <f t="shared" si="126"/>
        <v>593.75</v>
      </c>
      <c r="W110" s="279">
        <f t="shared" si="127"/>
        <v>2000</v>
      </c>
    </row>
    <row r="111" spans="1:23" ht="16" hidden="1" customHeight="1" outlineLevel="1" x14ac:dyDescent="0.2">
      <c r="A111" s="293" t="s">
        <v>35</v>
      </c>
      <c r="B111" s="294" t="s">
        <v>26</v>
      </c>
      <c r="C111" s="276">
        <f>'SatışEkibi YS-Yen. Hed - 600'!$I$61*'Satış YS-Yen.Hed (Ayık) - 600'!C$2</f>
        <v>17.812500000000004</v>
      </c>
      <c r="D111" s="276">
        <f>'SatışEkibi YS-Yen. Hed - 600'!$I$61*'Satış YS-Yen.Hed (Ayık) - 600'!D$2</f>
        <v>17.812500000000004</v>
      </c>
      <c r="E111" s="276">
        <f>'SatışEkibi YS-Yen. Hed - 600'!$I$61*'Satış YS-Yen.Hed (Ayık) - 600'!E$2</f>
        <v>20.3125</v>
      </c>
      <c r="F111" s="276">
        <f>'SatışEkibi YS-Yen. Hed - 600'!$I$61*'Satış YS-Yen.Hed (Ayık) - 600'!F$2</f>
        <v>19.84375</v>
      </c>
      <c r="G111" s="276">
        <f>'SatışEkibi YS-Yen. Hed - 600'!$I$61*'Satış YS-Yen.Hed (Ayık) - 600'!G$2</f>
        <v>19.84375</v>
      </c>
      <c r="H111" s="276">
        <f>'SatışEkibi YS-Yen. Hed - 600'!$I$61*'Satış YS-Yen.Hed (Ayık) - 600'!H$2</f>
        <v>22.499999999999996</v>
      </c>
      <c r="I111" s="276">
        <f>'SatışEkibi YS-Yen. Hed - 600'!$I$61*'Satış YS-Yen.Hed (Ayık) - 600'!I$2</f>
        <v>18.75</v>
      </c>
      <c r="J111" s="276">
        <f>'SatışEkibi YS-Yen. Hed - 600'!$I$61*'Satış YS-Yen.Hed (Ayık) - 600'!J$2</f>
        <v>18.90625</v>
      </c>
      <c r="K111" s="276">
        <f>'SatışEkibi YS-Yen. Hed - 600'!$I$61*'Satış YS-Yen.Hed (Ayık) - 600'!K$2</f>
        <v>20</v>
      </c>
      <c r="L111" s="276">
        <f>'SatışEkibi YS-Yen. Hed - 600'!$I$61*'Satış YS-Yen.Hed (Ayık) - 600'!L$2</f>
        <v>23.437499999999996</v>
      </c>
      <c r="M111" s="276">
        <f>'SatışEkibi YS-Yen. Hed - 600'!$I$61*'Satış YS-Yen.Hed (Ayık) - 600'!M$2</f>
        <v>23.749999999999996</v>
      </c>
      <c r="N111" s="276">
        <f>'SatışEkibi YS-Yen. Hed - 600'!$I$61*'Satış YS-Yen.Hed (Ayık) - 600'!N$2</f>
        <v>27.03125</v>
      </c>
      <c r="O111" s="295">
        <f t="shared" si="121"/>
        <v>250</v>
      </c>
      <c r="Q111" s="277" t="str">
        <f t="shared" si="120"/>
        <v>BFH</v>
      </c>
      <c r="R111" s="278" t="str">
        <f t="shared" si="122"/>
        <v>Yeni Satış</v>
      </c>
      <c r="S111" s="279">
        <f t="shared" si="123"/>
        <v>55.937500000000007</v>
      </c>
      <c r="T111" s="279">
        <f t="shared" si="124"/>
        <v>62.1875</v>
      </c>
      <c r="U111" s="279">
        <f t="shared" si="125"/>
        <v>57.65625</v>
      </c>
      <c r="V111" s="279">
        <f t="shared" si="126"/>
        <v>74.21875</v>
      </c>
      <c r="W111" s="279">
        <f t="shared" si="127"/>
        <v>250</v>
      </c>
    </row>
    <row r="112" spans="1:23" ht="16" customHeight="1" collapsed="1" x14ac:dyDescent="0.2">
      <c r="A112" s="283" t="s">
        <v>30</v>
      </c>
      <c r="B112" s="284" t="s">
        <v>26</v>
      </c>
      <c r="C112" s="282">
        <f>SUMIF($B$102:$B$111,"Yeni Satış",C102:C111)</f>
        <v>1086.5625000000002</v>
      </c>
      <c r="D112" s="282">
        <f t="shared" ref="D112" si="128">SUMIF($B$5:$B$13,"Yeni Satış",D102:D111)</f>
        <v>543.04403025000011</v>
      </c>
      <c r="E112" s="282">
        <f t="shared" ref="E112" si="129">SUMIF($B$5:$B$13,"Yeni Satış",E102:E111)</f>
        <v>619.26073625000004</v>
      </c>
      <c r="F112" s="282">
        <f t="shared" ref="F112" si="130">SUMIF($B$5:$B$13,"Yeni Satış",F102:F111)</f>
        <v>604.97010387499995</v>
      </c>
      <c r="G112" s="282">
        <f t="shared" ref="G112" si="131">SUMIF($B$5:$B$13,"Yeni Satış",G102:G111)</f>
        <v>604.97010387499995</v>
      </c>
      <c r="H112" s="282">
        <f t="shared" ref="H112" si="132">SUMIF($B$5:$B$13,"Yeni Satış",H102:H111)</f>
        <v>685.95035399999995</v>
      </c>
      <c r="I112" s="282">
        <f t="shared" ref="I112" si="133">SUMIF($B$5:$B$13,"Yeni Satış",I102:I111)</f>
        <v>571.62529500000005</v>
      </c>
      <c r="J112" s="282">
        <f t="shared" ref="J112" si="134">SUMIF($B$5:$B$13,"Yeni Satış",J102:J111)</f>
        <v>576.388839125</v>
      </c>
      <c r="K112" s="282">
        <f t="shared" ref="K112" si="135">SUMIF($B$5:$B$13,"Yeni Satış",K102:K111)</f>
        <v>609.73364800000002</v>
      </c>
      <c r="L112" s="282">
        <f t="shared" ref="L112" si="136">SUMIF($B$5:$B$13,"Yeni Satış",L102:L111)</f>
        <v>714.53161874999989</v>
      </c>
      <c r="M112" s="282">
        <f t="shared" ref="M112" si="137">SUMIF($B$5:$B$13,"Yeni Satış",M102:M111)</f>
        <v>724.05870699999991</v>
      </c>
      <c r="N112" s="282">
        <f t="shared" ref="N112" si="138">SUMIF($B$5:$B$13,"Yeni Satış",N102:N111)</f>
        <v>824.09313362499995</v>
      </c>
      <c r="O112" s="296">
        <f>SUMIF(B102:B111,"Yeni Satış",O102:O111)</f>
        <v>15250</v>
      </c>
      <c r="Q112" s="283" t="s">
        <v>30</v>
      </c>
      <c r="R112" s="284" t="str">
        <f t="shared" si="122"/>
        <v>Yeni Satış</v>
      </c>
      <c r="S112" s="285">
        <f>SUMIF(R102:R111,"Yeni Satış",S102:S111)</f>
        <v>3412.1875</v>
      </c>
      <c r="T112" s="285">
        <f>SUMIF(R102:R111,"Yeni Satış",T102:T111)</f>
        <v>3793.4375</v>
      </c>
      <c r="U112" s="285">
        <f>SUMIF(R102:R111,"Yeni Satış",U102:U111)</f>
        <v>3517.03125</v>
      </c>
      <c r="V112" s="285">
        <f>SUMIF(R102:R111,"Yeni Satış",V102:V111)</f>
        <v>4527.34375</v>
      </c>
      <c r="W112" s="285">
        <f t="shared" si="127"/>
        <v>15250</v>
      </c>
    </row>
    <row r="113" spans="1:23" ht="16" customHeight="1" x14ac:dyDescent="0.2">
      <c r="A113" s="283" t="s">
        <v>30</v>
      </c>
      <c r="B113" s="284" t="s">
        <v>28</v>
      </c>
      <c r="C113" s="282">
        <f>SUMIF($B$102:$B$111,"Yenileme",C102:C111)</f>
        <v>734.76323100000013</v>
      </c>
      <c r="D113" s="282">
        <f t="shared" ref="D113" si="139">SUMIF($B$5:$B$13,"Yenileme",D102:D112)</f>
        <v>1260.4692007500003</v>
      </c>
      <c r="E113" s="282">
        <f t="shared" ref="E113" si="140">SUMIF($B$5:$B$13,"Yenileme",E102:E112)</f>
        <v>1437.37715875</v>
      </c>
      <c r="F113" s="282">
        <f t="shared" ref="F113" si="141">SUMIF($B$5:$B$13,"Yenileme",F102:F112)</f>
        <v>1404.2069166250001</v>
      </c>
      <c r="G113" s="282">
        <f t="shared" ref="G113" si="142">SUMIF($B$5:$B$13,"Yenileme",G102:G112)</f>
        <v>1404.2069166250001</v>
      </c>
      <c r="H113" s="282">
        <f t="shared" ref="H113" si="143">SUMIF($B$5:$B$13,"Yenileme",H102:H112)</f>
        <v>1592.1716219999998</v>
      </c>
      <c r="I113" s="282">
        <f t="shared" ref="I113" si="144">SUMIF($B$5:$B$13,"Yenileme",I102:I112)</f>
        <v>1326.8096849999999</v>
      </c>
      <c r="J113" s="282">
        <f t="shared" ref="J113" si="145">SUMIF($B$5:$B$13,"Yenileme",J102:J112)</f>
        <v>1337.8664323749999</v>
      </c>
      <c r="K113" s="282">
        <f t="shared" ref="K113" si="146">SUMIF($B$5:$B$13,"Yenileme",K102:K112)</f>
        <v>1415.2636640000001</v>
      </c>
      <c r="L113" s="282">
        <f t="shared" ref="L113" si="147">SUMIF($B$5:$B$13,"Yenileme",L102:L112)</f>
        <v>1658.5121062499998</v>
      </c>
      <c r="M113" s="282">
        <f t="shared" ref="M113" si="148">SUMIF($B$5:$B$13,"Yenileme",M102:M112)</f>
        <v>1680.6256009999997</v>
      </c>
      <c r="N113" s="282">
        <f t="shared" ref="N113" si="149">SUMIF($B$5:$B$13,"Yenileme",N102:N112)</f>
        <v>1912.8172958750001</v>
      </c>
      <c r="O113" s="296">
        <f>SUMIF(B102:B111,"Yenileme",O102:O111)</f>
        <v>10312.466399999999</v>
      </c>
      <c r="Q113" s="283" t="s">
        <v>30</v>
      </c>
      <c r="R113" s="284" t="str">
        <f t="shared" si="122"/>
        <v>Yenileme</v>
      </c>
      <c r="S113" s="285">
        <f>SUMIF(R102:R111,"Yenileme",S102:S111)</f>
        <v>2307.4143570000006</v>
      </c>
      <c r="T113" s="285">
        <f>SUMIF(R102:R111,"Yenileme",T102:T111)</f>
        <v>2565.226017</v>
      </c>
      <c r="U113" s="285">
        <f>SUMIF(R102:R111,"Yenileme",U102:U111)</f>
        <v>2378.3125635000006</v>
      </c>
      <c r="V113" s="285">
        <f>SUMIF(R102:R111,"Yenileme",V102:V111)</f>
        <v>3061.5134624999996</v>
      </c>
      <c r="W113" s="285">
        <f t="shared" si="127"/>
        <v>10312.466400000001</v>
      </c>
    </row>
    <row r="114" spans="1:23" ht="16" customHeight="1" x14ac:dyDescent="0.2">
      <c r="A114" s="297" t="s">
        <v>38</v>
      </c>
      <c r="B114" s="298" t="s">
        <v>144</v>
      </c>
      <c r="C114" s="288">
        <f>SUM(C112:C113)</f>
        <v>1821.3257310000004</v>
      </c>
      <c r="D114" s="288">
        <f t="shared" ref="D114" si="150">SUM(D112:D113)</f>
        <v>1803.5132310000004</v>
      </c>
      <c r="E114" s="288">
        <f t="shared" ref="E114" si="151">SUM(E112:E113)</f>
        <v>2056.6378949999998</v>
      </c>
      <c r="F114" s="288">
        <f t="shared" ref="F114" si="152">SUM(F112:F113)</f>
        <v>2009.1770205</v>
      </c>
      <c r="G114" s="288">
        <f t="shared" ref="G114" si="153">SUM(G112:G113)</f>
        <v>2009.1770205</v>
      </c>
      <c r="H114" s="288">
        <f t="shared" ref="H114" si="154">SUM(H112:H113)</f>
        <v>2278.1219759999999</v>
      </c>
      <c r="I114" s="288">
        <f t="shared" ref="I114" si="155">SUM(I112:I113)</f>
        <v>1898.43498</v>
      </c>
      <c r="J114" s="288">
        <f t="shared" ref="J114" si="156">SUM(J112:J113)</f>
        <v>1914.2552714999999</v>
      </c>
      <c r="K114" s="288">
        <f t="shared" ref="K114" si="157">SUM(K112:K113)</f>
        <v>2024.997312</v>
      </c>
      <c r="L114" s="288">
        <f t="shared" ref="L114" si="158">SUM(L112:L113)</f>
        <v>2373.0437249999995</v>
      </c>
      <c r="M114" s="288">
        <f t="shared" ref="M114" si="159">SUM(M112:M113)</f>
        <v>2404.6843079999999</v>
      </c>
      <c r="N114" s="288">
        <f t="shared" ref="N114" si="160">SUM(N112:N113)</f>
        <v>2736.9104295000002</v>
      </c>
      <c r="O114" s="304">
        <f>O112+O113</f>
        <v>25562.466399999998</v>
      </c>
      <c r="Q114" s="297" t="s">
        <v>38</v>
      </c>
      <c r="R114" s="298" t="str">
        <f t="shared" si="122"/>
        <v>YS + Yen.</v>
      </c>
      <c r="S114" s="302">
        <f>S112+S113</f>
        <v>5719.6018570000006</v>
      </c>
      <c r="T114" s="302">
        <f>T112+T113</f>
        <v>6358.663517</v>
      </c>
      <c r="U114" s="302">
        <f>U112+U113</f>
        <v>5895.3438135000006</v>
      </c>
      <c r="V114" s="302">
        <f>V112+V113</f>
        <v>7588.8572124999992</v>
      </c>
      <c r="W114" s="291">
        <f>W112+W113</f>
        <v>25562.466400000001</v>
      </c>
    </row>
    <row r="115" spans="1:23" ht="16" customHeight="1" x14ac:dyDescent="0.2"/>
    <row r="116" spans="1:23" x14ac:dyDescent="0.2">
      <c r="A116" s="264" t="s">
        <v>151</v>
      </c>
      <c r="B116" s="264"/>
      <c r="C116" s="266" t="s">
        <v>131</v>
      </c>
      <c r="D116" s="266" t="s">
        <v>132</v>
      </c>
      <c r="E116" s="266" t="s">
        <v>133</v>
      </c>
      <c r="F116" s="266" t="s">
        <v>134</v>
      </c>
      <c r="G116" s="266" t="s">
        <v>135</v>
      </c>
      <c r="H116" s="266" t="s">
        <v>136</v>
      </c>
      <c r="I116" s="266" t="s">
        <v>137</v>
      </c>
      <c r="J116" s="266" t="s">
        <v>138</v>
      </c>
      <c r="K116" s="266" t="s">
        <v>139</v>
      </c>
      <c r="L116" s="266" t="s">
        <v>140</v>
      </c>
      <c r="M116" s="266" t="s">
        <v>141</v>
      </c>
      <c r="N116" s="266" t="s">
        <v>142</v>
      </c>
      <c r="O116" s="266" t="s">
        <v>143</v>
      </c>
      <c r="Q116" s="301" t="str">
        <f t="shared" ref="Q116:Q126" si="161">A116</f>
        <v>Gülçin Erçebi  —  Kanal Satış</v>
      </c>
      <c r="R116" s="301"/>
      <c r="S116" s="266" t="s">
        <v>154</v>
      </c>
      <c r="T116" s="266" t="s">
        <v>155</v>
      </c>
      <c r="U116" s="266" t="s">
        <v>156</v>
      </c>
      <c r="V116" s="266" t="s">
        <v>157</v>
      </c>
      <c r="W116" s="266" t="s">
        <v>143</v>
      </c>
    </row>
    <row r="117" spans="1:23" ht="16" hidden="1" customHeight="1" outlineLevel="1" x14ac:dyDescent="0.2">
      <c r="A117" s="293" t="s">
        <v>25</v>
      </c>
      <c r="B117" s="294" t="s">
        <v>26</v>
      </c>
      <c r="C117" s="276">
        <f>'SatışEkibi YS-Yen. Hed - 600'!$B$64*C$2</f>
        <v>178.12500000000003</v>
      </c>
      <c r="D117" s="276">
        <f>'SatışEkibi YS-Yen. Hed - 600'!$B$64*D$2</f>
        <v>178.12500000000003</v>
      </c>
      <c r="E117" s="276">
        <f>'SatışEkibi YS-Yen. Hed - 600'!$B$64*E$2</f>
        <v>203.125</v>
      </c>
      <c r="F117" s="276">
        <f>'SatışEkibi YS-Yen. Hed - 600'!$B$64*F$2</f>
        <v>198.4375</v>
      </c>
      <c r="G117" s="276">
        <f>'SatışEkibi YS-Yen. Hed - 600'!$B$64*G$2</f>
        <v>198.4375</v>
      </c>
      <c r="H117" s="276">
        <f>'SatışEkibi YS-Yen. Hed - 600'!$B$64*H$2</f>
        <v>224.99999999999994</v>
      </c>
      <c r="I117" s="276">
        <f>'SatışEkibi YS-Yen. Hed - 600'!$B$64*I$2</f>
        <v>187.5</v>
      </c>
      <c r="J117" s="276">
        <f>'SatışEkibi YS-Yen. Hed - 600'!$B$64*J$2</f>
        <v>189.0625</v>
      </c>
      <c r="K117" s="276">
        <f>'SatışEkibi YS-Yen. Hed - 600'!$B$64*K$2</f>
        <v>200</v>
      </c>
      <c r="L117" s="276">
        <f>'SatışEkibi YS-Yen. Hed - 600'!$B$64*L$2</f>
        <v>234.37499999999997</v>
      </c>
      <c r="M117" s="276">
        <f>'SatışEkibi YS-Yen. Hed - 600'!$B$64*M$2</f>
        <v>237.49999999999997</v>
      </c>
      <c r="N117" s="276">
        <f>'SatışEkibi YS-Yen. Hed - 600'!$B$64*N$2</f>
        <v>270.3125</v>
      </c>
      <c r="O117" s="295">
        <f t="shared" ref="O117:O126" si="162">SUM(C117:N117)</f>
        <v>2500</v>
      </c>
      <c r="Q117" s="277" t="str">
        <f t="shared" si="161"/>
        <v>Enroute</v>
      </c>
      <c r="R117" s="278" t="str">
        <f t="shared" ref="R117:R129" si="163">B117</f>
        <v>Yeni Satış</v>
      </c>
      <c r="S117" s="279">
        <f t="shared" ref="S117:S126" si="164">SUM(C117:E117)</f>
        <v>559.375</v>
      </c>
      <c r="T117" s="279">
        <f t="shared" ref="T117:T126" si="165">SUM(F117:H117)</f>
        <v>621.875</v>
      </c>
      <c r="U117" s="279">
        <f t="shared" ref="U117:U126" si="166">SUM(I117:K117)</f>
        <v>576.5625</v>
      </c>
      <c r="V117" s="279">
        <f t="shared" ref="V117:V126" si="167">SUM(L117:N117)</f>
        <v>742.1875</v>
      </c>
      <c r="W117" s="279">
        <f t="shared" ref="W117:W128" si="168">SUM(S117:V117)</f>
        <v>2500</v>
      </c>
    </row>
    <row r="118" spans="1:23" ht="16" hidden="1" customHeight="1" outlineLevel="1" x14ac:dyDescent="0.2">
      <c r="A118" s="293" t="s">
        <v>25</v>
      </c>
      <c r="B118" s="294" t="s">
        <v>28</v>
      </c>
      <c r="C118" s="276">
        <f>'SatışEkibi YS-Yen. Hed - 600'!$B$65*'Satış YS-Yen.Hed (Ayık) - 600'!C$2</f>
        <v>464.38080975000008</v>
      </c>
      <c r="D118" s="276">
        <f>'SatışEkibi YS-Yen. Hed - 600'!$B$65*'Satış YS-Yen.Hed (Ayık) - 600'!D$2</f>
        <v>464.38080975000008</v>
      </c>
      <c r="E118" s="276">
        <f>'SatışEkibi YS-Yen. Hed - 600'!$B$65*'Satış YS-Yen.Hed (Ayık) - 600'!E$2</f>
        <v>529.55706375000011</v>
      </c>
      <c r="F118" s="276">
        <f>'SatışEkibi YS-Yen. Hed - 600'!$B$65*'Satış YS-Yen.Hed (Ayık) - 600'!F$2</f>
        <v>517.33651612500012</v>
      </c>
      <c r="G118" s="276">
        <f>'SatışEkibi YS-Yen. Hed - 600'!$B$65*'Satış YS-Yen.Hed (Ayık) - 600'!G$2</f>
        <v>517.33651612500012</v>
      </c>
      <c r="H118" s="276">
        <f>'SatışEkibi YS-Yen. Hed - 600'!$B$65*'Satış YS-Yen.Hed (Ayık) - 600'!H$2</f>
        <v>586.58628599999997</v>
      </c>
      <c r="I118" s="276">
        <f>'SatışEkibi YS-Yen. Hed - 600'!$B$65*'Satış YS-Yen.Hed (Ayık) - 600'!I$2</f>
        <v>488.82190500000002</v>
      </c>
      <c r="J118" s="276">
        <f>'SatışEkibi YS-Yen. Hed - 600'!$B$65*'Satış YS-Yen.Hed (Ayık) - 600'!J$2</f>
        <v>492.89542087500007</v>
      </c>
      <c r="K118" s="276">
        <f>'SatışEkibi YS-Yen. Hed - 600'!$B$65*'Satış YS-Yen.Hed (Ayık) - 600'!K$2</f>
        <v>521.41003200000011</v>
      </c>
      <c r="L118" s="276">
        <f>'SatışEkibi YS-Yen. Hed - 600'!$B$65*'Satış YS-Yen.Hed (Ayık) - 600'!L$2</f>
        <v>611.02738124999996</v>
      </c>
      <c r="M118" s="276">
        <f>'SatışEkibi YS-Yen. Hed - 600'!$B$65*'Satış YS-Yen.Hed (Ayık) - 600'!M$2</f>
        <v>619.17441299999996</v>
      </c>
      <c r="N118" s="276">
        <f>'SatışEkibi YS-Yen. Hed - 600'!$B$65*'Satış YS-Yen.Hed (Ayık) - 600'!N$2</f>
        <v>704.71824637500004</v>
      </c>
      <c r="O118" s="295">
        <f t="shared" si="162"/>
        <v>6517.625399999999</v>
      </c>
      <c r="Q118" s="277" t="str">
        <f t="shared" si="161"/>
        <v>Enroute</v>
      </c>
      <c r="R118" s="278" t="str">
        <f t="shared" si="163"/>
        <v>Yenileme</v>
      </c>
      <c r="S118" s="279">
        <f t="shared" si="164"/>
        <v>1458.3186832500003</v>
      </c>
      <c r="T118" s="279">
        <f t="shared" si="165"/>
        <v>1621.2593182500002</v>
      </c>
      <c r="U118" s="279">
        <f t="shared" si="166"/>
        <v>1503.1273578750001</v>
      </c>
      <c r="V118" s="279">
        <f t="shared" si="167"/>
        <v>1934.920040625</v>
      </c>
      <c r="W118" s="279">
        <f t="shared" si="168"/>
        <v>6517.6254000000008</v>
      </c>
    </row>
    <row r="119" spans="1:23" ht="16" hidden="1" customHeight="1" outlineLevel="1" x14ac:dyDescent="0.2">
      <c r="A119" s="293" t="s">
        <v>29</v>
      </c>
      <c r="B119" s="294" t="s">
        <v>26</v>
      </c>
      <c r="C119" s="276">
        <f>'SatışEkibi YS-Yen. Hed - 600'!$C$64*C$2</f>
        <v>78.80831400000001</v>
      </c>
      <c r="D119" s="276">
        <f>'SatışEkibi YS-Yen. Hed - 600'!$C$64*D$2</f>
        <v>78.80831400000001</v>
      </c>
      <c r="E119" s="276">
        <f>'SatışEkibi YS-Yen. Hed - 600'!$C$64*E$2</f>
        <v>89.869129999999998</v>
      </c>
      <c r="F119" s="276">
        <f>'SatışEkibi YS-Yen. Hed - 600'!$C$64*F$2</f>
        <v>87.795226999999997</v>
      </c>
      <c r="G119" s="276">
        <f>'SatışEkibi YS-Yen. Hed - 600'!$C$64*G$2</f>
        <v>87.795226999999997</v>
      </c>
      <c r="H119" s="276">
        <f>'SatışEkibi YS-Yen. Hed - 600'!$C$64*H$2</f>
        <v>99.547343999999981</v>
      </c>
      <c r="I119" s="276">
        <f>'SatışEkibi YS-Yen. Hed - 600'!$C$64*I$2</f>
        <v>82.956119999999999</v>
      </c>
      <c r="J119" s="276">
        <f>'SatışEkibi YS-Yen. Hed - 600'!$C$64*J$2</f>
        <v>83.647420999999994</v>
      </c>
      <c r="K119" s="276">
        <f>'SatışEkibi YS-Yen. Hed - 600'!$C$64*K$2</f>
        <v>88.486528000000007</v>
      </c>
      <c r="L119" s="276">
        <f>'SatışEkibi YS-Yen. Hed - 600'!$C$64*L$2</f>
        <v>103.69514999999998</v>
      </c>
      <c r="M119" s="276">
        <f>'SatışEkibi YS-Yen. Hed - 600'!$C$64*M$2</f>
        <v>105.07775199999999</v>
      </c>
      <c r="N119" s="276">
        <f>'SatışEkibi YS-Yen. Hed - 600'!$C$64*N$2</f>
        <v>119.595073</v>
      </c>
      <c r="O119" s="295">
        <f t="shared" si="162"/>
        <v>1106.0816000000002</v>
      </c>
      <c r="Q119" s="277" t="str">
        <f t="shared" si="161"/>
        <v>Stokbar</v>
      </c>
      <c r="R119" s="278" t="str">
        <f t="shared" si="163"/>
        <v>Yeni Satış</v>
      </c>
      <c r="S119" s="279">
        <f t="shared" si="164"/>
        <v>247.48575800000003</v>
      </c>
      <c r="T119" s="279">
        <f t="shared" si="165"/>
        <v>275.13779799999998</v>
      </c>
      <c r="U119" s="279">
        <f t="shared" si="166"/>
        <v>255.09006900000003</v>
      </c>
      <c r="V119" s="279">
        <f t="shared" si="167"/>
        <v>328.367975</v>
      </c>
      <c r="W119" s="279">
        <f t="shared" si="168"/>
        <v>1106.0816</v>
      </c>
    </row>
    <row r="120" spans="1:23" ht="16" hidden="1" customHeight="1" outlineLevel="1" x14ac:dyDescent="0.2">
      <c r="A120" s="293" t="s">
        <v>29</v>
      </c>
      <c r="B120" s="294" t="s">
        <v>28</v>
      </c>
      <c r="C120" s="276">
        <f>'SatışEkibi YS-Yen. Hed - 600'!$C$65*'Satış YS-Yen.Hed (Ayık) - 600'!C$2</f>
        <v>78.80831400000001</v>
      </c>
      <c r="D120" s="276">
        <f>'SatışEkibi YS-Yen. Hed - 600'!$C$65*'Satış YS-Yen.Hed (Ayık) - 600'!D$2</f>
        <v>78.80831400000001</v>
      </c>
      <c r="E120" s="276">
        <f>'SatışEkibi YS-Yen. Hed - 600'!$C$65*'Satış YS-Yen.Hed (Ayık) - 600'!E$2</f>
        <v>89.869129999999998</v>
      </c>
      <c r="F120" s="276">
        <f>'SatışEkibi YS-Yen. Hed - 600'!$C$65*'Satış YS-Yen.Hed (Ayık) - 600'!F$2</f>
        <v>87.795226999999997</v>
      </c>
      <c r="G120" s="276">
        <f>'SatışEkibi YS-Yen. Hed - 600'!$C$65*'Satış YS-Yen.Hed (Ayık) - 600'!G$2</f>
        <v>87.795226999999997</v>
      </c>
      <c r="H120" s="276">
        <f>'SatışEkibi YS-Yen. Hed - 600'!$C$65*'Satış YS-Yen.Hed (Ayık) - 600'!H$2</f>
        <v>99.547343999999981</v>
      </c>
      <c r="I120" s="276">
        <f>'SatışEkibi YS-Yen. Hed - 600'!$C$65*'Satış YS-Yen.Hed (Ayık) - 600'!I$2</f>
        <v>82.956119999999999</v>
      </c>
      <c r="J120" s="276">
        <f>'SatışEkibi YS-Yen. Hed - 600'!$C$65*'Satış YS-Yen.Hed (Ayık) - 600'!J$2</f>
        <v>83.647420999999994</v>
      </c>
      <c r="K120" s="276">
        <f>'SatışEkibi YS-Yen. Hed - 600'!$C$65*'Satış YS-Yen.Hed (Ayık) - 600'!K$2</f>
        <v>88.486528000000007</v>
      </c>
      <c r="L120" s="276">
        <f>'SatışEkibi YS-Yen. Hed - 600'!$C$65*'Satış YS-Yen.Hed (Ayık) - 600'!L$2</f>
        <v>103.69514999999998</v>
      </c>
      <c r="M120" s="276">
        <f>'SatışEkibi YS-Yen. Hed - 600'!$C$65*'Satış YS-Yen.Hed (Ayık) - 600'!M$2</f>
        <v>105.07775199999999</v>
      </c>
      <c r="N120" s="276">
        <f>'SatışEkibi YS-Yen. Hed - 600'!$C$65*'Satış YS-Yen.Hed (Ayık) - 600'!N$2</f>
        <v>119.595073</v>
      </c>
      <c r="O120" s="295">
        <f t="shared" si="162"/>
        <v>1106.0816000000002</v>
      </c>
      <c r="Q120" s="277" t="str">
        <f t="shared" si="161"/>
        <v>Stokbar</v>
      </c>
      <c r="R120" s="278" t="str">
        <f t="shared" si="163"/>
        <v>Yenileme</v>
      </c>
      <c r="S120" s="279">
        <f t="shared" si="164"/>
        <v>247.48575800000003</v>
      </c>
      <c r="T120" s="279">
        <f t="shared" si="165"/>
        <v>275.13779799999998</v>
      </c>
      <c r="U120" s="279">
        <f t="shared" si="166"/>
        <v>255.09006900000003</v>
      </c>
      <c r="V120" s="279">
        <f t="shared" si="167"/>
        <v>328.367975</v>
      </c>
      <c r="W120" s="279">
        <f t="shared" si="168"/>
        <v>1106.0816</v>
      </c>
    </row>
    <row r="121" spans="1:23" ht="16" hidden="1" customHeight="1" outlineLevel="1" x14ac:dyDescent="0.2">
      <c r="A121" s="293" t="s">
        <v>27</v>
      </c>
      <c r="B121" s="294" t="s">
        <v>28</v>
      </c>
      <c r="C121" s="276">
        <f>'SatışEkibi YS-Yen. Hed - 600'!$D$65*'Satış YS-Yen.Hed (Ayık) - 600'!C$2</f>
        <v>12.338391000000001</v>
      </c>
      <c r="D121" s="276">
        <f>'SatışEkibi YS-Yen. Hed - 600'!$D$65*'Satış YS-Yen.Hed (Ayık) - 600'!D$2</f>
        <v>12.338391000000001</v>
      </c>
      <c r="E121" s="276">
        <f>'SatışEkibi YS-Yen. Hed - 600'!$D$65*'Satış YS-Yen.Hed (Ayık) - 600'!E$2</f>
        <v>14.070095</v>
      </c>
      <c r="F121" s="276">
        <f>'SatışEkibi YS-Yen. Hed - 600'!$D$65*'Satış YS-Yen.Hed (Ayık) - 600'!F$2</f>
        <v>13.745400500000001</v>
      </c>
      <c r="G121" s="276">
        <f>'SatışEkibi YS-Yen. Hed - 600'!$D$65*'Satış YS-Yen.Hed (Ayık) - 600'!G$2</f>
        <v>13.745400500000001</v>
      </c>
      <c r="H121" s="276">
        <f>'SatışEkibi YS-Yen. Hed - 600'!$D$65*'Satış YS-Yen.Hed (Ayık) - 600'!H$2</f>
        <v>15.585335999999996</v>
      </c>
      <c r="I121" s="276">
        <f>'SatışEkibi YS-Yen. Hed - 600'!$D$65*'Satış YS-Yen.Hed (Ayık) - 600'!I$2</f>
        <v>12.987779999999999</v>
      </c>
      <c r="J121" s="276">
        <f>'SatışEkibi YS-Yen. Hed - 600'!$D$65*'Satış YS-Yen.Hed (Ayık) - 600'!J$2</f>
        <v>13.096011499999999</v>
      </c>
      <c r="K121" s="276">
        <f>'SatışEkibi YS-Yen. Hed - 600'!$D$65*'Satış YS-Yen.Hed (Ayık) - 600'!K$2</f>
        <v>13.853632000000001</v>
      </c>
      <c r="L121" s="276">
        <f>'SatışEkibi YS-Yen. Hed - 600'!$D$65*'Satış YS-Yen.Hed (Ayık) - 600'!L$2</f>
        <v>16.234724999999997</v>
      </c>
      <c r="M121" s="276">
        <f>'SatışEkibi YS-Yen. Hed - 600'!$D$65*'Satış YS-Yen.Hed (Ayık) - 600'!M$2</f>
        <v>16.451187999999998</v>
      </c>
      <c r="N121" s="276">
        <f>'SatışEkibi YS-Yen. Hed - 600'!$D$65*'Satış YS-Yen.Hed (Ayık) - 600'!N$2</f>
        <v>18.7240495</v>
      </c>
      <c r="O121" s="295">
        <f t="shared" si="162"/>
        <v>173.1704</v>
      </c>
      <c r="Q121" s="277" t="str">
        <f t="shared" si="161"/>
        <v>Quest</v>
      </c>
      <c r="R121" s="278" t="str">
        <f t="shared" si="163"/>
        <v>Yenileme</v>
      </c>
      <c r="S121" s="279">
        <f t="shared" si="164"/>
        <v>38.746877000000005</v>
      </c>
      <c r="T121" s="279">
        <f t="shared" si="165"/>
        <v>43.076136999999996</v>
      </c>
      <c r="U121" s="279">
        <f t="shared" si="166"/>
        <v>39.937423499999994</v>
      </c>
      <c r="V121" s="279">
        <f t="shared" si="167"/>
        <v>51.409962499999999</v>
      </c>
      <c r="W121" s="279">
        <f t="shared" si="168"/>
        <v>173.1704</v>
      </c>
    </row>
    <row r="122" spans="1:23" ht="16" hidden="1" customHeight="1" outlineLevel="1" x14ac:dyDescent="0.2">
      <c r="A122" s="293" t="s">
        <v>34</v>
      </c>
      <c r="B122" s="294" t="s">
        <v>26</v>
      </c>
      <c r="C122" s="276">
        <f>'SatışEkibi YS-Yen. Hed - 600'!$G$64*'Satış YS-Yen.Hed (Ayık) - 600'!C$2</f>
        <v>35.625000000000007</v>
      </c>
      <c r="D122" s="276">
        <f>'SatışEkibi YS-Yen. Hed - 600'!$G$64*'Satış YS-Yen.Hed (Ayık) - 600'!D$2</f>
        <v>35.625000000000007</v>
      </c>
      <c r="E122" s="276">
        <f>'SatışEkibi YS-Yen. Hed - 600'!$G$64*'Satış YS-Yen.Hed (Ayık) - 600'!E$2</f>
        <v>40.625</v>
      </c>
      <c r="F122" s="276">
        <f>'SatışEkibi YS-Yen. Hed - 600'!$G$64*'Satış YS-Yen.Hed (Ayık) - 600'!F$2</f>
        <v>39.6875</v>
      </c>
      <c r="G122" s="276">
        <f>'SatışEkibi YS-Yen. Hed - 600'!$G$64*'Satış YS-Yen.Hed (Ayık) - 600'!G$2</f>
        <v>39.6875</v>
      </c>
      <c r="H122" s="276">
        <f>'SatışEkibi YS-Yen. Hed - 600'!$G$64*'Satış YS-Yen.Hed (Ayık) - 600'!H$2</f>
        <v>44.999999999999993</v>
      </c>
      <c r="I122" s="276">
        <f>'SatışEkibi YS-Yen. Hed - 600'!$G$64*'Satış YS-Yen.Hed (Ayık) - 600'!I$2</f>
        <v>37.5</v>
      </c>
      <c r="J122" s="276">
        <f>'SatışEkibi YS-Yen. Hed - 600'!$G$64*'Satış YS-Yen.Hed (Ayık) - 600'!J$2</f>
        <v>37.8125</v>
      </c>
      <c r="K122" s="276">
        <f>'SatışEkibi YS-Yen. Hed - 600'!$G$64*'Satış YS-Yen.Hed (Ayık) - 600'!K$2</f>
        <v>40</v>
      </c>
      <c r="L122" s="276">
        <f>'SatışEkibi YS-Yen. Hed - 600'!$G$64*'Satış YS-Yen.Hed (Ayık) - 600'!L$2</f>
        <v>46.874999999999993</v>
      </c>
      <c r="M122" s="276">
        <f>'SatışEkibi YS-Yen. Hed - 600'!$G$64*'Satış YS-Yen.Hed (Ayık) - 600'!M$2</f>
        <v>47.499999999999993</v>
      </c>
      <c r="N122" s="276">
        <f>'SatışEkibi YS-Yen. Hed - 600'!$G$64*'Satış YS-Yen.Hed (Ayık) - 600'!N$2</f>
        <v>54.0625</v>
      </c>
      <c r="O122" s="295">
        <f t="shared" si="162"/>
        <v>500</v>
      </c>
      <c r="Q122" s="277" t="str">
        <f t="shared" si="161"/>
        <v>Hosting</v>
      </c>
      <c r="R122" s="278" t="str">
        <f t="shared" si="163"/>
        <v>Yeni Satış</v>
      </c>
      <c r="S122" s="279">
        <f t="shared" si="164"/>
        <v>111.87500000000001</v>
      </c>
      <c r="T122" s="279">
        <f t="shared" si="165"/>
        <v>124.375</v>
      </c>
      <c r="U122" s="279">
        <f t="shared" si="166"/>
        <v>115.3125</v>
      </c>
      <c r="V122" s="279">
        <f t="shared" si="167"/>
        <v>148.4375</v>
      </c>
      <c r="W122" s="279">
        <f t="shared" si="168"/>
        <v>500</v>
      </c>
    </row>
    <row r="123" spans="1:23" ht="16" hidden="1" customHeight="1" outlineLevel="1" x14ac:dyDescent="0.2">
      <c r="A123" s="293" t="s">
        <v>34</v>
      </c>
      <c r="B123" s="294" t="s">
        <v>28</v>
      </c>
      <c r="C123" s="276">
        <f>'SatışEkibi YS-Yen. Hed - 600'!$G$65*'Satış YS-Yen.Hed (Ayık) - 600'!C$2</f>
        <v>80.512500000000003</v>
      </c>
      <c r="D123" s="276">
        <f>'SatışEkibi YS-Yen. Hed - 600'!$G$65*'Satış YS-Yen.Hed (Ayık) - 600'!D$2</f>
        <v>80.512500000000003</v>
      </c>
      <c r="E123" s="276">
        <f>'SatışEkibi YS-Yen. Hed - 600'!$G$65*'Satış YS-Yen.Hed (Ayık) - 600'!E$2</f>
        <v>91.8125</v>
      </c>
      <c r="F123" s="276">
        <f>'SatışEkibi YS-Yen. Hed - 600'!$G$65*'Satış YS-Yen.Hed (Ayık) - 600'!F$2</f>
        <v>89.693749999999994</v>
      </c>
      <c r="G123" s="276">
        <f>'SatışEkibi YS-Yen. Hed - 600'!$G$65*'Satış YS-Yen.Hed (Ayık) - 600'!G$2</f>
        <v>89.693749999999994</v>
      </c>
      <c r="H123" s="276">
        <f>'SatışEkibi YS-Yen. Hed - 600'!$G$65*'Satış YS-Yen.Hed (Ayık) - 600'!H$2</f>
        <v>101.69999999999997</v>
      </c>
      <c r="I123" s="276">
        <f>'SatışEkibi YS-Yen. Hed - 600'!$G$65*'Satış YS-Yen.Hed (Ayık) - 600'!I$2</f>
        <v>84.75</v>
      </c>
      <c r="J123" s="276">
        <f>'SatışEkibi YS-Yen. Hed - 600'!$G$65*'Satış YS-Yen.Hed (Ayık) - 600'!J$2</f>
        <v>85.456249999999997</v>
      </c>
      <c r="K123" s="276">
        <f>'SatışEkibi YS-Yen. Hed - 600'!$G$65*'Satış YS-Yen.Hed (Ayık) - 600'!K$2</f>
        <v>90.4</v>
      </c>
      <c r="L123" s="276">
        <f>'SatışEkibi YS-Yen. Hed - 600'!$G$65*'Satış YS-Yen.Hed (Ayık) - 600'!L$2</f>
        <v>105.93749999999999</v>
      </c>
      <c r="M123" s="276">
        <f>'SatışEkibi YS-Yen. Hed - 600'!$G$65*'Satış YS-Yen.Hed (Ayık) - 600'!M$2</f>
        <v>107.34999999999998</v>
      </c>
      <c r="N123" s="276">
        <f>'SatışEkibi YS-Yen. Hed - 600'!$G$65*'Satış YS-Yen.Hed (Ayık) - 600'!N$2</f>
        <v>122.18125000000001</v>
      </c>
      <c r="O123" s="295">
        <f t="shared" si="162"/>
        <v>1130</v>
      </c>
      <c r="Q123" s="277" t="str">
        <f t="shared" si="161"/>
        <v>Hosting</v>
      </c>
      <c r="R123" s="278" t="str">
        <f t="shared" si="163"/>
        <v>Yenileme</v>
      </c>
      <c r="S123" s="279">
        <f t="shared" si="164"/>
        <v>252.83750000000001</v>
      </c>
      <c r="T123" s="279">
        <f t="shared" si="165"/>
        <v>281.08749999999998</v>
      </c>
      <c r="U123" s="279">
        <f t="shared" si="166"/>
        <v>260.60625000000005</v>
      </c>
      <c r="V123" s="279">
        <f t="shared" si="167"/>
        <v>335.46875</v>
      </c>
      <c r="W123" s="279">
        <f t="shared" si="168"/>
        <v>1130</v>
      </c>
    </row>
    <row r="124" spans="1:23" ht="16" hidden="1" customHeight="1" outlineLevel="1" x14ac:dyDescent="0.2">
      <c r="A124" s="293" t="s">
        <v>53</v>
      </c>
      <c r="B124" s="294" t="s">
        <v>26</v>
      </c>
      <c r="C124" s="276">
        <f>'SatışEkibi YS-Yen. Hed - 600'!$H$64*'Satış YS-Yen.Hed (Ayık) - 600'!C$2</f>
        <v>783.75000000000011</v>
      </c>
      <c r="D124" s="276">
        <f>'SatışEkibi YS-Yen. Hed - 600'!$H$64*'Satış YS-Yen.Hed (Ayık) - 600'!D$2</f>
        <v>783.75000000000011</v>
      </c>
      <c r="E124" s="276">
        <f>'SatışEkibi YS-Yen. Hed - 600'!$H$64*'Satış YS-Yen.Hed (Ayık) - 600'!E$2</f>
        <v>893.75</v>
      </c>
      <c r="F124" s="276">
        <f>'SatışEkibi YS-Yen. Hed - 600'!$H$64*'Satış YS-Yen.Hed (Ayık) - 600'!F$2</f>
        <v>873.125</v>
      </c>
      <c r="G124" s="276">
        <f>'SatışEkibi YS-Yen. Hed - 600'!$H$64*'Satış YS-Yen.Hed (Ayık) - 600'!G$2</f>
        <v>873.125</v>
      </c>
      <c r="H124" s="276">
        <f>'SatışEkibi YS-Yen. Hed - 600'!$H$64*'Satış YS-Yen.Hed (Ayık) - 600'!H$2</f>
        <v>989.99999999999977</v>
      </c>
      <c r="I124" s="276">
        <f>'SatışEkibi YS-Yen. Hed - 600'!$H$64*'Satış YS-Yen.Hed (Ayık) - 600'!I$2</f>
        <v>825</v>
      </c>
      <c r="J124" s="276">
        <f>'SatışEkibi YS-Yen. Hed - 600'!$H$64*'Satış YS-Yen.Hed (Ayık) - 600'!J$2</f>
        <v>831.875</v>
      </c>
      <c r="K124" s="276">
        <f>'SatışEkibi YS-Yen. Hed - 600'!$H$64*'Satış YS-Yen.Hed (Ayık) - 600'!K$2</f>
        <v>880</v>
      </c>
      <c r="L124" s="276">
        <f>'SatışEkibi YS-Yen. Hed - 600'!$H$64*'Satış YS-Yen.Hed (Ayık) - 600'!L$2</f>
        <v>1031.2499999999998</v>
      </c>
      <c r="M124" s="276">
        <f>'SatışEkibi YS-Yen. Hed - 600'!$H$64*'Satış YS-Yen.Hed (Ayık) - 600'!M$2</f>
        <v>1044.9999999999998</v>
      </c>
      <c r="N124" s="276">
        <f>'SatışEkibi YS-Yen. Hed - 600'!$H$64*'Satış YS-Yen.Hed (Ayık) - 600'!N$2</f>
        <v>1189.375</v>
      </c>
      <c r="O124" s="295">
        <f t="shared" si="162"/>
        <v>11000</v>
      </c>
      <c r="Q124" s="277" t="str">
        <f t="shared" si="161"/>
        <v>E-Dönüşüm</v>
      </c>
      <c r="R124" s="278" t="str">
        <f t="shared" si="163"/>
        <v>Yeni Satış</v>
      </c>
      <c r="S124" s="279">
        <f t="shared" si="164"/>
        <v>2461.25</v>
      </c>
      <c r="T124" s="279">
        <f t="shared" si="165"/>
        <v>2736.25</v>
      </c>
      <c r="U124" s="279">
        <f t="shared" si="166"/>
        <v>2536.875</v>
      </c>
      <c r="V124" s="279">
        <f t="shared" si="167"/>
        <v>3265.6249999999995</v>
      </c>
      <c r="W124" s="279">
        <f t="shared" si="168"/>
        <v>11000</v>
      </c>
    </row>
    <row r="125" spans="1:23" ht="16" hidden="1" customHeight="1" outlineLevel="1" x14ac:dyDescent="0.2">
      <c r="A125" s="293" t="s">
        <v>53</v>
      </c>
      <c r="B125" s="294" t="s">
        <v>28</v>
      </c>
      <c r="C125" s="276">
        <f>'SatışEkibi YS-Yen. Hed - 600'!$H$65*'Satış YS-Yen.Hed (Ayık) - 600'!C$2</f>
        <v>142.50000000000003</v>
      </c>
      <c r="D125" s="276">
        <f>'SatışEkibi YS-Yen. Hed - 600'!$H$65*'Satış YS-Yen.Hed (Ayık) - 600'!D$2</f>
        <v>142.50000000000003</v>
      </c>
      <c r="E125" s="276">
        <f>'SatışEkibi YS-Yen. Hed - 600'!$H$65*'Satış YS-Yen.Hed (Ayık) - 600'!E$2</f>
        <v>162.5</v>
      </c>
      <c r="F125" s="276">
        <f>'SatışEkibi YS-Yen. Hed - 600'!$H$65*'Satış YS-Yen.Hed (Ayık) - 600'!F$2</f>
        <v>158.75</v>
      </c>
      <c r="G125" s="276">
        <f>'SatışEkibi YS-Yen. Hed - 600'!$H$65*'Satış YS-Yen.Hed (Ayık) - 600'!G$2</f>
        <v>158.75</v>
      </c>
      <c r="H125" s="276">
        <f>'SatışEkibi YS-Yen. Hed - 600'!$H$65*'Satış YS-Yen.Hed (Ayık) - 600'!H$2</f>
        <v>179.99999999999997</v>
      </c>
      <c r="I125" s="276">
        <f>'SatışEkibi YS-Yen. Hed - 600'!$H$65*'Satış YS-Yen.Hed (Ayık) - 600'!I$2</f>
        <v>150</v>
      </c>
      <c r="J125" s="276">
        <f>'SatışEkibi YS-Yen. Hed - 600'!$H$65*'Satış YS-Yen.Hed (Ayık) - 600'!J$2</f>
        <v>151.25</v>
      </c>
      <c r="K125" s="276">
        <f>'SatışEkibi YS-Yen. Hed - 600'!$H$65*'Satış YS-Yen.Hed (Ayık) - 600'!K$2</f>
        <v>160</v>
      </c>
      <c r="L125" s="276">
        <f>'SatışEkibi YS-Yen. Hed - 600'!$H$65*'Satış YS-Yen.Hed (Ayık) - 600'!L$2</f>
        <v>187.49999999999997</v>
      </c>
      <c r="M125" s="276">
        <f>'SatışEkibi YS-Yen. Hed - 600'!$H$65*'Satış YS-Yen.Hed (Ayık) - 600'!M$2</f>
        <v>189.99999999999997</v>
      </c>
      <c r="N125" s="276">
        <f>'SatışEkibi YS-Yen. Hed - 600'!$H$65*'Satış YS-Yen.Hed (Ayık) - 600'!N$2</f>
        <v>216.25</v>
      </c>
      <c r="O125" s="295">
        <f t="shared" si="162"/>
        <v>2000</v>
      </c>
      <c r="Q125" s="277" t="str">
        <f t="shared" si="161"/>
        <v>E-Dönüşüm</v>
      </c>
      <c r="R125" s="278" t="str">
        <f t="shared" si="163"/>
        <v>Yenileme</v>
      </c>
      <c r="S125" s="279">
        <f t="shared" si="164"/>
        <v>447.50000000000006</v>
      </c>
      <c r="T125" s="279">
        <f t="shared" si="165"/>
        <v>497.5</v>
      </c>
      <c r="U125" s="279">
        <f t="shared" si="166"/>
        <v>461.25</v>
      </c>
      <c r="V125" s="279">
        <f t="shared" si="167"/>
        <v>593.75</v>
      </c>
      <c r="W125" s="279">
        <f t="shared" si="168"/>
        <v>2000</v>
      </c>
    </row>
    <row r="126" spans="1:23" ht="16" hidden="1" customHeight="1" outlineLevel="1" x14ac:dyDescent="0.2">
      <c r="A126" s="293" t="s">
        <v>35</v>
      </c>
      <c r="B126" s="294" t="s">
        <v>26</v>
      </c>
      <c r="C126" s="276">
        <f>'SatışEkibi YS-Yen. Hed - 600'!$I$64*'Satış YS-Yen.Hed (Ayık) - 600'!C$2</f>
        <v>17.812500000000004</v>
      </c>
      <c r="D126" s="276">
        <f>'SatışEkibi YS-Yen. Hed - 600'!$I$64*'Satış YS-Yen.Hed (Ayık) - 600'!D$2</f>
        <v>17.812500000000004</v>
      </c>
      <c r="E126" s="276">
        <f>'SatışEkibi YS-Yen. Hed - 600'!$I$64*'Satış YS-Yen.Hed (Ayık) - 600'!E$2</f>
        <v>20.3125</v>
      </c>
      <c r="F126" s="276">
        <f>'SatışEkibi YS-Yen. Hed - 600'!$I$64*'Satış YS-Yen.Hed (Ayık) - 600'!F$2</f>
        <v>19.84375</v>
      </c>
      <c r="G126" s="276">
        <f>'SatışEkibi YS-Yen. Hed - 600'!$I$64*'Satış YS-Yen.Hed (Ayık) - 600'!G$2</f>
        <v>19.84375</v>
      </c>
      <c r="H126" s="276">
        <f>'SatışEkibi YS-Yen. Hed - 600'!$I$64*'Satış YS-Yen.Hed (Ayık) - 600'!H$2</f>
        <v>22.499999999999996</v>
      </c>
      <c r="I126" s="276">
        <f>'SatışEkibi YS-Yen. Hed - 600'!$I$64*'Satış YS-Yen.Hed (Ayık) - 600'!I$2</f>
        <v>18.75</v>
      </c>
      <c r="J126" s="276">
        <f>'SatışEkibi YS-Yen. Hed - 600'!$I$64*'Satış YS-Yen.Hed (Ayık) - 600'!J$2</f>
        <v>18.90625</v>
      </c>
      <c r="K126" s="276">
        <f>'SatışEkibi YS-Yen. Hed - 600'!$I$64*'Satış YS-Yen.Hed (Ayık) - 600'!K$2</f>
        <v>20</v>
      </c>
      <c r="L126" s="276">
        <f>'SatışEkibi YS-Yen. Hed - 600'!$I$64*'Satış YS-Yen.Hed (Ayık) - 600'!L$2</f>
        <v>23.437499999999996</v>
      </c>
      <c r="M126" s="276">
        <f>'SatışEkibi YS-Yen. Hed - 600'!$I$64*'Satış YS-Yen.Hed (Ayık) - 600'!M$2</f>
        <v>23.749999999999996</v>
      </c>
      <c r="N126" s="276">
        <f>'SatışEkibi YS-Yen. Hed - 600'!$I$64*'Satış YS-Yen.Hed (Ayık) - 600'!N$2</f>
        <v>27.03125</v>
      </c>
      <c r="O126" s="295">
        <f t="shared" si="162"/>
        <v>250</v>
      </c>
      <c r="Q126" s="277" t="str">
        <f t="shared" si="161"/>
        <v>BFH</v>
      </c>
      <c r="R126" s="278" t="str">
        <f t="shared" si="163"/>
        <v>Yeni Satış</v>
      </c>
      <c r="S126" s="279">
        <f t="shared" si="164"/>
        <v>55.937500000000007</v>
      </c>
      <c r="T126" s="279">
        <f t="shared" si="165"/>
        <v>62.1875</v>
      </c>
      <c r="U126" s="279">
        <f t="shared" si="166"/>
        <v>57.65625</v>
      </c>
      <c r="V126" s="279">
        <f t="shared" si="167"/>
        <v>74.21875</v>
      </c>
      <c r="W126" s="279">
        <f t="shared" si="168"/>
        <v>250</v>
      </c>
    </row>
    <row r="127" spans="1:23" ht="16" customHeight="1" collapsed="1" x14ac:dyDescent="0.2">
      <c r="A127" s="283" t="s">
        <v>30</v>
      </c>
      <c r="B127" s="284" t="s">
        <v>26</v>
      </c>
      <c r="C127" s="282">
        <f>SUMIF($B$117:$B$126,"Yeni Satış",C117:C126)</f>
        <v>1094.1208140000001</v>
      </c>
      <c r="D127" s="282">
        <f t="shared" ref="D127:N127" si="169">SUMIF($B$117:$B$126,"Yeni Satış",D117:D126)</f>
        <v>1094.1208140000001</v>
      </c>
      <c r="E127" s="282">
        <f t="shared" si="169"/>
        <v>1247.68163</v>
      </c>
      <c r="F127" s="282">
        <f t="shared" si="169"/>
        <v>1218.8889770000001</v>
      </c>
      <c r="G127" s="282">
        <f t="shared" si="169"/>
        <v>1218.8889770000001</v>
      </c>
      <c r="H127" s="282">
        <f t="shared" si="169"/>
        <v>1382.0473439999996</v>
      </c>
      <c r="I127" s="282">
        <f t="shared" si="169"/>
        <v>1151.7061200000001</v>
      </c>
      <c r="J127" s="282">
        <f t="shared" si="169"/>
        <v>1161.3036710000001</v>
      </c>
      <c r="K127" s="282">
        <f t="shared" si="169"/>
        <v>1228.4865279999999</v>
      </c>
      <c r="L127" s="282">
        <f t="shared" si="169"/>
        <v>1439.6326499999998</v>
      </c>
      <c r="M127" s="282">
        <f t="shared" si="169"/>
        <v>1458.8277519999997</v>
      </c>
      <c r="N127" s="282">
        <f t="shared" si="169"/>
        <v>1660.376323</v>
      </c>
      <c r="O127" s="296">
        <f>SUMIF(B117:B126,"Yeni Satış",O117:O126)</f>
        <v>15356.081600000001</v>
      </c>
      <c r="Q127" s="283" t="s">
        <v>30</v>
      </c>
      <c r="R127" s="284" t="str">
        <f t="shared" si="163"/>
        <v>Yeni Satış</v>
      </c>
      <c r="S127" s="285">
        <f>SUMIF(R117:R126,"Yeni Satış",S117:S126)</f>
        <v>3435.9232579999998</v>
      </c>
      <c r="T127" s="285">
        <f>SUMIF(R117:R126,"Yeni Satış",T117:T126)</f>
        <v>3819.8252979999997</v>
      </c>
      <c r="U127" s="285">
        <f>SUMIF(R117:R126,"Yeni Satış",U117:U126)</f>
        <v>3541.4963189999999</v>
      </c>
      <c r="V127" s="285">
        <f>SUMIF(R117:R126,"Yeni Satış",V117:V126)</f>
        <v>4558.8367249999992</v>
      </c>
      <c r="W127" s="285">
        <f t="shared" si="168"/>
        <v>15356.0816</v>
      </c>
    </row>
    <row r="128" spans="1:23" ht="16" customHeight="1" x14ac:dyDescent="0.2">
      <c r="A128" s="283" t="s">
        <v>30</v>
      </c>
      <c r="B128" s="284" t="s">
        <v>28</v>
      </c>
      <c r="C128" s="282">
        <f>SUMIF($B$117:$B$126,"Yenileme",C117:C126)</f>
        <v>778.54001475000018</v>
      </c>
      <c r="D128" s="282">
        <f t="shared" ref="D128:N128" si="170">SUMIF($B$117:$B$126,"Yenileme",D117:D126)</f>
        <v>778.54001475000018</v>
      </c>
      <c r="E128" s="282">
        <f t="shared" si="170"/>
        <v>887.80878875000019</v>
      </c>
      <c r="F128" s="282">
        <f t="shared" si="170"/>
        <v>867.32089362500005</v>
      </c>
      <c r="G128" s="282">
        <f t="shared" si="170"/>
        <v>867.32089362500005</v>
      </c>
      <c r="H128" s="282">
        <f t="shared" si="170"/>
        <v>983.41896599999984</v>
      </c>
      <c r="I128" s="282">
        <f t="shared" si="170"/>
        <v>819.51580500000011</v>
      </c>
      <c r="J128" s="282">
        <f t="shared" si="170"/>
        <v>826.34510337500001</v>
      </c>
      <c r="K128" s="282">
        <f t="shared" si="170"/>
        <v>874.15019200000006</v>
      </c>
      <c r="L128" s="282">
        <f t="shared" si="170"/>
        <v>1024.39475625</v>
      </c>
      <c r="M128" s="282">
        <f t="shared" si="170"/>
        <v>1038.053353</v>
      </c>
      <c r="N128" s="282">
        <f t="shared" si="170"/>
        <v>1181.4686188749999</v>
      </c>
      <c r="O128" s="296">
        <f>SUMIF(B117:B126,"Yenileme",O117:O126)</f>
        <v>10926.877399999999</v>
      </c>
      <c r="Q128" s="283" t="s">
        <v>30</v>
      </c>
      <c r="R128" s="284" t="str">
        <f t="shared" si="163"/>
        <v>Yenileme</v>
      </c>
      <c r="S128" s="285">
        <f>SUMIF(R117:R126,"Yenileme",S117:S126)</f>
        <v>2444.8888182500004</v>
      </c>
      <c r="T128" s="285">
        <f>SUMIF(R117:R126,"Yenileme",T117:T126)</f>
        <v>2718.0607532500003</v>
      </c>
      <c r="U128" s="285">
        <f>SUMIF(R117:R126,"Yenileme",U117:U126)</f>
        <v>2520.0111003750003</v>
      </c>
      <c r="V128" s="285">
        <f>SUMIF(R117:R126,"Yenileme",V117:V126)</f>
        <v>3243.9167281249997</v>
      </c>
      <c r="W128" s="285">
        <f t="shared" si="168"/>
        <v>10926.877400000001</v>
      </c>
    </row>
    <row r="129" spans="1:23" ht="16" customHeight="1" x14ac:dyDescent="0.2">
      <c r="A129" s="297" t="s">
        <v>38</v>
      </c>
      <c r="B129" s="298" t="s">
        <v>144</v>
      </c>
      <c r="C129" s="288">
        <f>SUM(C127:C128)</f>
        <v>1872.6608287500003</v>
      </c>
      <c r="D129" s="288">
        <f t="shared" ref="D129:N129" si="171">SUM(D127:D128)</f>
        <v>1872.6608287500003</v>
      </c>
      <c r="E129" s="288">
        <f t="shared" si="171"/>
        <v>2135.4904187500001</v>
      </c>
      <c r="F129" s="288">
        <f t="shared" si="171"/>
        <v>2086.2098706249999</v>
      </c>
      <c r="G129" s="288">
        <f t="shared" si="171"/>
        <v>2086.2098706249999</v>
      </c>
      <c r="H129" s="288">
        <f t="shared" si="171"/>
        <v>2365.4663099999993</v>
      </c>
      <c r="I129" s="288">
        <f t="shared" si="171"/>
        <v>1971.2219250000003</v>
      </c>
      <c r="J129" s="288">
        <f t="shared" si="171"/>
        <v>1987.6487743750001</v>
      </c>
      <c r="K129" s="288">
        <f t="shared" si="171"/>
        <v>2102.63672</v>
      </c>
      <c r="L129" s="288">
        <f t="shared" si="171"/>
        <v>2464.0274062499998</v>
      </c>
      <c r="M129" s="288">
        <f t="shared" si="171"/>
        <v>2496.8811049999995</v>
      </c>
      <c r="N129" s="288">
        <f t="shared" si="171"/>
        <v>2841.8449418749997</v>
      </c>
      <c r="O129" s="304">
        <f>O127+O128</f>
        <v>26282.959000000003</v>
      </c>
      <c r="Q129" s="297" t="s">
        <v>38</v>
      </c>
      <c r="R129" s="298" t="str">
        <f t="shared" si="163"/>
        <v>YS + Yen.</v>
      </c>
      <c r="S129" s="302">
        <f>S127+S128</f>
        <v>5880.8120762500002</v>
      </c>
      <c r="T129" s="302">
        <f>T127+T128</f>
        <v>6537.8860512499996</v>
      </c>
      <c r="U129" s="302">
        <f>U127+U128</f>
        <v>6061.5074193750006</v>
      </c>
      <c r="V129" s="302">
        <f>V127+V128</f>
        <v>7802.7534531249985</v>
      </c>
      <c r="W129" s="291">
        <f>W127+W128</f>
        <v>26282.959000000003</v>
      </c>
    </row>
    <row r="130" spans="1:23" ht="16" customHeight="1" x14ac:dyDescent="0.2"/>
    <row r="131" spans="1:23" x14ac:dyDescent="0.2">
      <c r="A131" s="264" t="s">
        <v>152</v>
      </c>
      <c r="B131" s="264"/>
      <c r="C131" s="266" t="s">
        <v>131</v>
      </c>
      <c r="D131" s="266" t="s">
        <v>132</v>
      </c>
      <c r="E131" s="266" t="s">
        <v>133</v>
      </c>
      <c r="F131" s="266" t="s">
        <v>134</v>
      </c>
      <c r="G131" s="266" t="s">
        <v>135</v>
      </c>
      <c r="H131" s="266" t="s">
        <v>136</v>
      </c>
      <c r="I131" s="266" t="s">
        <v>137</v>
      </c>
      <c r="J131" s="266" t="s">
        <v>138</v>
      </c>
      <c r="K131" s="266" t="s">
        <v>139</v>
      </c>
      <c r="L131" s="266" t="s">
        <v>140</v>
      </c>
      <c r="M131" s="266" t="s">
        <v>141</v>
      </c>
      <c r="N131" s="266" t="s">
        <v>142</v>
      </c>
      <c r="O131" s="266" t="s">
        <v>143</v>
      </c>
      <c r="Q131" s="301" t="str">
        <f>A131</f>
        <v>Özlem Gülbahar  —  Kanal Satış</v>
      </c>
      <c r="R131" s="301"/>
      <c r="S131" s="266" t="s">
        <v>154</v>
      </c>
      <c r="T131" s="266" t="s">
        <v>155</v>
      </c>
      <c r="U131" s="266" t="s">
        <v>156</v>
      </c>
      <c r="V131" s="266" t="s">
        <v>157</v>
      </c>
      <c r="W131" s="266" t="s">
        <v>143</v>
      </c>
    </row>
    <row r="132" spans="1:23" ht="16" hidden="1" customHeight="1" outlineLevel="1" x14ac:dyDescent="0.2">
      <c r="A132" s="293" t="s">
        <v>53</v>
      </c>
      <c r="B132" s="294" t="s">
        <v>26</v>
      </c>
      <c r="C132" s="276">
        <f>'SatışEkibi YS-Yen. Hed - 600'!$H$67*'Satış YS-Yen.Hed (Ayık) - 600'!C$2</f>
        <v>1282.5000000000002</v>
      </c>
      <c r="D132" s="276">
        <f>'SatışEkibi YS-Yen. Hed - 600'!$H$67*'Satış YS-Yen.Hed (Ayık) - 600'!D$2</f>
        <v>1282.5000000000002</v>
      </c>
      <c r="E132" s="276">
        <f>'SatışEkibi YS-Yen. Hed - 600'!$H$67*'Satış YS-Yen.Hed (Ayık) - 600'!E$2</f>
        <v>1462.5</v>
      </c>
      <c r="F132" s="276">
        <f>'SatışEkibi YS-Yen. Hed - 600'!$H$67*'Satış YS-Yen.Hed (Ayık) - 600'!F$2</f>
        <v>1428.75</v>
      </c>
      <c r="G132" s="276">
        <f>'SatışEkibi YS-Yen. Hed - 600'!$H$67*'Satış YS-Yen.Hed (Ayık) - 600'!G$2</f>
        <v>1428.75</v>
      </c>
      <c r="H132" s="276">
        <f>'SatışEkibi YS-Yen. Hed - 600'!$H$67*'Satış YS-Yen.Hed (Ayık) - 600'!H$2</f>
        <v>1619.9999999999998</v>
      </c>
      <c r="I132" s="276">
        <f>'SatışEkibi YS-Yen. Hed - 600'!$H$67*'Satış YS-Yen.Hed (Ayık) - 600'!I$2</f>
        <v>1350</v>
      </c>
      <c r="J132" s="276">
        <f>'SatışEkibi YS-Yen. Hed - 600'!$H$67*'Satış YS-Yen.Hed (Ayık) - 600'!J$2</f>
        <v>1361.25</v>
      </c>
      <c r="K132" s="276">
        <f>'SatışEkibi YS-Yen. Hed - 600'!$H$67*'Satış YS-Yen.Hed (Ayık) - 600'!K$2</f>
        <v>1440</v>
      </c>
      <c r="L132" s="276">
        <f>'SatışEkibi YS-Yen. Hed - 600'!$H$67*'Satış YS-Yen.Hed (Ayık) - 600'!L$2</f>
        <v>1687.4999999999998</v>
      </c>
      <c r="M132" s="276">
        <f>'SatışEkibi YS-Yen. Hed - 600'!$H$67*'Satış YS-Yen.Hed (Ayık) - 600'!M$2</f>
        <v>1709.9999999999998</v>
      </c>
      <c r="N132" s="276">
        <f>'SatışEkibi YS-Yen. Hed - 600'!$H$67*'Satış YS-Yen.Hed (Ayık) - 600'!N$2</f>
        <v>1946.25</v>
      </c>
      <c r="O132" s="295">
        <f>SUM(C132:N132)</f>
        <v>18000</v>
      </c>
      <c r="Q132" s="277" t="str">
        <f>A132</f>
        <v>E-Dönüşüm</v>
      </c>
      <c r="R132" s="278" t="str">
        <f>B132</f>
        <v>Yeni Satış</v>
      </c>
      <c r="S132" s="279">
        <f>SUM(C132:E132)</f>
        <v>4027.5000000000005</v>
      </c>
      <c r="T132" s="279">
        <f>SUM(F132:H132)</f>
        <v>4477.5</v>
      </c>
      <c r="U132" s="279">
        <f>SUM(I132:K132)</f>
        <v>4151.25</v>
      </c>
      <c r="V132" s="279">
        <f>SUM(L132:N132)</f>
        <v>5343.75</v>
      </c>
      <c r="W132" s="279">
        <f>SUM(S132:V132)</f>
        <v>18000</v>
      </c>
    </row>
    <row r="133" spans="1:23" ht="16" hidden="1" customHeight="1" outlineLevel="1" x14ac:dyDescent="0.2">
      <c r="A133" s="293" t="s">
        <v>53</v>
      </c>
      <c r="B133" s="294" t="s">
        <v>28</v>
      </c>
      <c r="C133" s="276">
        <f>'SatışEkibi YS-Yen. Hed - 600'!$H$68*'Satış YS-Yen.Hed (Ayık) - 600'!C$2</f>
        <v>2278.5316800000001</v>
      </c>
      <c r="D133" s="276">
        <f>'SatışEkibi YS-Yen. Hed - 600'!$H$68*'Satış YS-Yen.Hed (Ayık) - 600'!D$2</f>
        <v>2278.5316800000001</v>
      </c>
      <c r="E133" s="276">
        <f>'SatışEkibi YS-Yen. Hed - 600'!$H$68*'Satış YS-Yen.Hed (Ayık) - 600'!E$2</f>
        <v>2598.3256000000001</v>
      </c>
      <c r="F133" s="276">
        <f>'SatışEkibi YS-Yen. Hed - 600'!$H$68*'Satış YS-Yen.Hed (Ayık) - 600'!F$2</f>
        <v>2538.3642399999999</v>
      </c>
      <c r="G133" s="276">
        <f>'SatışEkibi YS-Yen. Hed - 600'!$H$68*'Satış YS-Yen.Hed (Ayık) - 600'!G$2</f>
        <v>2538.3642399999999</v>
      </c>
      <c r="H133" s="276">
        <f>'SatışEkibi YS-Yen. Hed - 600'!$H$68*'Satış YS-Yen.Hed (Ayık) - 600'!H$2</f>
        <v>2878.1452799999993</v>
      </c>
      <c r="I133" s="276">
        <f>'SatışEkibi YS-Yen. Hed - 600'!$H$68*'Satış YS-Yen.Hed (Ayık) - 600'!I$2</f>
        <v>2398.4544000000001</v>
      </c>
      <c r="J133" s="276">
        <f>'SatışEkibi YS-Yen. Hed - 600'!$H$68*'Satış YS-Yen.Hed (Ayık) - 600'!J$2</f>
        <v>2418.4415199999999</v>
      </c>
      <c r="K133" s="276">
        <f>'SatışEkibi YS-Yen. Hed - 600'!$H$68*'Satış YS-Yen.Hed (Ayık) - 600'!K$2</f>
        <v>2558.3513600000001</v>
      </c>
      <c r="L133" s="276">
        <f>'SatışEkibi YS-Yen. Hed - 600'!$H$68*'Satış YS-Yen.Hed (Ayık) - 600'!L$2</f>
        <v>2998.0679999999998</v>
      </c>
      <c r="M133" s="276">
        <f>'SatışEkibi YS-Yen. Hed - 600'!$H$68*'Satış YS-Yen.Hed (Ayık) - 600'!M$2</f>
        <v>3038.0422399999998</v>
      </c>
      <c r="N133" s="276">
        <f>'SatışEkibi YS-Yen. Hed - 600'!$H$68*'Satış YS-Yen.Hed (Ayık) - 600'!N$2</f>
        <v>3457.7717600000001</v>
      </c>
      <c r="O133" s="295">
        <f>SUM(C133:N133)</f>
        <v>31979.391999999996</v>
      </c>
      <c r="Q133" s="277" t="str">
        <f>A133</f>
        <v>E-Dönüşüm</v>
      </c>
      <c r="R133" s="278" t="str">
        <f>B133</f>
        <v>Yenileme</v>
      </c>
      <c r="S133" s="279">
        <f>SUM(C133:E133)</f>
        <v>7155.3889600000002</v>
      </c>
      <c r="T133" s="279">
        <f>SUM(F133:H133)</f>
        <v>7954.8737599999986</v>
      </c>
      <c r="U133" s="279">
        <f>SUM(I133:K133)</f>
        <v>7375.2472799999996</v>
      </c>
      <c r="V133" s="279">
        <f>SUM(L133:N133)</f>
        <v>9493.8819999999996</v>
      </c>
      <c r="W133" s="279">
        <f>SUM(S133:V133)</f>
        <v>31979.392</v>
      </c>
    </row>
    <row r="134" spans="1:23" ht="16" customHeight="1" collapsed="1" x14ac:dyDescent="0.2">
      <c r="A134" s="283" t="s">
        <v>30</v>
      </c>
      <c r="B134" s="284" t="s">
        <v>26</v>
      </c>
      <c r="C134" s="282">
        <f>C132</f>
        <v>1282.5000000000002</v>
      </c>
      <c r="D134" s="282">
        <f t="shared" ref="D134:N134" si="172">D132</f>
        <v>1282.5000000000002</v>
      </c>
      <c r="E134" s="282">
        <f t="shared" si="172"/>
        <v>1462.5</v>
      </c>
      <c r="F134" s="282">
        <f t="shared" si="172"/>
        <v>1428.75</v>
      </c>
      <c r="G134" s="282">
        <f t="shared" si="172"/>
        <v>1428.75</v>
      </c>
      <c r="H134" s="282">
        <f t="shared" si="172"/>
        <v>1619.9999999999998</v>
      </c>
      <c r="I134" s="282">
        <f t="shared" si="172"/>
        <v>1350</v>
      </c>
      <c r="J134" s="282">
        <f t="shared" si="172"/>
        <v>1361.25</v>
      </c>
      <c r="K134" s="282">
        <f t="shared" si="172"/>
        <v>1440</v>
      </c>
      <c r="L134" s="282">
        <f t="shared" si="172"/>
        <v>1687.4999999999998</v>
      </c>
      <c r="M134" s="282">
        <f t="shared" si="172"/>
        <v>1709.9999999999998</v>
      </c>
      <c r="N134" s="282">
        <f t="shared" si="172"/>
        <v>1946.25</v>
      </c>
      <c r="O134" s="296">
        <f>SUMIF(B132:B133,"Yeni Satış",O132:O133)</f>
        <v>18000</v>
      </c>
      <c r="Q134" s="283" t="s">
        <v>30</v>
      </c>
      <c r="R134" s="284" t="str">
        <f>B134</f>
        <v>Yeni Satış</v>
      </c>
      <c r="S134" s="285">
        <f>SUMIF(R132:R133,"Yeni Satış",S132:S133)</f>
        <v>4027.5000000000005</v>
      </c>
      <c r="T134" s="285">
        <f>SUMIF(R132:R133,"Yeni Satış",T132:T133)</f>
        <v>4477.5</v>
      </c>
      <c r="U134" s="285">
        <f>SUMIF(R132:R133,"Yeni Satış",U132:U133)</f>
        <v>4151.25</v>
      </c>
      <c r="V134" s="285">
        <f>SUMIF(R132:R133,"Yeni Satış",V132:V133)</f>
        <v>5343.75</v>
      </c>
      <c r="W134" s="285">
        <f>SUM(S134:V134)</f>
        <v>18000</v>
      </c>
    </row>
    <row r="135" spans="1:23" ht="16" customHeight="1" x14ac:dyDescent="0.2">
      <c r="A135" s="283" t="s">
        <v>30</v>
      </c>
      <c r="B135" s="284" t="s">
        <v>28</v>
      </c>
      <c r="C135" s="282">
        <f>C133</f>
        <v>2278.5316800000001</v>
      </c>
      <c r="D135" s="282">
        <f t="shared" ref="D135:N135" si="173">D133</f>
        <v>2278.5316800000001</v>
      </c>
      <c r="E135" s="282">
        <f t="shared" si="173"/>
        <v>2598.3256000000001</v>
      </c>
      <c r="F135" s="282">
        <f t="shared" si="173"/>
        <v>2538.3642399999999</v>
      </c>
      <c r="G135" s="282">
        <f t="shared" si="173"/>
        <v>2538.3642399999999</v>
      </c>
      <c r="H135" s="282">
        <f t="shared" si="173"/>
        <v>2878.1452799999993</v>
      </c>
      <c r="I135" s="282">
        <f t="shared" si="173"/>
        <v>2398.4544000000001</v>
      </c>
      <c r="J135" s="282">
        <f t="shared" si="173"/>
        <v>2418.4415199999999</v>
      </c>
      <c r="K135" s="282">
        <f t="shared" si="173"/>
        <v>2558.3513600000001</v>
      </c>
      <c r="L135" s="282">
        <f t="shared" si="173"/>
        <v>2998.0679999999998</v>
      </c>
      <c r="M135" s="282">
        <f t="shared" si="173"/>
        <v>3038.0422399999998</v>
      </c>
      <c r="N135" s="282">
        <f t="shared" si="173"/>
        <v>3457.7717600000001</v>
      </c>
      <c r="O135" s="296">
        <f>SUMIF(B132:B133,"Yenileme",O132:O133)</f>
        <v>31979.391999999996</v>
      </c>
      <c r="Q135" s="283" t="s">
        <v>30</v>
      </c>
      <c r="R135" s="284" t="str">
        <f>B135</f>
        <v>Yenileme</v>
      </c>
      <c r="S135" s="285">
        <f>SUMIF(R132:R133,"Yenileme",S132:S133)</f>
        <v>7155.3889600000002</v>
      </c>
      <c r="T135" s="285">
        <f>SUMIF(R132:R133,"Yenileme",T132:T133)</f>
        <v>7954.8737599999986</v>
      </c>
      <c r="U135" s="285">
        <f>SUMIF(R132:R133,"Yenileme",U132:U133)</f>
        <v>7375.2472799999996</v>
      </c>
      <c r="V135" s="285">
        <f>SUMIF(R132:R133,"Yenileme",V132:V133)</f>
        <v>9493.8819999999996</v>
      </c>
      <c r="W135" s="285">
        <f>SUM(S135:V135)</f>
        <v>31979.392</v>
      </c>
    </row>
    <row r="136" spans="1:23" ht="16" customHeight="1" x14ac:dyDescent="0.2">
      <c r="A136" s="297" t="s">
        <v>38</v>
      </c>
      <c r="B136" s="298" t="s">
        <v>144</v>
      </c>
      <c r="C136" s="288">
        <f>SUM(C134:C135)</f>
        <v>3561.0316800000001</v>
      </c>
      <c r="D136" s="288">
        <f t="shared" ref="D136:N136" si="174">SUM(D134:D135)</f>
        <v>3561.0316800000001</v>
      </c>
      <c r="E136" s="288">
        <f t="shared" si="174"/>
        <v>4060.8256000000001</v>
      </c>
      <c r="F136" s="288">
        <f t="shared" si="174"/>
        <v>3967.1142399999999</v>
      </c>
      <c r="G136" s="288">
        <f t="shared" si="174"/>
        <v>3967.1142399999999</v>
      </c>
      <c r="H136" s="288">
        <f t="shared" si="174"/>
        <v>4498.1452799999988</v>
      </c>
      <c r="I136" s="288">
        <f t="shared" si="174"/>
        <v>3748.4544000000001</v>
      </c>
      <c r="J136" s="288">
        <f t="shared" si="174"/>
        <v>3779.6915199999999</v>
      </c>
      <c r="K136" s="288">
        <f t="shared" si="174"/>
        <v>3998.3513600000001</v>
      </c>
      <c r="L136" s="288">
        <f t="shared" si="174"/>
        <v>4685.5679999999993</v>
      </c>
      <c r="M136" s="288">
        <f t="shared" si="174"/>
        <v>4748.0422399999998</v>
      </c>
      <c r="N136" s="288">
        <f t="shared" si="174"/>
        <v>5404.0217599999996</v>
      </c>
      <c r="O136" s="304">
        <f>O134+O135</f>
        <v>49979.391999999993</v>
      </c>
      <c r="Q136" s="297" t="s">
        <v>38</v>
      </c>
      <c r="R136" s="298" t="str">
        <f>B136</f>
        <v>YS + Yen.</v>
      </c>
      <c r="S136" s="302">
        <f>S134+S135</f>
        <v>11182.88896</v>
      </c>
      <c r="T136" s="302">
        <f>T134+T135</f>
        <v>12432.373759999999</v>
      </c>
      <c r="U136" s="302">
        <f>U134+U135</f>
        <v>11526.49728</v>
      </c>
      <c r="V136" s="302">
        <f>V134+V135</f>
        <v>14837.632</v>
      </c>
      <c r="W136" s="291">
        <f>W134+W135</f>
        <v>49979.392</v>
      </c>
    </row>
    <row r="137" spans="1:23" ht="16" customHeight="1" x14ac:dyDescent="0.2"/>
    <row r="138" spans="1:23" x14ac:dyDescent="0.2">
      <c r="A138" s="271" t="s">
        <v>153</v>
      </c>
      <c r="B138" s="271"/>
      <c r="C138" s="266" t="s">
        <v>131</v>
      </c>
      <c r="D138" s="266" t="s">
        <v>132</v>
      </c>
      <c r="E138" s="266" t="s">
        <v>133</v>
      </c>
      <c r="F138" s="266" t="s">
        <v>134</v>
      </c>
      <c r="G138" s="266" t="s">
        <v>135</v>
      </c>
      <c r="H138" s="266" t="s">
        <v>136</v>
      </c>
      <c r="I138" s="266" t="s">
        <v>137</v>
      </c>
      <c r="J138" s="266" t="s">
        <v>138</v>
      </c>
      <c r="K138" s="266" t="s">
        <v>139</v>
      </c>
      <c r="L138" s="266" t="s">
        <v>140</v>
      </c>
      <c r="M138" s="266" t="s">
        <v>141</v>
      </c>
      <c r="N138" s="266" t="s">
        <v>142</v>
      </c>
      <c r="O138" s="266" t="s">
        <v>143</v>
      </c>
      <c r="Q138" s="271" t="str">
        <f t="shared" ref="Q138:Q153" si="175">A138</f>
        <v>Univera Toplam Satış</v>
      </c>
      <c r="R138" s="271"/>
      <c r="S138" s="266" t="s">
        <v>154</v>
      </c>
      <c r="T138" s="266" t="s">
        <v>155</v>
      </c>
      <c r="U138" s="266" t="s">
        <v>156</v>
      </c>
      <c r="V138" s="266" t="s">
        <v>157</v>
      </c>
      <c r="W138" s="266" t="s">
        <v>143</v>
      </c>
    </row>
    <row r="139" spans="1:23" ht="16" hidden="1" customHeight="1" outlineLevel="1" x14ac:dyDescent="0.2">
      <c r="A139" s="293" t="s">
        <v>25</v>
      </c>
      <c r="B139" s="294" t="s">
        <v>26</v>
      </c>
      <c r="C139" s="295">
        <f>SUMIFS(C5:C13,A5:A13,"Enroute",B5:B13,"Yeni Satış")+SUMIFS(C19:C28,A19:A28,"Enroute",B19:B28,"Yeni Satış")+SUMIFS(C34:C45,A34:A45,"Enroute",B34:B45,"Yeni Satış")+SUMIFS(C51:C59,A51:A59,"Enroute",B51:B59,"Yeni Satış")+SUMIFS(C65:C74,A65:A74,"Enroute",B65:B74,"Yeni Satış")+SUMIFS(C80:C89,A80:A89,"Enroute",B80:B89,"Yeni Satış")+SUMIFS(C102:C111,A102:A111,"Enroute",B102:B111,"Yeni Satış")+SUMIFS(C117:C126,A117:A126,"Enroute",B117:B126,"Yeni Satış")+SUMIFS(C132:C133,A132:A133,"Enroute",B132:B133,"Yeni Satış")</f>
        <v>7486.9500000000007</v>
      </c>
      <c r="D139" s="295">
        <f>SUMIFS(D5:D13,A5:A13,"Enroute",B5:B13,"Yeni Satış")+SUMIFS(D19:D28,A19:A28,"Enroute",B19:B28,"Yeni Satış")+SUMIFS(D34:D45,A34:A45,"Enroute",B34:B45,"Yeni Satış")+SUMIFS(D51:D59,A51:A59,"Enroute",B51:B59,"Yeni Satış")+SUMIFS(D65:D74,A65:A74,"Enroute",B65:B74,"Yeni Satış")+SUMIFS(D80:D89,A80:A89,"Enroute",B80:B89,"Yeni Satış")+SUMIFS(D102:D111,A102:A111,"Enroute",B102:B111,"Yeni Satış")+SUMIFS(D117:D126,A117:A126,"Enroute",B117:B126,"Yeni Satış")+SUMIFS(D132:D133,A132:A133,"Enroute",B132:B133,"Yeni Satış")</f>
        <v>7486.9500000000007</v>
      </c>
      <c r="E139" s="295">
        <f>SUMIFS(E5:E13,A5:A13,"Enroute",B5:B13,"Yeni Satış")+SUMIFS(E19:E28,A19:A28,"Enroute",B19:B28,"Yeni Satış")+SUMIFS(E34:E45,A34:A45,"Enroute",B34:B45,"Yeni Satış")+SUMIFS(E51:E59,A51:A59,"Enroute",B51:B59,"Yeni Satış")+SUMIFS(E65:E74,A65:A74,"Enroute",B65:B74,"Yeni Satış")+SUMIFS(E80:E89,A80:A89,"Enroute",B80:B89,"Yeni Satış")+SUMIFS(E102:E111,A102:A111,"Enroute",B102:B111,"Yeni Satış")+SUMIFS(E117:E126,A117:A126,"Enroute",B117:B126,"Yeni Satış")+SUMIFS(E132:E133,A132:A133,"Enroute",B132:B133,"Yeni Satış")</f>
        <v>8537.75</v>
      </c>
      <c r="F139" s="295">
        <f>SUMIFS(F5:F13,A5:A13,"Enroute",B5:B13,"Yeni Satış")+SUMIFS(F19:F28,A19:A28,"Enroute",B19:B28,"Yeni Satış")+SUMIFS(F34:F45,A34:A45,"Enroute",B34:B45,"Yeni Satış")+SUMIFS(F51:F59,A51:A59,"Enroute",B51:B59,"Yeni Satış")+SUMIFS(F65:F74,A65:A74,"Enroute",B65:B74,"Yeni Satış")+SUMIFS(F80:F89,A80:A89,"Enroute",B80:B89,"Yeni Satış")+SUMIFS(F102:F111,A102:A111,"Enroute",B102:B111,"Yeni Satış")+SUMIFS(F117:F126,A117:A126,"Enroute",B117:B126,"Yeni Satış")+SUMIFS(F132:F133,A132:A133,"Enroute",B132:B133,"Yeni Satış")</f>
        <v>8340.7250000000004</v>
      </c>
      <c r="G139" s="295">
        <f>SUMIFS(G5:G13,A5:A13,"Enroute",B5:B13,"Yeni Satış")+SUMIFS(G19:G28,A19:A28,"Enroute",B19:B28,"Yeni Satış")+SUMIFS(G34:G45,A34:A45,"Enroute",B34:B45,"Yeni Satış")+SUMIFS(G51:G59,A51:A59,"Enroute",B51:B59,"Yeni Satış")+SUMIFS(G65:G74,A65:A74,"Enroute",B65:B74,"Yeni Satış")+SUMIFS(G80:G89,A80:A89,"Enroute",B80:B89,"Yeni Satış")+SUMIFS(G102:G111,A102:A111,"Enroute",B102:B111,"Yeni Satış")+SUMIFS(G117:G126,A117:A126,"Enroute",B117:B126,"Yeni Satış")+SUMIFS(G132:G133,A132:A133,"Enroute",B132:B133,"Yeni Satış")</f>
        <v>8340.7250000000004</v>
      </c>
      <c r="H139" s="295">
        <f>SUMIFS(H5:H13,A5:A13,"Enroute",B5:B13,"Yeni Satış")+SUMIFS(H19:H28,A19:A28,"Enroute",B19:B28,"Yeni Satış")+SUMIFS(H34:H45,A34:A45,"Enroute",B34:B45,"Yeni Satış")+SUMIFS(H51:H59,A51:A59,"Enroute",B51:B59,"Yeni Satış")+SUMIFS(H65:H74,A65:A74,"Enroute",B65:B74,"Yeni Satış")+SUMIFS(H80:H89,A80:A89,"Enroute",B80:B89,"Yeni Satış")+SUMIFS(H102:H111,A102:A111,"Enroute",B102:B111,"Yeni Satış")+SUMIFS(H117:H126,A117:A126,"Enroute",B117:B126,"Yeni Satış")+SUMIFS(H132:H133,A132:A133,"Enroute",B132:B133,"Yeni Satış")</f>
        <v>9457.1999999999971</v>
      </c>
      <c r="I139" s="295">
        <f>SUMIFS(I5:I13,A5:A13,"Enroute",B5:B13,"Yeni Satış")+SUMIFS(I19:I28,A19:A28,"Enroute",B19:B28,"Yeni Satış")+SUMIFS(I34:I45,A34:A45,"Enroute",B34:B45,"Yeni Satış")+SUMIFS(I51:I59,A51:A59,"Enroute",B51:B59,"Yeni Satış")+SUMIFS(I65:I74,A65:A74,"Enroute",B65:B74,"Yeni Satış")+SUMIFS(I80:I89,A80:A89,"Enroute",B80:B89,"Yeni Satış")+SUMIFS(I102:I111,A102:A111,"Enroute",B102:B111,"Yeni Satış")+SUMIFS(I117:I126,A117:A126,"Enroute",B117:B126,"Yeni Satış")+SUMIFS(I132:I133,A132:A133,"Enroute",B132:B133,"Yeni Satış")</f>
        <v>7881</v>
      </c>
      <c r="J139" s="295">
        <f>SUMIFS(J5:J13,A5:A13,"Enroute",B5:B13,"Yeni Satış")+SUMIFS(J19:J28,A19:A28,"Enroute",B19:B28,"Yeni Satış")+SUMIFS(J34:J45,A34:A45,"Enroute",B34:B45,"Yeni Satış")+SUMIFS(J51:J59,A51:A59,"Enroute",B51:B59,"Yeni Satış")+SUMIFS(J65:J74,A65:A74,"Enroute",B65:B74,"Yeni Satış")+SUMIFS(J80:J89,A80:A89,"Enroute",B80:B89,"Yeni Satış")+SUMIFS(J102:J111,A102:A111,"Enroute",B102:B111,"Yeni Satış")+SUMIFS(J117:J126,A117:A126,"Enroute",B117:B126,"Yeni Satış")+SUMIFS(J132:J133,A132:A133,"Enroute",B132:B133,"Yeni Satış")</f>
        <v>7946.6750000000002</v>
      </c>
      <c r="K139" s="295">
        <f>SUMIFS(K5:K13,A5:A13,"Enroute",B5:B13,"Yeni Satış")+SUMIFS(K19:K28,A19:A28,"Enroute",B19:B28,"Yeni Satış")+SUMIFS(K34:K45,A34:A45,"Enroute",B34:B45,"Yeni Satış")+SUMIFS(K51:K59,A51:A59,"Enroute",B51:B59,"Yeni Satış")+SUMIFS(K65:K74,A65:A74,"Enroute",B65:B74,"Yeni Satış")+SUMIFS(K80:K89,A80:A89,"Enroute",B80:B89,"Yeni Satış")+SUMIFS(K102:K111,A102:A111,"Enroute",B102:B111,"Yeni Satış")+SUMIFS(K117:K126,A117:A126,"Enroute",B117:B126,"Yeni Satış")+SUMIFS(K132:K133,A132:A133,"Enroute",B132:B133,"Yeni Satış")</f>
        <v>8406.4</v>
      </c>
      <c r="L139" s="295">
        <f>SUMIFS(L5:L13,A5:A13,"Enroute",B5:B13,"Yeni Satış")+SUMIFS(L19:L28,A19:A28,"Enroute",B19:B28,"Yeni Satış")+SUMIFS(L34:L45,A34:A45,"Enroute",B34:B45,"Yeni Satış")+SUMIFS(L51:L59,A51:A59,"Enroute",B51:B59,"Yeni Satış")+SUMIFS(L65:L74,A65:A74,"Enroute",B65:B74,"Yeni Satış")+SUMIFS(L80:L89,A80:A89,"Enroute",B80:B89,"Yeni Satış")+SUMIFS(L102:L111,A102:A111,"Enroute",B102:B111,"Yeni Satış")+SUMIFS(L117:L126,A117:A126,"Enroute",B117:B126,"Yeni Satış")+SUMIFS(L132:L133,A132:A133,"Enroute",B132:B133,"Yeni Satış")</f>
        <v>9851.2499999999982</v>
      </c>
      <c r="M139" s="295">
        <f>SUMIFS(M5:M13,A5:A13,"Enroute",B5:B13,"Yeni Satış")+SUMIFS(M19:M28,A19:A28,"Enroute",B19:B28,"Yeni Satış")+SUMIFS(M34:M45,A34:A45,"Enroute",B34:B45,"Yeni Satış")+SUMIFS(M51:M59,A51:A59,"Enroute",B51:B59,"Yeni Satış")+SUMIFS(M65:M74,A65:A74,"Enroute",B65:B74,"Yeni Satış")+SUMIFS(M80:M89,A80:A89,"Enroute",B80:B89,"Yeni Satış")+SUMIFS(M102:M111,A102:A111,"Enroute",B102:B111,"Yeni Satış")+SUMIFS(M117:M126,A117:A126,"Enroute",B117:B126,"Yeni Satış")+SUMIFS(M132:M133,A132:A133,"Enroute",B132:B133,"Yeni Satış")</f>
        <v>9982.5999999999985</v>
      </c>
      <c r="N139" s="295">
        <f>SUMIFS(N5:N13,A5:A13,"Enroute",B5:B13,"Yeni Satış")+SUMIFS(N19:N28,A19:A28,"Enroute",B19:B28,"Yeni Satış")+SUMIFS(N34:N45,A34:A45,"Enroute",B34:B45,"Yeni Satış")+SUMIFS(N51:N59,A51:A59,"Enroute",B51:B59,"Yeni Satış")+SUMIFS(N65:N74,A65:A74,"Enroute",B65:B74,"Yeni Satış")+SUMIFS(N80:N89,A80:A89,"Enroute",B80:B89,"Yeni Satış")+SUMIFS(N102:N111,A102:A111,"Enroute",B102:B111,"Yeni Satış")+SUMIFS(N117:N126,A117:A126,"Enroute",B117:B126,"Yeni Satış")+SUMIFS(N132:N133,A132:A133,"Enroute",B132:B133,"Yeni Satış")</f>
        <v>11361.775</v>
      </c>
      <c r="O139" s="299">
        <f t="shared" ref="O139:O153" si="176">SUM(C139:N139)</f>
        <v>105080</v>
      </c>
      <c r="Q139" s="277" t="str">
        <f t="shared" si="175"/>
        <v>Enroute</v>
      </c>
      <c r="R139" s="278" t="str">
        <f t="shared" ref="R139:R156" si="177">B139</f>
        <v>Yeni Satış</v>
      </c>
      <c r="S139" s="279">
        <f t="shared" ref="S139:S153" si="178">SUM(C139:E139)</f>
        <v>23511.65</v>
      </c>
      <c r="T139" s="279">
        <f t="shared" ref="T139:T153" si="179">SUM(F139:H139)</f>
        <v>26138.649999999998</v>
      </c>
      <c r="U139" s="279">
        <f t="shared" ref="U139:U153" si="180">SUM(I139:K139)</f>
        <v>24234.074999999997</v>
      </c>
      <c r="V139" s="279">
        <f t="shared" ref="V139:V153" si="181">SUM(L139:N139)</f>
        <v>31195.625</v>
      </c>
      <c r="W139" s="279">
        <f t="shared" ref="W139:W155" si="182">SUM(S139:V139)</f>
        <v>105080</v>
      </c>
    </row>
    <row r="140" spans="1:23" ht="16" hidden="1" customHeight="1" outlineLevel="1" x14ac:dyDescent="0.2">
      <c r="A140" s="293" t="s">
        <v>25</v>
      </c>
      <c r="B140" s="294" t="s">
        <v>28</v>
      </c>
      <c r="C140" s="295">
        <f>SUMIFS(C5:C13,A5:A13,"Enroute",B5:B13,"Yenileme")+SUMIFS(C19:C28,A19:A28,"Enroute",B19:B28,"Yenileme")+SUMIFS(C34:C45,A34:A45,"Enroute",B34:B45,"Yenileme")+SUMIFS(C51:C59,A51:A59,"Enroute",B51:B59,"Yenileme")+SUMIFS(C65:C74,A65:A74,"Enroute",B65:B74,"Yenileme")+SUMIFS(C80:C89,A80:A89,"Enroute",B80:B89,"Yenileme")+SUMIFS(C102:C111,A102:A111,"Enroute",B102:B111,"Yenileme")+SUMIFS(C117:C126,A117:A126,"Enroute",B117:B126,"Yenileme")+SUMIFS(C132:C133,A132:A133,"Enroute",B132:B133,"Yenileme")</f>
        <v>12673.397869500002</v>
      </c>
      <c r="D140" s="295">
        <f>SUMIFS(D5:D13,A5:A13,"Enroute",B5:B13,"Yenileme")+SUMIFS(D19:D28,A19:A28,"Enroute",B19:B28,"Yenileme")+SUMIFS(D34:D45,A34:A45,"Enroute",B34:B45,"Yenileme")+SUMIFS(D51:D59,A51:A59,"Enroute",B51:B59,"Yenileme")+SUMIFS(D65:D74,A65:A74,"Enroute",B65:B74,"Yenileme")+SUMIFS(D80:D89,A80:A89,"Enroute",B80:B89,"Yenileme")+SUMIFS(D102:D111,A102:A111,"Enroute",B102:B111,"Yenileme")+SUMIFS(D117:D126,A117:A126,"Enroute",B117:B126,"Yenileme")+SUMIFS(D132:D133,A132:A133,"Enroute",B132:B133,"Yenileme")</f>
        <v>12673.397869500002</v>
      </c>
      <c r="E140" s="295">
        <f>SUMIFS(E5:E13,A5:A13,"Enroute",B5:B13,"Yenileme")+SUMIFS(E19:E28,A19:A28,"Enroute",B19:B28,"Yenileme")+SUMIFS(E34:E45,A34:A45,"Enroute",B34:B45,"Yenileme")+SUMIFS(E51:E59,A51:A59,"Enroute",B51:B59,"Yenileme")+SUMIFS(E65:E74,A65:A74,"Enroute",B65:B74,"Yenileme")+SUMIFS(E80:E89,A80:A89,"Enroute",B80:B89,"Yenileme")+SUMIFS(E102:E111,A102:A111,"Enroute",B102:B111,"Yenileme")+SUMIFS(E117:E126,A117:A126,"Enroute",B117:B126,"Yenileme")+SUMIFS(E132:E133,A132:A133,"Enroute",B132:B133,"Yenileme")</f>
        <v>14452.120377500001</v>
      </c>
      <c r="F140" s="295">
        <f>SUMIFS(F5:F13,A5:A13,"Enroute",B5:B13,"Yenileme")+SUMIFS(F19:F28,A19:A28,"Enroute",B19:B28,"Yenileme")+SUMIFS(F34:F45,A34:A45,"Enroute",B34:B45,"Yenileme")+SUMIFS(F51:F59,A51:A59,"Enroute",B51:B59,"Yenileme")+SUMIFS(F65:F74,A65:A74,"Enroute",B65:B74,"Yenileme")+SUMIFS(F80:F89,A80:A89,"Enroute",B80:B89,"Yenileme")+SUMIFS(F102:F111,A102:A111,"Enroute",B102:B111,"Yenileme")+SUMIFS(F117:F126,A117:A126,"Enroute",B117:B126,"Yenileme")+SUMIFS(F132:F133,A132:A133,"Enroute",B132:B133,"Yenileme")</f>
        <v>14118.60990725</v>
      </c>
      <c r="G140" s="295">
        <f>SUMIFS(G5:G13,A5:A13,"Enroute",B5:B13,"Yenileme")+SUMIFS(G19:G28,A19:A28,"Enroute",B19:B28,"Yenileme")+SUMIFS(G34:G45,A34:A45,"Enroute",B34:B45,"Yenileme")+SUMIFS(G51:G59,A51:A59,"Enroute",B51:B59,"Yenileme")+SUMIFS(G65:G74,A65:A74,"Enroute",B65:B74,"Yenileme")+SUMIFS(G80:G89,A80:A89,"Enroute",B80:B89,"Yenileme")+SUMIFS(G102:G111,A102:A111,"Enroute",B102:B111,"Yenileme")+SUMIFS(G117:G126,A117:A126,"Enroute",B117:B126,"Yenileme")+SUMIFS(G132:G133,A132:A133,"Enroute",B132:B133,"Yenileme")</f>
        <v>14118.60990725</v>
      </c>
      <c r="H140" s="295">
        <f>SUMIFS(H5:H13,A5:A13,"Enroute",B5:B13,"Yenileme")+SUMIFS(H19:H28,A19:A28,"Enroute",B19:B28,"Yenileme")+SUMIFS(H34:H45,A34:A45,"Enroute",B34:B45,"Yenileme")+SUMIFS(H51:H59,A51:A59,"Enroute",B51:B59,"Yenileme")+SUMIFS(H65:H74,A65:A74,"Enroute",B65:B74,"Yenileme")+SUMIFS(H80:H89,A80:A89,"Enroute",B80:B89,"Yenileme")+SUMIFS(H102:H111,A102:A111,"Enroute",B102:B111,"Yenileme")+SUMIFS(H117:H126,A117:A126,"Enroute",B117:B126,"Yenileme")+SUMIFS(H132:H133,A132:A133,"Enroute",B132:B133,"Yenileme")</f>
        <v>16008.502571999999</v>
      </c>
      <c r="I140" s="295">
        <f>SUMIFS(I5:I13,A5:A13,"Enroute",B5:B13,"Yenileme")+SUMIFS(I19:I28,A19:A28,"Enroute",B19:B28,"Yenileme")+SUMIFS(I34:I45,A34:A45,"Enroute",B34:B45,"Yenileme")+SUMIFS(I51:I59,A51:A59,"Enroute",B51:B59,"Yenileme")+SUMIFS(I65:I74,A65:A74,"Enroute",B65:B74,"Yenileme")+SUMIFS(I80:I89,A80:A89,"Enroute",B80:B89,"Yenileme")+SUMIFS(I102:I111,A102:A111,"Enroute",B102:B111,"Yenileme")+SUMIFS(I117:I126,A117:A126,"Enroute",B117:B126,"Yenileme")+SUMIFS(I132:I133,A132:A133,"Enroute",B132:B133,"Yenileme")</f>
        <v>13340.418810000001</v>
      </c>
      <c r="J140" s="295">
        <f>SUMIFS(J5:J13,A5:A13,"Enroute",B5:B13,"Yenileme")+SUMIFS(J19:J28,A19:A28,"Enroute",B19:B28,"Yenileme")+SUMIFS(J34:J45,A34:A45,"Enroute",B34:B45,"Yenileme")+SUMIFS(J51:J59,A51:A59,"Enroute",B51:B59,"Yenileme")+SUMIFS(J65:J74,A65:A74,"Enroute",B65:B74,"Yenileme")+SUMIFS(J80:J89,A80:A89,"Enroute",B80:B89,"Yenileme")+SUMIFS(J102:J111,A102:A111,"Enroute",B102:B111,"Yenileme")+SUMIFS(J117:J126,A117:A126,"Enroute",B117:B126,"Yenileme")+SUMIFS(J132:J133,A132:A133,"Enroute",B132:B133,"Yenileme")</f>
        <v>13451.58896675</v>
      </c>
      <c r="K140" s="295">
        <f>SUMIFS(K5:K13,A5:A13,"Enroute",B5:B13,"Yenileme")+SUMIFS(K19:K28,A19:A28,"Enroute",B19:B28,"Yenileme")+SUMIFS(K34:K45,A34:A45,"Enroute",B34:B45,"Yenileme")+SUMIFS(K51:K59,A51:A59,"Enroute",B51:B59,"Yenileme")+SUMIFS(K65:K74,A65:A74,"Enroute",B65:B74,"Yenileme")+SUMIFS(K80:K89,A80:A89,"Enroute",B80:B89,"Yenileme")+SUMIFS(K102:K111,A102:A111,"Enroute",B102:B111,"Yenileme")+SUMIFS(K117:K126,A117:A126,"Enroute",B117:B126,"Yenileme")+SUMIFS(K132:K133,A132:A133,"Enroute",B132:B133,"Yenileme")</f>
        <v>14229.780063999999</v>
      </c>
      <c r="L140" s="295">
        <f>SUMIFS(L5:L13,A5:A13,"Enroute",B5:B13,"Yenileme")+SUMIFS(L19:L28,A19:A28,"Enroute",B19:B28,"Yenileme")+SUMIFS(L34:L45,A34:A45,"Enroute",B34:B45,"Yenileme")+SUMIFS(L51:L59,A51:A59,"Enroute",B51:B59,"Yenileme")+SUMIFS(L65:L74,A65:A74,"Enroute",B65:B74,"Yenileme")+SUMIFS(L80:L89,A80:A89,"Enroute",B80:B89,"Yenileme")+SUMIFS(L102:L111,A102:A111,"Enroute",B102:B111,"Yenileme")+SUMIFS(L117:L126,A117:A126,"Enroute",B117:B126,"Yenileme")+SUMIFS(L132:L133,A132:A133,"Enroute",B132:B133,"Yenileme")</f>
        <v>16675.5235125</v>
      </c>
      <c r="M140" s="295">
        <f>SUMIFS(M5:M13,A5:A13,"Enroute",B5:B13,"Yenileme")+SUMIFS(M19:M28,A19:A28,"Enroute",B19:B28,"Yenileme")+SUMIFS(M34:M45,A34:A45,"Enroute",B34:B45,"Yenileme")+SUMIFS(M51:M59,A51:A59,"Enroute",B51:B59,"Yenileme")+SUMIFS(M65:M74,A65:A74,"Enroute",B65:B74,"Yenileme")+SUMIFS(M80:M89,A80:A89,"Enroute",B80:B89,"Yenileme")+SUMIFS(M102:M111,A102:A111,"Enroute",B102:B111,"Yenileme")+SUMIFS(M117:M126,A117:A126,"Enroute",B117:B126,"Yenileme")+SUMIFS(M132:M133,A132:A133,"Enroute",B132:B133,"Yenileme")</f>
        <v>16897.863826000001</v>
      </c>
      <c r="N140" s="295">
        <f>SUMIFS(N5:N13,A5:A13,"Enroute",B5:B13,"Yenileme")+SUMIFS(N19:N28,A19:A28,"Enroute",B19:B28,"Yenileme")+SUMIFS(N34:N45,A34:A45,"Enroute",B34:B45,"Yenileme")+SUMIFS(N51:N59,A51:A59,"Enroute",B51:B59,"Yenileme")+SUMIFS(N65:N74,A65:A74,"Enroute",B65:B74,"Yenileme")+SUMIFS(N80:N89,A80:A89,"Enroute",B80:B89,"Yenileme")+SUMIFS(N102:N111,A102:A111,"Enroute",B102:B111,"Yenileme")+SUMIFS(N117:N126,A117:A126,"Enroute",B117:B126,"Yenileme")+SUMIFS(N132:N133,A132:A133,"Enroute",B132:B133,"Yenileme")</f>
        <v>19232.43711775</v>
      </c>
      <c r="O140" s="299">
        <f t="shared" si="176"/>
        <v>177872.25079999998</v>
      </c>
      <c r="Q140" s="277" t="str">
        <f t="shared" si="175"/>
        <v>Enroute</v>
      </c>
      <c r="R140" s="278" t="str">
        <f t="shared" si="177"/>
        <v>Yenileme</v>
      </c>
      <c r="S140" s="279">
        <f t="shared" si="178"/>
        <v>39798.916116500004</v>
      </c>
      <c r="T140" s="279">
        <f t="shared" si="179"/>
        <v>44245.722386499998</v>
      </c>
      <c r="U140" s="279">
        <f t="shared" si="180"/>
        <v>41021.787840749996</v>
      </c>
      <c r="V140" s="279">
        <f t="shared" si="181"/>
        <v>52805.824456250004</v>
      </c>
      <c r="W140" s="279">
        <f t="shared" si="182"/>
        <v>177872.25079999998</v>
      </c>
    </row>
    <row r="141" spans="1:23" ht="16" hidden="1" customHeight="1" outlineLevel="1" x14ac:dyDescent="0.2">
      <c r="A141" s="293" t="s">
        <v>29</v>
      </c>
      <c r="B141" s="294" t="s">
        <v>26</v>
      </c>
      <c r="C141" s="295">
        <f>SUMIFS(C5:C13,A5:A13,"Stokbar",B5:B13,"Yeni Satış")+SUMIFS(C19:C28,A19:A28,"Stokbar",B19:B28,"Yeni Satış")+SUMIFS(C34:C45,A34:A45,"Stokbar",B34:B45,"Yeni Satış")+SUMIFS(C51:C59,A51:A59,"Stokbar",B51:B59,"Yeni Satış")+SUMIFS(C65:C74,A65:A74,"Stokbar",B65:B74,"Yeni Satış")+SUMIFS(C80:C89,A80:A89,"Stokbar",B80:B89,"Yeni Satış")+SUMIFS(C102:C111,A102:A111,"Stokbar",B102:B111,"Yeni Satış")+SUMIFS(C117:C126,A117:A126,"Stokbar",B117:B126,"Yeni Satış")+SUMIFS(C132:C133,A132:A133,"Stokbar",B132:B133,"Yeni Satış")</f>
        <v>2939.6383140000003</v>
      </c>
      <c r="D141" s="295">
        <f>SUMIFS(D5:D13,A5:A13,"Stokbar",B5:B13,"Yeni Satış")+SUMIFS(D19:D28,A19:A28,"Stokbar",B19:B28,"Yeni Satış")+SUMIFS(D34:D45,A34:A45,"Stokbar",B34:B45,"Yeni Satış")+SUMIFS(D51:D59,A51:A59,"Stokbar",B51:B59,"Yeni Satış")+SUMIFS(D65:D74,A65:A74,"Stokbar",B65:B74,"Yeni Satış")+SUMIFS(D80:D89,A80:A89,"Stokbar",B80:B89,"Yeni Satış")+SUMIFS(D102:D111,A102:A111,"Stokbar",B102:B111,"Yeni Satış")+SUMIFS(D117:D126,A117:A126,"Stokbar",B117:B126,"Yeni Satış")+SUMIFS(D132:D133,A132:A133,"Stokbar",B132:B133,"Yeni Satış")</f>
        <v>2939.6383140000003</v>
      </c>
      <c r="E141" s="295">
        <f>SUMIFS(E5:E13,A5:A13,"Stokbar",B5:B13,"Yeni Satış")+SUMIFS(E19:E28,A19:A28,"Stokbar",B19:B28,"Yeni Satış")+SUMIFS(E34:E45,A34:A45,"Stokbar",B34:B45,"Yeni Satış")+SUMIFS(E51:E59,A51:A59,"Stokbar",B51:B59,"Yeni Satış")+SUMIFS(E65:E74,A65:A74,"Stokbar",B65:B74,"Yeni Satış")+SUMIFS(E80:E89,A80:A89,"Stokbar",B80:B89,"Yeni Satış")+SUMIFS(E102:E111,A102:A111,"Stokbar",B102:B111,"Yeni Satış")+SUMIFS(E117:E126,A117:A126,"Stokbar",B117:B126,"Yeni Satış")+SUMIFS(E132:E133,A132:A133,"Stokbar",B132:B133,"Yeni Satış")</f>
        <v>3352.21913</v>
      </c>
      <c r="F141" s="295">
        <f>SUMIFS(F5:F13,A5:A13,"Stokbar",B5:B13,"Yeni Satış")+SUMIFS(F19:F28,A19:A28,"Stokbar",B19:B28,"Yeni Satış")+SUMIFS(F34:F45,A34:A45,"Stokbar",B34:B45,"Yeni Satış")+SUMIFS(F51:F59,A51:A59,"Stokbar",B51:B59,"Yeni Satış")+SUMIFS(F65:F74,A65:A74,"Stokbar",B65:B74,"Yeni Satış")+SUMIFS(F80:F89,A80:A89,"Stokbar",B80:B89,"Yeni Satış")+SUMIFS(F102:F111,A102:A111,"Stokbar",B102:B111,"Yeni Satış")+SUMIFS(F117:F126,A117:A126,"Stokbar",B117:B126,"Yeni Satış")+SUMIFS(F132:F133,A132:A133,"Stokbar",B132:B133,"Yeni Satış")</f>
        <v>3274.8602270000001</v>
      </c>
      <c r="G141" s="295">
        <f>SUMIFS(G5:G13,A5:A13,"Stokbar",B5:B13,"Yeni Satış")+SUMIFS(G19:G28,A19:A28,"Stokbar",B19:B28,"Yeni Satış")+SUMIFS(G34:G45,A34:A45,"Stokbar",B34:B45,"Yeni Satış")+SUMIFS(G51:G59,A51:A59,"Stokbar",B51:B59,"Yeni Satış")+SUMIFS(G65:G74,A65:A74,"Stokbar",B65:B74,"Yeni Satış")+SUMIFS(G80:G89,A80:A89,"Stokbar",B80:B89,"Yeni Satış")+SUMIFS(G102:G111,A102:A111,"Stokbar",B102:B111,"Yeni Satış")+SUMIFS(G117:G126,A117:A126,"Stokbar",B117:B126,"Yeni Satış")+SUMIFS(G132:G133,A132:A133,"Stokbar",B132:B133,"Yeni Satış")</f>
        <v>3274.8602270000001</v>
      </c>
      <c r="H141" s="295">
        <f>SUMIFS(H5:H13,A5:A13,"Stokbar",B5:B13,"Yeni Satış")+SUMIFS(H19:H28,A19:A28,"Stokbar",B19:B28,"Yeni Satış")+SUMIFS(H34:H45,A34:A45,"Stokbar",B34:B45,"Yeni Satış")+SUMIFS(H51:H59,A51:A59,"Stokbar",B51:B59,"Yeni Satış")+SUMIFS(H65:H74,A65:A74,"Stokbar",B65:B74,"Yeni Satış")+SUMIFS(H80:H89,A80:A89,"Stokbar",B80:B89,"Yeni Satış")+SUMIFS(H102:H111,A102:A111,"Stokbar",B102:B111,"Yeni Satış")+SUMIFS(H117:H126,A117:A126,"Stokbar",B117:B126,"Yeni Satış")+SUMIFS(H132:H133,A132:A133,"Stokbar",B132:B133,"Yeni Satış")</f>
        <v>3713.2273439999994</v>
      </c>
      <c r="I141" s="295">
        <f>SUMIFS(I5:I13,A5:A13,"Stokbar",B5:B13,"Yeni Satış")+SUMIFS(I19:I28,A19:A28,"Stokbar",B19:B28,"Yeni Satış")+SUMIFS(I34:I45,A34:A45,"Stokbar",B34:B45,"Yeni Satış")+SUMIFS(I51:I59,A51:A59,"Stokbar",B51:B59,"Yeni Satış")+SUMIFS(I65:I74,A65:A74,"Stokbar",B65:B74,"Yeni Satış")+SUMIFS(I80:I89,A80:A89,"Stokbar",B80:B89,"Yeni Satış")+SUMIFS(I102:I111,A102:A111,"Stokbar",B102:B111,"Yeni Satış")+SUMIFS(I117:I126,A117:A126,"Stokbar",B117:B126,"Yeni Satış")+SUMIFS(I132:I133,A132:A133,"Stokbar",B132:B133,"Yeni Satış")</f>
        <v>3094.3561199999999</v>
      </c>
      <c r="J141" s="295">
        <f>SUMIFS(J5:J13,A5:A13,"Stokbar",B5:B13,"Yeni Satış")+SUMIFS(J19:J28,A19:A28,"Stokbar",B19:B28,"Yeni Satış")+SUMIFS(J34:J45,A34:A45,"Stokbar",B34:B45,"Yeni Satış")+SUMIFS(J51:J59,A51:A59,"Stokbar",B51:B59,"Yeni Satış")+SUMIFS(J65:J74,A65:A74,"Stokbar",B65:B74,"Yeni Satış")+SUMIFS(J80:J89,A80:A89,"Stokbar",B80:B89,"Yeni Satış")+SUMIFS(J102:J111,A102:A111,"Stokbar",B102:B111,"Yeni Satış")+SUMIFS(J117:J126,A117:A126,"Stokbar",B117:B126,"Yeni Satış")+SUMIFS(J132:J133,A132:A133,"Stokbar",B132:B133,"Yeni Satış")</f>
        <v>3120.142421</v>
      </c>
      <c r="K141" s="295">
        <f>SUMIFS(K5:K13,A5:A13,"Stokbar",B5:B13,"Yeni Satış")+SUMIFS(K19:K28,A19:A28,"Stokbar",B19:B28,"Yeni Satış")+SUMIFS(K34:K45,A34:A45,"Stokbar",B34:B45,"Yeni Satış")+SUMIFS(K51:K59,A51:A59,"Stokbar",B51:B59,"Yeni Satış")+SUMIFS(K65:K74,A65:A74,"Stokbar",B65:B74,"Yeni Satış")+SUMIFS(K80:K89,A80:A89,"Stokbar",B80:B89,"Yeni Satış")+SUMIFS(K102:K111,A102:A111,"Stokbar",B102:B111,"Yeni Satış")+SUMIFS(K117:K126,A117:A126,"Stokbar",B117:B126,"Yeni Satış")+SUMIFS(K132:K133,A132:A133,"Stokbar",B132:B133,"Yeni Satış")</f>
        <v>3300.6465279999998</v>
      </c>
      <c r="L141" s="295">
        <f>SUMIFS(L5:L13,A5:A13,"Stokbar",B5:B13,"Yeni Satış")+SUMIFS(L19:L28,A19:A28,"Stokbar",B19:B28,"Yeni Satış")+SUMIFS(L34:L45,A34:A45,"Stokbar",B34:B45,"Yeni Satış")+SUMIFS(L51:L59,A51:A59,"Stokbar",B51:B59,"Yeni Satış")+SUMIFS(L65:L74,A65:A74,"Stokbar",B65:B74,"Yeni Satış")+SUMIFS(L80:L89,A80:A89,"Stokbar",B80:B89,"Yeni Satış")+SUMIFS(L102:L111,A102:A111,"Stokbar",B102:B111,"Yeni Satış")+SUMIFS(L117:L126,A117:A126,"Stokbar",B117:B126,"Yeni Satış")+SUMIFS(L132:L133,A132:A133,"Stokbar",B132:B133,"Yeni Satış")</f>
        <v>3867.9451499999996</v>
      </c>
      <c r="M141" s="295">
        <f>SUMIFS(M5:M13,A5:A13,"Stokbar",B5:B13,"Yeni Satış")+SUMIFS(M19:M28,A19:A28,"Stokbar",B19:B28,"Yeni Satış")+SUMIFS(M34:M45,A34:A45,"Stokbar",B34:B45,"Yeni Satış")+SUMIFS(M51:M59,A51:A59,"Stokbar",B51:B59,"Yeni Satış")+SUMIFS(M65:M74,A65:A74,"Stokbar",B65:B74,"Yeni Satış")+SUMIFS(M80:M89,A80:A89,"Stokbar",B80:B89,"Yeni Satış")+SUMIFS(M102:M111,A102:A111,"Stokbar",B102:B111,"Yeni Satış")+SUMIFS(M117:M126,A117:A126,"Stokbar",B117:B126,"Yeni Satış")+SUMIFS(M132:M133,A132:A133,"Stokbar",B132:B133,"Yeni Satış")</f>
        <v>3919.5177519999997</v>
      </c>
      <c r="N141" s="295">
        <f>SUMIFS(N5:N13,A5:A13,"Stokbar",B5:B13,"Yeni Satış")+SUMIFS(N19:N28,A19:A28,"Stokbar",B19:B28,"Yeni Satış")+SUMIFS(N34:N45,A34:A45,"Stokbar",B34:B45,"Yeni Satış")+SUMIFS(N51:N59,A51:A59,"Stokbar",B51:B59,"Yeni Satış")+SUMIFS(N65:N74,A65:A74,"Stokbar",B65:B74,"Yeni Satış")+SUMIFS(N80:N89,A80:A89,"Stokbar",B80:B89,"Yeni Satış")+SUMIFS(N102:N111,A102:A111,"Stokbar",B102:B111,"Yeni Satış")+SUMIFS(N117:N126,A117:A126,"Stokbar",B117:B126,"Yeni Satış")+SUMIFS(N132:N133,A132:A133,"Stokbar",B132:B133,"Yeni Satış")</f>
        <v>4461.0300729999999</v>
      </c>
      <c r="O141" s="299">
        <f t="shared" si="176"/>
        <v>41258.081600000005</v>
      </c>
      <c r="Q141" s="277" t="str">
        <f t="shared" si="175"/>
        <v>Stokbar</v>
      </c>
      <c r="R141" s="278" t="str">
        <f t="shared" si="177"/>
        <v>Yeni Satış</v>
      </c>
      <c r="S141" s="279">
        <f t="shared" si="178"/>
        <v>9231.4957580000009</v>
      </c>
      <c r="T141" s="279">
        <f t="shared" si="179"/>
        <v>10262.947797999999</v>
      </c>
      <c r="U141" s="279">
        <f t="shared" si="180"/>
        <v>9515.1450690000001</v>
      </c>
      <c r="V141" s="279">
        <f t="shared" si="181"/>
        <v>12248.492974999999</v>
      </c>
      <c r="W141" s="279">
        <f t="shared" si="182"/>
        <v>41258.081599999998</v>
      </c>
    </row>
    <row r="142" spans="1:23" ht="16" hidden="1" customHeight="1" outlineLevel="1" x14ac:dyDescent="0.2">
      <c r="A142" s="293" t="s">
        <v>29</v>
      </c>
      <c r="B142" s="294" t="s">
        <v>28</v>
      </c>
      <c r="C142" s="295">
        <f>SUMIFS(C5:C13,A5:A13,"Stokbar",B5:B13,"Yenileme")+SUMIFS(C19:C28,A19:A28,"Stokbar",B19:B28,"Yenileme")+SUMIFS(C34:C45,A34:A45,"Stokbar",B34:B45,"Yenileme")+SUMIFS(C51:C59,A51:A59,"Stokbar",B51:B59,"Yenileme")+SUMIFS(C65:C74,A65:A74,"Stokbar",B65:B74,"Yenileme")+SUMIFS(C80:C89,A80:A89,"Stokbar",B80:B89,"Yenileme")+SUMIFS(C102:C111,A102:A111,"Stokbar",B102:B111,"Yenileme")+SUMIFS(C117:C126,A117:A126,"Stokbar",B117:B126,"Yenileme")+SUMIFS(C132:C133,A132:A133,"Stokbar",B132:B133,"Yenileme")</f>
        <v>1172.1453780000002</v>
      </c>
      <c r="D142" s="295">
        <f>SUMIFS(D5:D13,A5:A13,"Stokbar",B5:B13,"Yenileme")+SUMIFS(D19:D28,A19:A28,"Stokbar",B19:B28,"Yenileme")+SUMIFS(D34:D45,A34:A45,"Stokbar",B34:B45,"Yenileme")+SUMIFS(D51:D59,A51:A59,"Stokbar",B51:B59,"Yenileme")+SUMIFS(D65:D74,A65:A74,"Stokbar",B65:B74,"Yenileme")+SUMIFS(D80:D89,A80:A89,"Stokbar",B80:B89,"Yenileme")+SUMIFS(D102:D111,A102:A111,"Stokbar",B102:B111,"Yenileme")+SUMIFS(D117:D126,A117:A126,"Stokbar",B117:B126,"Yenileme")+SUMIFS(D132:D133,A132:A133,"Stokbar",B132:B133,"Yenileme")</f>
        <v>1172.1453780000002</v>
      </c>
      <c r="E142" s="295">
        <f>SUMIFS(E5:E13,A5:A13,"Stokbar",B5:B13,"Yenileme")+SUMIFS(E19:E28,A19:A28,"Stokbar",B19:B28,"Yenileme")+SUMIFS(E34:E45,A34:A45,"Stokbar",B34:B45,"Yenileme")+SUMIFS(E51:E59,A51:A59,"Stokbar",B51:B59,"Yenileme")+SUMIFS(E65:E74,A65:A74,"Stokbar",B65:B74,"Yenileme")+SUMIFS(E80:E89,A80:A89,"Stokbar",B80:B89,"Yenileme")+SUMIFS(E102:E111,A102:A111,"Stokbar",B102:B111,"Yenileme")+SUMIFS(E117:E126,A117:A126,"Stokbar",B117:B126,"Yenileme")+SUMIFS(E132:E133,A132:A133,"Stokbar",B132:B133,"Yenileme")</f>
        <v>1336.6570100000001</v>
      </c>
      <c r="F142" s="295">
        <f>SUMIFS(F5:F13,A5:A13,"Stokbar",B5:B13,"Yenileme")+SUMIFS(F19:F28,A19:A28,"Stokbar",B19:B28,"Yenileme")+SUMIFS(F34:F45,A34:A45,"Stokbar",B34:B45,"Yenileme")+SUMIFS(F51:F59,A51:A59,"Stokbar",B51:B59,"Yenileme")+SUMIFS(F65:F74,A65:A74,"Stokbar",B65:B74,"Yenileme")+SUMIFS(F80:F89,A80:A89,"Stokbar",B80:B89,"Yenileme")+SUMIFS(F102:F111,A102:A111,"Stokbar",B102:B111,"Yenileme")+SUMIFS(F117:F126,A117:A126,"Stokbar",B117:B126,"Yenileme")+SUMIFS(F132:F133,A132:A133,"Stokbar",B132:B133,"Yenileme")</f>
        <v>1305.8110790000003</v>
      </c>
      <c r="G142" s="295">
        <f>SUMIFS(G5:G13,A5:A13,"Stokbar",B5:B13,"Yenileme")+SUMIFS(G19:G28,A19:A28,"Stokbar",B19:B28,"Yenileme")+SUMIFS(G34:G45,A34:A45,"Stokbar",B34:B45,"Yenileme")+SUMIFS(G51:G59,A51:A59,"Stokbar",B51:B59,"Yenileme")+SUMIFS(G65:G74,A65:A74,"Stokbar",B65:B74,"Yenileme")+SUMIFS(G80:G89,A80:A89,"Stokbar",B80:B89,"Yenileme")+SUMIFS(G102:G111,A102:A111,"Stokbar",B102:B111,"Yenileme")+SUMIFS(G117:G126,A117:A126,"Stokbar",B117:B126,"Yenileme")+SUMIFS(G132:G133,A132:A133,"Stokbar",B132:B133,"Yenileme")</f>
        <v>1305.8110790000003</v>
      </c>
      <c r="H142" s="295">
        <f>SUMIFS(H5:H13,A5:A13,"Stokbar",B5:B13,"Yenileme")+SUMIFS(H19:H28,A19:A28,"Stokbar",B19:B28,"Yenileme")+SUMIFS(H34:H45,A34:A45,"Stokbar",B34:B45,"Yenileme")+SUMIFS(H51:H59,A51:A59,"Stokbar",B51:B59,"Yenileme")+SUMIFS(H65:H74,A65:A74,"Stokbar",B65:B74,"Yenileme")+SUMIFS(H80:H89,A80:A89,"Stokbar",B80:B89,"Yenileme")+SUMIFS(H102:H111,A102:A111,"Stokbar",B102:B111,"Yenileme")+SUMIFS(H117:H126,A117:A126,"Stokbar",B117:B126,"Yenileme")+SUMIFS(H132:H133,A132:A133,"Stokbar",B132:B133,"Yenileme")</f>
        <v>1480.6046879999997</v>
      </c>
      <c r="I142" s="295">
        <f>SUMIFS(I5:I13,A5:A13,"Stokbar",B5:B13,"Yenileme")+SUMIFS(I19:I28,A19:A28,"Stokbar",B19:B28,"Yenileme")+SUMIFS(I34:I45,A34:A45,"Stokbar",B34:B45,"Yenileme")+SUMIFS(I51:I59,A51:A59,"Stokbar",B51:B59,"Yenileme")+SUMIFS(I65:I74,A65:A74,"Stokbar",B65:B74,"Yenileme")+SUMIFS(I80:I89,A80:A89,"Stokbar",B80:B89,"Yenileme")+SUMIFS(I102:I111,A102:A111,"Stokbar",B102:B111,"Yenileme")+SUMIFS(I117:I126,A117:A126,"Stokbar",B117:B126,"Yenileme")+SUMIFS(I132:I133,A132:A133,"Stokbar",B132:B133,"Yenileme")</f>
        <v>1233.8372400000001</v>
      </c>
      <c r="J142" s="295">
        <f>SUMIFS(J5:J13,A5:A13,"Stokbar",B5:B13,"Yenileme")+SUMIFS(J19:J28,A19:A28,"Stokbar",B19:B28,"Yenileme")+SUMIFS(J34:J45,A34:A45,"Stokbar",B34:B45,"Yenileme")+SUMIFS(J51:J59,A51:A59,"Stokbar",B51:B59,"Yenileme")+SUMIFS(J65:J74,A65:A74,"Stokbar",B65:B74,"Yenileme")+SUMIFS(J80:J89,A80:A89,"Stokbar",B80:B89,"Yenileme")+SUMIFS(J102:J111,A102:A111,"Stokbar",B102:B111,"Yenileme")+SUMIFS(J117:J126,A117:A126,"Stokbar",B117:B126,"Yenileme")+SUMIFS(J132:J133,A132:A133,"Stokbar",B132:B133,"Yenileme")</f>
        <v>1244.1192169999997</v>
      </c>
      <c r="K142" s="295">
        <f>SUMIFS(K5:K13,A5:A13,"Stokbar",B5:B13,"Yenileme")+SUMIFS(K19:K28,A19:A28,"Stokbar",B19:B28,"Yenileme")+SUMIFS(K34:K45,A34:A45,"Stokbar",B34:B45,"Yenileme")+SUMIFS(K51:K59,A51:A59,"Stokbar",B51:B59,"Yenileme")+SUMIFS(K65:K74,A65:A74,"Stokbar",B65:B74,"Yenileme")+SUMIFS(K80:K89,A80:A89,"Stokbar",B80:B89,"Yenileme")+SUMIFS(K102:K111,A102:A111,"Stokbar",B102:B111,"Yenileme")+SUMIFS(K117:K126,A117:A126,"Stokbar",B117:B126,"Yenileme")+SUMIFS(K132:K133,A132:A133,"Stokbar",B132:B133,"Yenileme")</f>
        <v>1316.0930559999999</v>
      </c>
      <c r="L142" s="295">
        <f>SUMIFS(L5:L13,A5:A13,"Stokbar",B5:B13,"Yenileme")+SUMIFS(L19:L28,A19:A28,"Stokbar",B19:B28,"Yenileme")+SUMIFS(L34:L45,A34:A45,"Stokbar",B34:B45,"Yenileme")+SUMIFS(L51:L59,A51:A59,"Stokbar",B51:B59,"Yenileme")+SUMIFS(L65:L74,A65:A74,"Stokbar",B65:B74,"Yenileme")+SUMIFS(L80:L89,A80:A89,"Stokbar",B80:B89,"Yenileme")+SUMIFS(L102:L111,A102:A111,"Stokbar",B102:B111,"Yenileme")+SUMIFS(L117:L126,A117:A126,"Stokbar",B117:B126,"Yenileme")+SUMIFS(L132:L133,A132:A133,"Stokbar",B132:B133,"Yenileme")</f>
        <v>1542.2965499999998</v>
      </c>
      <c r="M142" s="295">
        <f>SUMIFS(M5:M13,A5:A13,"Stokbar",B5:B13,"Yenileme")+SUMIFS(M19:M28,A19:A28,"Stokbar",B19:B28,"Yenileme")+SUMIFS(M34:M45,A34:A45,"Stokbar",B34:B45,"Yenileme")+SUMIFS(M51:M59,A51:A59,"Stokbar",B51:B59,"Yenileme")+SUMIFS(M65:M74,A65:A74,"Stokbar",B65:B74,"Yenileme")+SUMIFS(M80:M89,A80:A89,"Stokbar",B80:B89,"Yenileme")+SUMIFS(M102:M111,A102:A111,"Stokbar",B102:B111,"Yenileme")+SUMIFS(M117:M126,A117:A126,"Stokbar",B117:B126,"Yenileme")+SUMIFS(M132:M133,A132:A133,"Stokbar",B132:B133,"Yenileme")</f>
        <v>1562.8605039999998</v>
      </c>
      <c r="N142" s="295">
        <f>SUMIFS(N5:N13,A5:A13,"Stokbar",B5:B13,"Yenileme")+SUMIFS(N19:N28,A19:A28,"Stokbar",B19:B28,"Yenileme")+SUMIFS(N34:N45,A34:A45,"Stokbar",B34:B45,"Yenileme")+SUMIFS(N51:N59,A51:A59,"Stokbar",B51:B59,"Yenileme")+SUMIFS(N65:N74,A65:A74,"Stokbar",B65:B74,"Yenileme")+SUMIFS(N80:N89,A80:A89,"Stokbar",B80:B89,"Yenileme")+SUMIFS(N102:N111,A102:A111,"Stokbar",B102:B111,"Yenileme")+SUMIFS(N117:N126,A117:A126,"Stokbar",B117:B126,"Yenileme")+SUMIFS(N132:N133,A132:A133,"Stokbar",B132:B133,"Yenileme")</f>
        <v>1778.782021</v>
      </c>
      <c r="O142" s="299">
        <f t="shared" si="176"/>
        <v>16451.163199999999</v>
      </c>
      <c r="Q142" s="277" t="str">
        <f t="shared" si="175"/>
        <v>Stokbar</v>
      </c>
      <c r="R142" s="278" t="str">
        <f t="shared" si="177"/>
        <v>Yenileme</v>
      </c>
      <c r="S142" s="279">
        <f t="shared" si="178"/>
        <v>3680.9477660000002</v>
      </c>
      <c r="T142" s="279">
        <f t="shared" si="179"/>
        <v>4092.2268460000005</v>
      </c>
      <c r="U142" s="279">
        <f t="shared" si="180"/>
        <v>3794.0495129999999</v>
      </c>
      <c r="V142" s="279">
        <f t="shared" si="181"/>
        <v>4883.9390749999993</v>
      </c>
      <c r="W142" s="279">
        <f t="shared" si="182"/>
        <v>16451.163199999999</v>
      </c>
    </row>
    <row r="143" spans="1:23" ht="16" hidden="1" customHeight="1" outlineLevel="1" x14ac:dyDescent="0.2">
      <c r="A143" s="293" t="s">
        <v>27</v>
      </c>
      <c r="B143" s="294" t="s">
        <v>26</v>
      </c>
      <c r="C143" s="295">
        <f>SUMIFS(C5:C13,A5:A13,"Quest",B5:B13,"Yeni Satış")+SUMIFS(C19:C28,A19:A28,"Quest",B19:B28,"Yeni Satış")+SUMIFS(C34:C45,A34:A45,"Quest",B34:B45,"Yeni Satış")+SUMIFS(C51:C59,A51:A59,"Quest",B51:B59,"Yeni Satış")+SUMIFS(C65:C74,A65:A74,"Quest",B65:B74,"Yeni Satış")+SUMIFS(C80:C89,A80:A89,"Quest",B80:B89,"Yeni Satış")+SUMIFS(C102:C111,A102:A111,"Quest",B102:B111,"Yeni Satış")+SUMIFS(C117:C126,A117:A126,"Quest",B117:B126,"Yeni Satış")+SUMIFS(C132:C133,A132:A133,"Quest",B132:B133,"Yeni Satış")</f>
        <v>2673.7987500000004</v>
      </c>
      <c r="D143" s="295">
        <f>SUMIFS(D5:D13,A5:A13,"Quest",B5:B13,"Yeni Satış")+SUMIFS(D19:D28,A19:A28,"Quest",B19:B28,"Yeni Satış")+SUMIFS(D34:D45,A34:A45,"Quest",B34:B45,"Yeni Satış")+SUMIFS(D51:D59,A51:A59,"Quest",B51:B59,"Yeni Satış")+SUMIFS(D65:D74,A65:A74,"Quest",B65:B74,"Yeni Satış")+SUMIFS(D80:D89,A80:A89,"Quest",B80:B89,"Yeni Satış")+SUMIFS(D102:D111,A102:A111,"Quest",B102:B111,"Yeni Satış")+SUMIFS(D117:D126,A117:A126,"Quest",B117:B126,"Yeni Satış")+SUMIFS(D132:D133,A132:A133,"Quest",B132:B133,"Yeni Satış")</f>
        <v>2673.7987500000004</v>
      </c>
      <c r="E143" s="295">
        <f>SUMIFS(E5:E13,A5:A13,"Quest",B5:B13,"Yeni Satış")+SUMIFS(E19:E28,A19:A28,"Quest",B19:B28,"Yeni Satış")+SUMIFS(E34:E45,A34:A45,"Quest",B34:B45,"Yeni Satış")+SUMIFS(E51:E59,A51:A59,"Quest",B51:B59,"Yeni Satış")+SUMIFS(E65:E74,A65:A74,"Quest",B65:B74,"Yeni Satış")+SUMIFS(E80:E89,A80:A89,"Quest",B80:B89,"Yeni Satış")+SUMIFS(E102:E111,A102:A111,"Quest",B102:B111,"Yeni Satış")+SUMIFS(E117:E126,A117:A126,"Quest",B117:B126,"Yeni Satış")+SUMIFS(E132:E133,A132:A133,"Quest",B132:B133,"Yeni Satış")</f>
        <v>3049.0687499999999</v>
      </c>
      <c r="F143" s="295">
        <f>SUMIFS(F5:F13,A5:A13,"Quest",B5:B13,"Yeni Satış")+SUMIFS(F19:F28,A19:A28,"Quest",B19:B28,"Yeni Satış")+SUMIFS(F34:F45,A34:A45,"Quest",B34:B45,"Yeni Satış")+SUMIFS(F51:F59,A51:A59,"Quest",B51:B59,"Yeni Satış")+SUMIFS(F65:F74,A65:A74,"Quest",B65:B74,"Yeni Satış")+SUMIFS(F80:F89,A80:A89,"Quest",B80:B89,"Yeni Satış")+SUMIFS(F102:F111,A102:A111,"Quest",B102:B111,"Yeni Satış")+SUMIFS(F117:F126,A117:A126,"Quest",B117:B126,"Yeni Satış")+SUMIFS(F132:F133,A132:A133,"Quest",B132:B133,"Yeni Satış")</f>
        <v>2978.7056250000001</v>
      </c>
      <c r="G143" s="295">
        <f>SUMIFS(G5:G13,A5:A13,"Quest",B5:B13,"Yeni Satış")+SUMIFS(G19:G28,A19:A28,"Quest",B19:B28,"Yeni Satış")+SUMIFS(G34:G45,A34:A45,"Quest",B34:B45,"Yeni Satış")+SUMIFS(G51:G59,A51:A59,"Quest",B51:B59,"Yeni Satış")+SUMIFS(G65:G74,A65:A74,"Quest",B65:B74,"Yeni Satış")+SUMIFS(G80:G89,A80:A89,"Quest",B80:B89,"Yeni Satış")+SUMIFS(G102:G111,A102:A111,"Quest",B102:B111,"Yeni Satış")+SUMIFS(G117:G126,A117:A126,"Quest",B117:B126,"Yeni Satış")+SUMIFS(G132:G133,A132:A133,"Quest",B132:B133,"Yeni Satış")</f>
        <v>2978.7056250000001</v>
      </c>
      <c r="H143" s="295">
        <f>SUMIFS(H5:H13,A5:A13,"Quest",B5:B13,"Yeni Satış")+SUMIFS(H19:H28,A19:A28,"Quest",B19:B28,"Yeni Satış")+SUMIFS(H34:H45,A34:A45,"Quest",B34:B45,"Yeni Satış")+SUMIFS(H51:H59,A51:A59,"Quest",B51:B59,"Yeni Satış")+SUMIFS(H65:H74,A65:A74,"Quest",B65:B74,"Yeni Satış")+SUMIFS(H80:H89,A80:A89,"Quest",B80:B89,"Yeni Satış")+SUMIFS(H102:H111,A102:A111,"Quest",B102:B111,"Yeni Satış")+SUMIFS(H117:H126,A117:A126,"Quest",B117:B126,"Yeni Satış")+SUMIFS(H132:H133,A132:A133,"Quest",B132:B133,"Yeni Satış")</f>
        <v>3377.43</v>
      </c>
      <c r="I143" s="295">
        <f>SUMIFS(I5:I13,A5:A13,"Quest",B5:B13,"Yeni Satış")+SUMIFS(I19:I28,A19:A28,"Quest",B19:B28,"Yeni Satış")+SUMIFS(I34:I45,A34:A45,"Quest",B34:B45,"Yeni Satış")+SUMIFS(I51:I59,A51:A59,"Quest",B51:B59,"Yeni Satış")+SUMIFS(I65:I74,A65:A74,"Quest",B65:B74,"Yeni Satış")+SUMIFS(I80:I89,A80:A89,"Quest",B80:B89,"Yeni Satış")+SUMIFS(I102:I111,A102:A111,"Quest",B102:B111,"Yeni Satış")+SUMIFS(I117:I126,A117:A126,"Quest",B117:B126,"Yeni Satış")+SUMIFS(I132:I133,A132:A133,"Quest",B132:B133,"Yeni Satış")</f>
        <v>2814.5250000000001</v>
      </c>
      <c r="J143" s="295">
        <f>SUMIFS(J5:J13,A5:A13,"Quest",B5:B13,"Yeni Satış")+SUMIFS(J19:J28,A19:A28,"Quest",B19:B28,"Yeni Satış")+SUMIFS(J34:J45,A34:A45,"Quest",B34:B45,"Yeni Satış")+SUMIFS(J51:J59,A51:A59,"Quest",B51:B59,"Yeni Satış")+SUMIFS(J65:J74,A65:A74,"Quest",B65:B74,"Yeni Satış")+SUMIFS(J80:J89,A80:A89,"Quest",B80:B89,"Yeni Satış")+SUMIFS(J102:J111,A102:A111,"Quest",B102:B111,"Yeni Satış")+SUMIFS(J117:J126,A117:A126,"Quest",B117:B126,"Yeni Satış")+SUMIFS(J132:J133,A132:A133,"Quest",B132:B133,"Yeni Satış")</f>
        <v>2837.9793749999999</v>
      </c>
      <c r="K143" s="295">
        <f>SUMIFS(K5:K13,A5:A13,"Quest",B5:B13,"Yeni Satış")+SUMIFS(K19:K28,A19:A28,"Quest",B19:B28,"Yeni Satış")+SUMIFS(K34:K45,A34:A45,"Quest",B34:B45,"Yeni Satış")+SUMIFS(K51:K59,A51:A59,"Quest",B51:B59,"Yeni Satış")+SUMIFS(K65:K74,A65:A74,"Quest",B65:B74,"Yeni Satış")+SUMIFS(K80:K89,A80:A89,"Quest",B80:B89,"Yeni Satış")+SUMIFS(K102:K111,A102:A111,"Quest",B102:B111,"Yeni Satış")+SUMIFS(K117:K126,A117:A126,"Quest",B117:B126,"Yeni Satış")+SUMIFS(K132:K133,A132:A133,"Quest",B132:B133,"Yeni Satış")</f>
        <v>3002.16</v>
      </c>
      <c r="L143" s="295">
        <f>SUMIFS(L5:L13,A5:A13,"Quest",B5:B13,"Yeni Satış")+SUMIFS(L19:L28,A19:A28,"Quest",B19:B28,"Yeni Satış")+SUMIFS(L34:L45,A34:A45,"Quest",B34:B45,"Yeni Satış")+SUMIFS(L51:L59,A51:A59,"Quest",B51:B59,"Yeni Satış")+SUMIFS(L65:L74,A65:A74,"Quest",B65:B74,"Yeni Satış")+SUMIFS(L80:L89,A80:A89,"Quest",B80:B89,"Yeni Satış")+SUMIFS(L102:L111,A102:A111,"Quest",B102:B111,"Yeni Satış")+SUMIFS(L117:L126,A117:A126,"Quest",B117:B126,"Yeni Satış")+SUMIFS(L132:L133,A132:A133,"Quest",B132:B133,"Yeni Satış")</f>
        <v>3518.1562499999995</v>
      </c>
      <c r="M143" s="295">
        <f>SUMIFS(M5:M13,A5:A13,"Quest",B5:B13,"Yeni Satış")+SUMIFS(M19:M28,A19:A28,"Quest",B19:B28,"Yeni Satış")+SUMIFS(M34:M45,A34:A45,"Quest",B34:B45,"Yeni Satış")+SUMIFS(M51:M59,A51:A59,"Quest",B51:B59,"Yeni Satış")+SUMIFS(M65:M74,A65:A74,"Quest",B65:B74,"Yeni Satış")+SUMIFS(M80:M89,A80:A89,"Quest",B80:B89,"Yeni Satış")+SUMIFS(M102:M111,A102:A111,"Quest",B102:B111,"Yeni Satış")+SUMIFS(M117:M126,A117:A126,"Quest",B117:B126,"Yeni Satış")+SUMIFS(M132:M133,A132:A133,"Quest",B132:B133,"Yeni Satış")</f>
        <v>3565.0649999999996</v>
      </c>
      <c r="N143" s="295">
        <f>SUMIFS(N5:N13,A5:A13,"Quest",B5:B13,"Yeni Satış")+SUMIFS(N19:N28,A19:A28,"Quest",B19:B28,"Yeni Satış")+SUMIFS(N34:N45,A34:A45,"Quest",B34:B45,"Yeni Satış")+SUMIFS(N51:N59,A51:A59,"Quest",B51:B59,"Yeni Satış")+SUMIFS(N65:N74,A65:A74,"Quest",B65:B74,"Yeni Satış")+SUMIFS(N80:N89,A80:A89,"Quest",B80:B89,"Yeni Satış")+SUMIFS(N102:N111,A102:A111,"Quest",B102:B111,"Yeni Satış")+SUMIFS(N117:N126,A117:A126,"Quest",B117:B126,"Yeni Satış")+SUMIFS(N132:N133,A132:A133,"Quest",B132:B133,"Yeni Satış")</f>
        <v>4057.6068749999999</v>
      </c>
      <c r="O143" s="299">
        <f t="shared" si="176"/>
        <v>37527</v>
      </c>
      <c r="Q143" s="277" t="str">
        <f t="shared" si="175"/>
        <v>Quest</v>
      </c>
      <c r="R143" s="278" t="str">
        <f t="shared" si="177"/>
        <v>Yeni Satış</v>
      </c>
      <c r="S143" s="279">
        <f t="shared" si="178"/>
        <v>8396.6662500000002</v>
      </c>
      <c r="T143" s="279">
        <f t="shared" si="179"/>
        <v>9334.8412499999995</v>
      </c>
      <c r="U143" s="279">
        <f t="shared" si="180"/>
        <v>8654.6643750000003</v>
      </c>
      <c r="V143" s="279">
        <f t="shared" si="181"/>
        <v>11140.828124999998</v>
      </c>
      <c r="W143" s="279">
        <f t="shared" si="182"/>
        <v>37527</v>
      </c>
    </row>
    <row r="144" spans="1:23" ht="14" hidden="1" customHeight="1" outlineLevel="1" x14ac:dyDescent="0.2">
      <c r="A144" s="293" t="s">
        <v>27</v>
      </c>
      <c r="B144" s="294" t="s">
        <v>28</v>
      </c>
      <c r="C144" s="295">
        <f>SUMIFS(C5:C13,A5:A13,"Quest",B5:B13,"Yenileme")+SUMIFS(C19:C28,A19:A28,"Quest",B19:B28,"Yenileme")+SUMIFS(C34:C45,A34:A45,"Quest",B34:B45,"Yenileme")+SUMIFS(C51:C59,A51:A59,"Quest",B51:B59,"Yenileme")+SUMIFS(C65:C74,A65:A74,"Quest",B65:B74,"Yenileme")+SUMIFS(C80:C89,A80:A89,"Quest",B80:B89,"Yenileme")+SUMIFS(C102:C111,A102:A111,"Quest",B102:B111,"Yenileme")+SUMIFS(C117:C126,A117:A126,"Quest",B117:B126,"Yenileme")+SUMIFS(C132:C133,A132:A133,"Quest",B132:B133,"Yenileme")</f>
        <v>1596.689654578551</v>
      </c>
      <c r="D144" s="295">
        <f>SUMIFS(D5:D13,A5:A13,"Quest",B5:B13,"Yenileme")+SUMIFS(D19:D28,A19:A28,"Quest",B19:B28,"Yenileme")+SUMIFS(D34:D45,A34:A45,"Quest",B34:B45,"Yenileme")+SUMIFS(D51:D59,A51:A59,"Quest",B51:B59,"Yenileme")+SUMIFS(D65:D74,A65:A74,"Quest",B65:B74,"Yenileme")+SUMIFS(D80:D89,A80:A89,"Quest",B80:B89,"Yenileme")+SUMIFS(D102:D111,A102:A111,"Quest",B102:B111,"Yenileme")+SUMIFS(D117:D126,A117:A126,"Quest",B117:B126,"Yenileme")+SUMIFS(D132:D133,A132:A133,"Quest",B132:B133,"Yenileme")</f>
        <v>1596.689654578551</v>
      </c>
      <c r="E144" s="295">
        <f>SUMIFS(E5:E13,A5:A13,"Quest",B5:B13,"Yenileme")+SUMIFS(E19:E28,A19:A28,"Quest",B19:B28,"Yenileme")+SUMIFS(E34:E45,A34:A45,"Quest",B34:B45,"Yenileme")+SUMIFS(E51:E59,A51:A59,"Quest",B51:B59,"Yenileme")+SUMIFS(E65:E74,A65:A74,"Quest",B65:B74,"Yenileme")+SUMIFS(E80:E89,A80:A89,"Quest",B80:B89,"Yenileme")+SUMIFS(E102:E111,A102:A111,"Quest",B102:B111,"Yenileme")+SUMIFS(E117:E126,A117:A126,"Quest",B117:B126,"Yenileme")+SUMIFS(E132:E133,A132:A133,"Quest",B132:B133,"Yenileme")</f>
        <v>1820.7864482036102</v>
      </c>
      <c r="F144" s="295">
        <f>SUMIFS(F5:F13,A5:A13,"Quest",B5:B13,"Yenileme")+SUMIFS(F19:F28,A19:A28,"Quest",B19:B28,"Yenileme")+SUMIFS(F34:F45,A34:A45,"Quest",B34:B45,"Yenileme")+SUMIFS(F51:F59,A51:A59,"Quest",B51:B59,"Yenileme")+SUMIFS(F65:F74,A65:A74,"Quest",B65:B74,"Yenileme")+SUMIFS(F80:F89,A80:A89,"Quest",B80:B89,"Yenileme")+SUMIFS(F102:F111,A102:A111,"Quest",B102:B111,"Yenileme")+SUMIFS(F117:F126,A117:A126,"Quest",B117:B126,"Yenileme")+SUMIFS(F132:F133,A132:A133,"Quest",B132:B133,"Yenileme")</f>
        <v>1778.7682993989115</v>
      </c>
      <c r="G144" s="295">
        <f>SUMIFS(G5:G13,A5:A13,"Quest",B5:B13,"Yenileme")+SUMIFS(G19:G28,A19:A28,"Quest",B19:B28,"Yenileme")+SUMIFS(G34:G45,A34:A45,"Quest",B34:B45,"Yenileme")+SUMIFS(G51:G59,A51:A59,"Quest",B51:B59,"Yenileme")+SUMIFS(G65:G74,A65:A74,"Quest",B65:B74,"Yenileme")+SUMIFS(G80:G89,A80:A89,"Quest",B80:B89,"Yenileme")+SUMIFS(G102:G111,A102:A111,"Quest",B102:B111,"Yenileme")+SUMIFS(G117:G126,A117:A126,"Quest",B117:B126,"Yenileme")+SUMIFS(G132:G133,A132:A133,"Quest",B132:B133,"Yenileme")</f>
        <v>1778.7682993989115</v>
      </c>
      <c r="H144" s="295">
        <f>SUMIFS(H5:H13,A5:A13,"Quest",B5:B13,"Yenileme")+SUMIFS(H19:H28,A19:A28,"Quest",B19:B28,"Yenileme")+SUMIFS(H34:H45,A34:A45,"Quest",B34:B45,"Yenileme")+SUMIFS(H51:H59,A51:A59,"Quest",B51:B59,"Yenileme")+SUMIFS(H65:H74,A65:A74,"Quest",B65:B74,"Yenileme")+SUMIFS(H80:H89,A80:A89,"Quest",B80:B89,"Yenileme")+SUMIFS(H102:H111,A102:A111,"Quest",B102:B111,"Yenileme")+SUMIFS(H117:H126,A117:A126,"Quest",B117:B126,"Yenileme")+SUMIFS(H132:H133,A132:A133,"Quest",B132:B133,"Yenileme")</f>
        <v>2016.8711426255375</v>
      </c>
      <c r="I144" s="295">
        <f>SUMIFS(I5:I13,A5:A13,"Quest",B5:B13,"Yenileme")+SUMIFS(I19:I28,A19:A28,"Quest",B19:B28,"Yenileme")+SUMIFS(I34:I45,A34:A45,"Quest",B34:B45,"Yenileme")+SUMIFS(I51:I59,A51:A59,"Quest",B51:B59,"Yenileme")+SUMIFS(I65:I74,A65:A74,"Quest",B65:B74,"Yenileme")+SUMIFS(I80:I89,A80:A89,"Quest",B80:B89,"Yenileme")+SUMIFS(I102:I111,A102:A111,"Quest",B102:B111,"Yenileme")+SUMIFS(I117:I126,A117:A126,"Quest",B117:B126,"Yenileme")+SUMIFS(I132:I133,A132:A133,"Quest",B132:B133,"Yenileme")</f>
        <v>1680.725952187948</v>
      </c>
      <c r="J144" s="295">
        <f>SUMIFS(J5:J13,A5:A13,"Quest",B5:B13,"Yenileme")+SUMIFS(J19:J28,A19:A28,"Quest",B19:B28,"Yenileme")+SUMIFS(J34:J45,A34:A45,"Quest",B34:B45,"Yenileme")+SUMIFS(J51:J59,A51:A59,"Quest",B51:B59,"Yenileme")+SUMIFS(J65:J74,A65:A74,"Quest",B65:B74,"Yenileme")+SUMIFS(J80:J89,A80:A89,"Quest",B80:B89,"Yenileme")+SUMIFS(J102:J111,A102:A111,"Quest",B102:B111,"Yenileme")+SUMIFS(J117:J126,A117:A126,"Quest",B117:B126,"Yenileme")+SUMIFS(J132:J133,A132:A133,"Quest",B132:B133,"Yenileme")</f>
        <v>1694.7320017895142</v>
      </c>
      <c r="K144" s="295">
        <f>SUMIFS(K5:K13,A5:A13,"Quest",B5:B13,"Yenileme")+SUMIFS(K19:K28,A19:A28,"Quest",B19:B28,"Yenileme")+SUMIFS(K34:K45,A34:A45,"Quest",B34:B45,"Yenileme")+SUMIFS(K51:K59,A51:A59,"Quest",B51:B59,"Yenileme")+SUMIFS(K65:K74,A65:A74,"Quest",B65:B74,"Yenileme")+SUMIFS(K80:K89,A80:A89,"Quest",B80:B89,"Yenileme")+SUMIFS(K102:K111,A102:A111,"Quest",B102:B111,"Yenileme")+SUMIFS(K117:K126,A117:A126,"Quest",B117:B126,"Yenileme")+SUMIFS(K132:K133,A132:A133,"Quest",B132:B133,"Yenileme")</f>
        <v>1792.7743490004782</v>
      </c>
      <c r="L144" s="295">
        <f>SUMIFS(L5:L13,A5:A13,"Quest",B5:B13,"Yenileme")+SUMIFS(L19:L28,A19:A28,"Quest",B19:B28,"Yenileme")+SUMIFS(L34:L45,A34:A45,"Quest",B34:B45,"Yenileme")+SUMIFS(L51:L59,A51:A59,"Quest",B51:B59,"Yenileme")+SUMIFS(L65:L74,A65:A74,"Quest",B65:B74,"Yenileme")+SUMIFS(L80:L89,A80:A89,"Quest",B80:B89,"Yenileme")+SUMIFS(L102:L111,A102:A111,"Quest",B102:B111,"Yenileme")+SUMIFS(L117:L126,A117:A126,"Quest",B117:B126,"Yenileme")+SUMIFS(L132:L133,A132:A133,"Quest",B132:B133,"Yenileme")</f>
        <v>2100.9074402349343</v>
      </c>
      <c r="M144" s="295">
        <f>SUMIFS(M5:M13,A5:A13,"Quest",B5:B13,"Yenileme")+SUMIFS(M19:M28,A19:A28,"Quest",B19:B28,"Yenileme")+SUMIFS(M34:M45,A34:A45,"Quest",B34:B45,"Yenileme")+SUMIFS(M51:M59,A51:A59,"Quest",B51:B59,"Yenileme")+SUMIFS(M65:M74,A65:A74,"Quest",B65:B74,"Yenileme")+SUMIFS(M80:M89,A80:A89,"Quest",B80:B89,"Yenileme")+SUMIFS(M102:M111,A102:A111,"Quest",B102:B111,"Yenileme")+SUMIFS(M117:M126,A117:A126,"Quest",B117:B126,"Yenileme")+SUMIFS(M132:M133,A132:A133,"Quest",B132:B133,"Yenileme")</f>
        <v>2128.9195394380672</v>
      </c>
      <c r="N144" s="295">
        <f>SUMIFS(N5:N13,A5:A13,"Quest",B5:B13,"Yenileme")+SUMIFS(N19:N28,A19:A28,"Quest",B19:B28,"Yenileme")+SUMIFS(N34:N45,A34:A45,"Quest",B34:B45,"Yenileme")+SUMIFS(N51:N59,A51:A59,"Quest",B51:B59,"Yenileme")+SUMIFS(N65:N74,A65:A74,"Quest",B65:B74,"Yenileme")+SUMIFS(N80:N89,A80:A89,"Quest",B80:B89,"Yenileme")+SUMIFS(N102:N111,A102:A111,"Quest",B102:B111,"Yenileme")+SUMIFS(N117:N126,A117:A126,"Quest",B117:B126,"Yenileme")+SUMIFS(N132:N133,A132:A133,"Quest",B132:B133,"Yenileme")</f>
        <v>2423.0465810709584</v>
      </c>
      <c r="O144" s="299">
        <f t="shared" si="176"/>
        <v>22409.679362505969</v>
      </c>
      <c r="Q144" s="277" t="str">
        <f t="shared" si="175"/>
        <v>Quest</v>
      </c>
      <c r="R144" s="278" t="str">
        <f t="shared" si="177"/>
        <v>Yenileme</v>
      </c>
      <c r="S144" s="279">
        <f t="shared" si="178"/>
        <v>5014.1657573607117</v>
      </c>
      <c r="T144" s="279">
        <f t="shared" si="179"/>
        <v>5574.4077414233607</v>
      </c>
      <c r="U144" s="279">
        <f t="shared" si="180"/>
        <v>5168.23230297794</v>
      </c>
      <c r="V144" s="279">
        <f t="shared" si="181"/>
        <v>6652.8735607439603</v>
      </c>
      <c r="W144" s="279">
        <f t="shared" si="182"/>
        <v>22409.679362505973</v>
      </c>
    </row>
    <row r="145" spans="1:23" ht="16" hidden="1" customHeight="1" outlineLevel="1" x14ac:dyDescent="0.2">
      <c r="A145" s="293" t="s">
        <v>32</v>
      </c>
      <c r="B145" s="294" t="s">
        <v>26</v>
      </c>
      <c r="C145" s="295">
        <f>SUMIFS(C5:C13,A5:A13,"Varuna",B5:B13,"Yeni Satış")+SUMIFS(C19:C28,A19:A28,"Varuna",B19:B28,"Yeni Satış")+SUMIFS(C34:C45,A34:A45,"Varuna",B34:B45,"Yeni Satış")+SUMIFS(C51:C59,A51:A59,"Varuna",B51:B59,"Yeni Satış")+SUMIFS(C65:C74,A65:A74,"Varuna",B65:B74,"Yeni Satış")+SUMIFS(C80:C89,A80:A89,"Varuna",B80:B89,"Yeni Satış")+SUMIFS(C102:C111,A102:A111,"Varuna",B102:B111,"Yeni Satış")+SUMIFS(C117:C126,A117:A126,"Varuna",B117:B126,"Yeni Satış")+SUMIFS(C132:C133,A132:A133,"Varuna",B132:B133,"Yeni Satış")</f>
        <v>406.83750000000003</v>
      </c>
      <c r="D145" s="295">
        <f>SUMIFS(D5:D13,A5:A13,"Varuna",B5:B13,"Yeni Satış")+SUMIFS(D19:D28,A19:A28,"Varuna",B19:B28,"Yeni Satış")+SUMIFS(D34:D45,A34:A45,"Varuna",B34:B45,"Yeni Satış")+SUMIFS(D51:D59,A51:A59,"Varuna",B51:B59,"Yeni Satış")+SUMIFS(D65:D74,A65:A74,"Varuna",B65:B74,"Yeni Satış")+SUMIFS(D80:D89,A80:A89,"Varuna",B80:B89,"Yeni Satış")+SUMIFS(D102:D111,A102:A111,"Varuna",B102:B111,"Yeni Satış")+SUMIFS(D117:D126,A117:A126,"Varuna",B117:B126,"Yeni Satış")+SUMIFS(D132:D133,A132:A133,"Varuna",B132:B133,"Yeni Satış")</f>
        <v>406.83750000000003</v>
      </c>
      <c r="E145" s="295">
        <f>SUMIFS(E5:E13,A5:A13,"Varuna",B5:B13,"Yeni Satış")+SUMIFS(E19:E28,A19:A28,"Varuna",B19:B28,"Yeni Satış")+SUMIFS(E34:E45,A34:A45,"Varuna",B34:B45,"Yeni Satış")+SUMIFS(E51:E59,A51:A59,"Varuna",B51:B59,"Yeni Satış")+SUMIFS(E65:E74,A65:A74,"Varuna",B65:B74,"Yeni Satış")+SUMIFS(E80:E89,A80:A89,"Varuna",B80:B89,"Yeni Satış")+SUMIFS(E102:E111,A102:A111,"Varuna",B102:B111,"Yeni Satış")+SUMIFS(E117:E126,A117:A126,"Varuna",B117:B126,"Yeni Satış")+SUMIFS(E132:E133,A132:A133,"Varuna",B132:B133,"Yeni Satış")</f>
        <v>463.9375</v>
      </c>
      <c r="F145" s="295">
        <f>SUMIFS(F5:F13,A5:A13,"Varuna",B5:B13,"Yeni Satış")+SUMIFS(F19:F28,A19:A28,"Varuna",B19:B28,"Yeni Satış")+SUMIFS(F34:F45,A34:A45,"Varuna",B34:B45,"Yeni Satış")+SUMIFS(F51:F59,A51:A59,"Varuna",B51:B59,"Yeni Satış")+SUMIFS(F65:F74,A65:A74,"Varuna",B65:B74,"Yeni Satış")+SUMIFS(F80:F89,A80:A89,"Varuna",B80:B89,"Yeni Satış")+SUMIFS(F102:F111,A102:A111,"Varuna",B102:B111,"Yeni Satış")+SUMIFS(F117:F126,A117:A126,"Varuna",B117:B126,"Yeni Satış")+SUMIFS(F132:F133,A132:A133,"Varuna",B132:B133,"Yeni Satış")</f>
        <v>453.23124999999999</v>
      </c>
      <c r="G145" s="295">
        <f>SUMIFS(G5:G13,A5:A13,"Varuna",B5:B13,"Yeni Satış")+SUMIFS(G19:G28,A19:A28,"Varuna",B19:B28,"Yeni Satış")+SUMIFS(G34:G45,A34:A45,"Varuna",B34:B45,"Yeni Satış")+SUMIFS(G51:G59,A51:A59,"Varuna",B51:B59,"Yeni Satış")+SUMIFS(G65:G74,A65:A74,"Varuna",B65:B74,"Yeni Satış")+SUMIFS(G80:G89,A80:A89,"Varuna",B80:B89,"Yeni Satış")+SUMIFS(G102:G111,A102:A111,"Varuna",B102:B111,"Yeni Satış")+SUMIFS(G117:G126,A117:A126,"Varuna",B117:B126,"Yeni Satış")+SUMIFS(G132:G133,A132:A133,"Varuna",B132:B133,"Yeni Satış")</f>
        <v>453.23124999999999</v>
      </c>
      <c r="H145" s="295">
        <f>SUMIFS(H5:H13,A5:A13,"Varuna",B5:B13,"Yeni Satış")+SUMIFS(H19:H28,A19:A28,"Varuna",B19:B28,"Yeni Satış")+SUMIFS(H34:H45,A34:A45,"Varuna",B34:B45,"Yeni Satış")+SUMIFS(H51:H59,A51:A59,"Varuna",B51:B59,"Yeni Satış")+SUMIFS(H65:H74,A65:A74,"Varuna",B65:B74,"Yeni Satış")+SUMIFS(H80:H89,A80:A89,"Varuna",B80:B89,"Yeni Satış")+SUMIFS(H102:H111,A102:A111,"Varuna",B102:B111,"Yeni Satış")+SUMIFS(H117:H126,A117:A126,"Varuna",B117:B126,"Yeni Satış")+SUMIFS(H132:H133,A132:A133,"Varuna",B132:B133,"Yeni Satış")</f>
        <v>513.9</v>
      </c>
      <c r="I145" s="295">
        <f>SUMIFS(I5:I13,A5:A13,"Varuna",B5:B13,"Yeni Satış")+SUMIFS(I19:I28,A19:A28,"Varuna",B19:B28,"Yeni Satış")+SUMIFS(I34:I45,A34:A45,"Varuna",B34:B45,"Yeni Satış")+SUMIFS(I51:I59,A51:A59,"Varuna",B51:B59,"Yeni Satış")+SUMIFS(I65:I74,A65:A74,"Varuna",B65:B74,"Yeni Satış")+SUMIFS(I80:I89,A80:A89,"Varuna",B80:B89,"Yeni Satış")+SUMIFS(I102:I111,A102:A111,"Varuna",B102:B111,"Yeni Satış")+SUMIFS(I117:I126,A117:A126,"Varuna",B117:B126,"Yeni Satış")+SUMIFS(I132:I133,A132:A133,"Varuna",B132:B133,"Yeni Satış")</f>
        <v>428.25</v>
      </c>
      <c r="J145" s="295">
        <f>SUMIFS(J5:J13,A5:A13,"Varuna",B5:B13,"Yeni Satış")+SUMIFS(J19:J28,A19:A28,"Varuna",B19:B28,"Yeni Satış")+SUMIFS(J34:J45,A34:A45,"Varuna",B34:B45,"Yeni Satış")+SUMIFS(J51:J59,A51:A59,"Varuna",B51:B59,"Yeni Satış")+SUMIFS(J65:J74,A65:A74,"Varuna",B65:B74,"Yeni Satış")+SUMIFS(J80:J89,A80:A89,"Varuna",B80:B89,"Yeni Satış")+SUMIFS(J102:J111,A102:A111,"Varuna",B102:B111,"Yeni Satış")+SUMIFS(J117:J126,A117:A126,"Varuna",B117:B126,"Yeni Satış")+SUMIFS(J132:J133,A132:A133,"Varuna",B132:B133,"Yeni Satış")</f>
        <v>431.81875000000002</v>
      </c>
      <c r="K145" s="295">
        <f>SUMIFS(K5:K13,A5:A13,"Varuna",B5:B13,"Yeni Satış")+SUMIFS(K19:K28,A19:A28,"Varuna",B19:B28,"Yeni Satış")+SUMIFS(K34:K45,A34:A45,"Varuna",B34:B45,"Yeni Satış")+SUMIFS(K51:K59,A51:A59,"Varuna",B51:B59,"Yeni Satış")+SUMIFS(K65:K74,A65:A74,"Varuna",B65:B74,"Yeni Satış")+SUMIFS(K80:K89,A80:A89,"Varuna",B80:B89,"Yeni Satış")+SUMIFS(K102:K111,A102:A111,"Varuna",B102:B111,"Yeni Satış")+SUMIFS(K117:K126,A117:A126,"Varuna",B117:B126,"Yeni Satış")+SUMIFS(K132:K133,A132:A133,"Varuna",B132:B133,"Yeni Satış")</f>
        <v>456.8</v>
      </c>
      <c r="L145" s="295">
        <f>SUMIFS(L5:L13,A5:A13,"Varuna",B5:B13,"Yeni Satış")+SUMIFS(L19:L28,A19:A28,"Varuna",B19:B28,"Yeni Satış")+SUMIFS(L34:L45,A34:A45,"Varuna",B34:B45,"Yeni Satış")+SUMIFS(L51:L59,A51:A59,"Varuna",B51:B59,"Yeni Satış")+SUMIFS(L65:L74,A65:A74,"Varuna",B65:B74,"Yeni Satış")+SUMIFS(L80:L89,A80:A89,"Varuna",B80:B89,"Yeni Satış")+SUMIFS(L102:L111,A102:A111,"Varuna",B102:B111,"Yeni Satış")+SUMIFS(L117:L126,A117:A126,"Varuna",B117:B126,"Yeni Satış")+SUMIFS(L132:L133,A132:A133,"Varuna",B132:B133,"Yeni Satış")</f>
        <v>535.31249999999989</v>
      </c>
      <c r="M145" s="295">
        <f>SUMIFS(M5:M13,A5:A13,"Varuna",B5:B13,"Yeni Satış")+SUMIFS(M19:M28,A19:A28,"Varuna",B19:B28,"Yeni Satış")+SUMIFS(M34:M45,A34:A45,"Varuna",B34:B45,"Yeni Satış")+SUMIFS(M51:M59,A51:A59,"Varuna",B51:B59,"Yeni Satış")+SUMIFS(M65:M74,A65:A74,"Varuna",B65:B74,"Yeni Satış")+SUMIFS(M80:M89,A80:A89,"Varuna",B80:B89,"Yeni Satış")+SUMIFS(M102:M111,A102:A111,"Varuna",B102:B111,"Yeni Satış")+SUMIFS(M117:M126,A117:A126,"Varuna",B117:B126,"Yeni Satış")+SUMIFS(M132:M133,A132:A133,"Varuna",B132:B133,"Yeni Satış")</f>
        <v>542.44999999999993</v>
      </c>
      <c r="N145" s="295">
        <f>SUMIFS(N5:N13,A5:A13,"Varuna",B5:B13,"Yeni Satış")+SUMIFS(N19:N28,A19:A28,"Varuna",B19:B28,"Yeni Satış")+SUMIFS(N34:N45,A34:A45,"Varuna",B34:B45,"Yeni Satış")+SUMIFS(N51:N59,A51:A59,"Varuna",B51:B59,"Yeni Satış")+SUMIFS(N65:N74,A65:A74,"Varuna",B65:B74,"Yeni Satış")+SUMIFS(N80:N89,A80:A89,"Varuna",B80:B89,"Yeni Satış")+SUMIFS(N102:N111,A102:A111,"Varuna",B102:B111,"Yeni Satış")+SUMIFS(N117:N126,A117:A126,"Varuna",B117:B126,"Yeni Satış")+SUMIFS(N132:N133,A132:A133,"Varuna",B132:B133,"Yeni Satış")</f>
        <v>617.39374999999995</v>
      </c>
      <c r="O145" s="299">
        <f t="shared" si="176"/>
        <v>5710</v>
      </c>
      <c r="Q145" s="277" t="str">
        <f t="shared" si="175"/>
        <v>Varuna</v>
      </c>
      <c r="R145" s="278" t="str">
        <f t="shared" si="177"/>
        <v>Yeni Satış</v>
      </c>
      <c r="S145" s="279">
        <f t="shared" si="178"/>
        <v>1277.6125000000002</v>
      </c>
      <c r="T145" s="279">
        <f t="shared" si="179"/>
        <v>1420.3625</v>
      </c>
      <c r="U145" s="279">
        <f t="shared" si="180"/>
        <v>1316.8687500000001</v>
      </c>
      <c r="V145" s="279">
        <f t="shared" si="181"/>
        <v>1695.1562499999998</v>
      </c>
      <c r="W145" s="279">
        <f t="shared" si="182"/>
        <v>5710</v>
      </c>
    </row>
    <row r="146" spans="1:23" ht="16" hidden="1" customHeight="1" outlineLevel="1" x14ac:dyDescent="0.2">
      <c r="A146" s="293" t="s">
        <v>32</v>
      </c>
      <c r="B146" s="294" t="s">
        <v>28</v>
      </c>
      <c r="C146" s="295">
        <f>C98</f>
        <v>272.60250000000002</v>
      </c>
      <c r="D146" s="295">
        <f t="shared" ref="D146:N146" si="183">D98</f>
        <v>272.60250000000002</v>
      </c>
      <c r="E146" s="295">
        <f t="shared" si="183"/>
        <v>310.86250000000001</v>
      </c>
      <c r="F146" s="295">
        <f t="shared" si="183"/>
        <v>303.68875000000003</v>
      </c>
      <c r="G146" s="295">
        <f t="shared" si="183"/>
        <v>303.68875000000003</v>
      </c>
      <c r="H146" s="295">
        <f t="shared" si="183"/>
        <v>344.33999999999992</v>
      </c>
      <c r="I146" s="295">
        <f t="shared" si="183"/>
        <v>286.95</v>
      </c>
      <c r="J146" s="295">
        <f t="shared" si="183"/>
        <v>289.34125</v>
      </c>
      <c r="K146" s="295">
        <f t="shared" si="183"/>
        <v>306.08</v>
      </c>
      <c r="L146" s="295">
        <f t="shared" si="183"/>
        <v>358.68749999999994</v>
      </c>
      <c r="M146" s="295">
        <f t="shared" si="183"/>
        <v>363.46999999999997</v>
      </c>
      <c r="N146" s="295">
        <f t="shared" si="183"/>
        <v>413.68624999999997</v>
      </c>
      <c r="O146" s="299">
        <f t="shared" si="176"/>
        <v>3826</v>
      </c>
      <c r="Q146" s="277" t="str">
        <f t="shared" si="175"/>
        <v>Varuna</v>
      </c>
      <c r="R146" s="278" t="str">
        <f t="shared" si="177"/>
        <v>Yenileme</v>
      </c>
      <c r="S146" s="279">
        <f t="shared" si="178"/>
        <v>856.06750000000011</v>
      </c>
      <c r="T146" s="279">
        <f t="shared" si="179"/>
        <v>951.71749999999997</v>
      </c>
      <c r="U146" s="279">
        <f t="shared" si="180"/>
        <v>882.37124999999992</v>
      </c>
      <c r="V146" s="279">
        <f t="shared" si="181"/>
        <v>1135.84375</v>
      </c>
      <c r="W146" s="279">
        <f t="shared" ref="W146" si="184">SUM(S146:V146)</f>
        <v>3826</v>
      </c>
    </row>
    <row r="147" spans="1:23" ht="16" hidden="1" customHeight="1" outlineLevel="1" x14ac:dyDescent="0.2">
      <c r="A147" s="293" t="s">
        <v>34</v>
      </c>
      <c r="B147" s="294" t="s">
        <v>26</v>
      </c>
      <c r="C147" s="295">
        <f>SUMIFS(C5:C13,A5:A13,"Hosting",B5:B13,"Yeni Satış")+SUMIFS(C19:C28,A19:A28,"Hosting",B19:B28,"Yeni Satış")+SUMIFS(C34:C45,A34:A45,"Hosting",B34:B45,"Yeni Satış")+SUMIFS(C51:C59,A51:A59,"Hosting",B51:B59,"Yeni Satış")+SUMIFS(C65:C74,A65:A74,"Hosting",B65:B74,"Yeni Satış")+SUMIFS(C80:C89,A80:A89,"Hosting",B80:B89,"Yeni Satış")+SUMIFS(C102:C111,A102:A111,"Hosting",B102:B111,"Yeni Satış")+SUMIFS(C117:C126,A117:A126,"Hosting",B117:B126,"Yeni Satış")+SUMIFS(C132:C133,A132:A133,"Hosting",B132:B133,"Yeni Satış")</f>
        <v>541.28625000000011</v>
      </c>
      <c r="D147" s="295">
        <f>SUMIFS(D5:D13,A5:A13,"Hosting",B5:B13,"Yeni Satış")+SUMIFS(D19:D28,A19:A28,"Hosting",B19:B28,"Yeni Satış")+SUMIFS(D34:D45,A34:A45,"Hosting",B34:B45,"Yeni Satış")+SUMIFS(D51:D59,A51:A59,"Hosting",B51:B59,"Yeni Satış")+SUMIFS(D65:D74,A65:A74,"Hosting",B65:B74,"Yeni Satış")+SUMIFS(D80:D89,A80:A89,"Hosting",B80:B89,"Yeni Satış")+SUMIFS(D102:D111,A102:A111,"Hosting",B102:B111,"Yeni Satış")+SUMIFS(D117:D126,A117:A126,"Hosting",B117:B126,"Yeni Satış")+SUMIFS(D132:D133,A132:A133,"Hosting",B132:B133,"Yeni Satış")</f>
        <v>541.28625000000011</v>
      </c>
      <c r="E147" s="295">
        <f>SUMIFS(E5:E13,A5:A13,"Hosting",B5:B13,"Yeni Satış")+SUMIFS(E19:E28,A19:A28,"Hosting",B19:B28,"Yeni Satış")+SUMIFS(E34:E45,A34:A45,"Hosting",B34:B45,"Yeni Satış")+SUMIFS(E51:E59,A51:A59,"Hosting",B51:B59,"Yeni Satış")+SUMIFS(E65:E74,A65:A74,"Hosting",B65:B74,"Yeni Satış")+SUMIFS(E80:E89,A80:A89,"Hosting",B80:B89,"Yeni Satış")+SUMIFS(E102:E111,A102:A111,"Hosting",B102:B111,"Yeni Satış")+SUMIFS(E117:E126,A117:A126,"Hosting",B117:B126,"Yeni Satış")+SUMIFS(E132:E133,A132:A133,"Hosting",B132:B133,"Yeni Satış")</f>
        <v>617.25625000000002</v>
      </c>
      <c r="F147" s="295">
        <f>SUMIFS(F5:F13,A5:A13,"Hosting",B5:B13,"Yeni Satış")+SUMIFS(F19:F28,A19:A28,"Hosting",B19:B28,"Yeni Satış")+SUMIFS(F34:F45,A34:A45,"Hosting",B34:B45,"Yeni Satış")+SUMIFS(F51:F59,A51:A59,"Hosting",B51:B59,"Yeni Satış")+SUMIFS(F65:F74,A65:A74,"Hosting",B65:B74,"Yeni Satış")+SUMIFS(F80:F89,A80:A89,"Hosting",B80:B89,"Yeni Satış")+SUMIFS(F102:F111,A102:A111,"Hosting",B102:B111,"Yeni Satış")+SUMIFS(F117:F126,A117:A126,"Hosting",B117:B126,"Yeni Satış")+SUMIFS(F132:F133,A132:A133,"Hosting",B132:B133,"Yeni Satış")</f>
        <v>603.01187500000003</v>
      </c>
      <c r="G147" s="295">
        <f>SUMIFS(G5:G13,A5:A13,"Hosting",B5:B13,"Yeni Satış")+SUMIFS(G19:G28,A19:A28,"Hosting",B19:B28,"Yeni Satış")+SUMIFS(G34:G45,A34:A45,"Hosting",B34:B45,"Yeni Satış")+SUMIFS(G51:G59,A51:A59,"Hosting",B51:B59,"Yeni Satış")+SUMIFS(G65:G74,A65:A74,"Hosting",B65:B74,"Yeni Satış")+SUMIFS(G80:G89,A80:A89,"Hosting",B80:B89,"Yeni Satış")+SUMIFS(G102:G111,A102:A111,"Hosting",B102:B111,"Yeni Satış")+SUMIFS(G117:G126,A117:A126,"Hosting",B117:B126,"Yeni Satış")+SUMIFS(G132:G133,A132:A133,"Hosting",B132:B133,"Yeni Satış")</f>
        <v>603.01187500000003</v>
      </c>
      <c r="H147" s="295">
        <f>SUMIFS(H5:H13,A5:A13,"Hosting",B5:B13,"Yeni Satış")+SUMIFS(H19:H28,A19:A28,"Hosting",B19:B28,"Yeni Satış")+SUMIFS(H34:H45,A34:A45,"Hosting",B34:B45,"Yeni Satış")+SUMIFS(H51:H59,A51:A59,"Hosting",B51:B59,"Yeni Satış")+SUMIFS(H65:H74,A65:A74,"Hosting",B65:B74,"Yeni Satış")+SUMIFS(H80:H89,A80:A89,"Hosting",B80:B89,"Yeni Satış")+SUMIFS(H102:H111,A102:A111,"Hosting",B102:B111,"Yeni Satış")+SUMIFS(H117:H126,A117:A126,"Hosting",B117:B126,"Yeni Satış")+SUMIFS(H132:H133,A132:A133,"Hosting",B132:B133,"Yeni Satış")</f>
        <v>683.7299999999999</v>
      </c>
      <c r="I147" s="295">
        <f>SUMIFS(I5:I13,A5:A13,"Hosting",B5:B13,"Yeni Satış")+SUMIFS(I19:I28,A19:A28,"Hosting",B19:B28,"Yeni Satış")+SUMIFS(I34:I45,A34:A45,"Hosting",B34:B45,"Yeni Satış")+SUMIFS(I51:I59,A51:A59,"Hosting",B51:B59,"Yeni Satış")+SUMIFS(I65:I74,A65:A74,"Hosting",B65:B74,"Yeni Satış")+SUMIFS(I80:I89,A80:A89,"Hosting",B80:B89,"Yeni Satış")+SUMIFS(I102:I111,A102:A111,"Hosting",B102:B111,"Yeni Satış")+SUMIFS(I117:I126,A117:A126,"Hosting",B117:B126,"Yeni Satış")+SUMIFS(I132:I133,A132:A133,"Hosting",B132:B133,"Yeni Satış")</f>
        <v>569.77499999999998</v>
      </c>
      <c r="J147" s="295">
        <f>SUMIFS(J5:J13,A5:A13,"Hosting",B5:B13,"Yeni Satış")+SUMIFS(J19:J28,A19:A28,"Hosting",B19:B28,"Yeni Satış")+SUMIFS(J34:J45,A34:A45,"Hosting",B34:B45,"Yeni Satış")+SUMIFS(J51:J59,A51:A59,"Hosting",B51:B59,"Yeni Satış")+SUMIFS(J65:J74,A65:A74,"Hosting",B65:B74,"Yeni Satış")+SUMIFS(J80:J89,A80:A89,"Hosting",B80:B89,"Yeni Satış")+SUMIFS(J102:J111,A102:A111,"Hosting",B102:B111,"Yeni Satış")+SUMIFS(J117:J126,A117:A126,"Hosting",B117:B126,"Yeni Satış")+SUMIFS(J132:J133,A132:A133,"Hosting",B132:B133,"Yeni Satış")</f>
        <v>574.52312499999994</v>
      </c>
      <c r="K147" s="295">
        <f>SUMIFS(K5:K13,A5:A13,"Hosting",B5:B13,"Yeni Satış")+SUMIFS(K19:K28,A19:A28,"Hosting",B19:B28,"Yeni Satış")+SUMIFS(K34:K45,A34:A45,"Hosting",B34:B45,"Yeni Satış")+SUMIFS(K51:K59,A51:A59,"Hosting",B51:B59,"Yeni Satış")+SUMIFS(K65:K74,A65:A74,"Hosting",B65:B74,"Yeni Satış")+SUMIFS(K80:K89,A80:A89,"Hosting",B80:B89,"Yeni Satış")+SUMIFS(K102:K111,A102:A111,"Hosting",B102:B111,"Yeni Satış")+SUMIFS(K117:K126,A117:A126,"Hosting",B117:B126,"Yeni Satış")+SUMIFS(K132:K133,A132:A133,"Hosting",B132:B133,"Yeni Satış")</f>
        <v>607.76</v>
      </c>
      <c r="L147" s="295">
        <f>SUMIFS(L5:L13,A5:A13,"Hosting",B5:B13,"Yeni Satış")+SUMIFS(L19:L28,A19:A28,"Hosting",B19:B28,"Yeni Satış")+SUMIFS(L34:L45,A34:A45,"Hosting",B34:B45,"Yeni Satış")+SUMIFS(L51:L59,A51:A59,"Hosting",B51:B59,"Yeni Satış")+SUMIFS(L65:L74,A65:A74,"Hosting",B65:B74,"Yeni Satış")+SUMIFS(L80:L89,A80:A89,"Hosting",B80:B89,"Yeni Satış")+SUMIFS(L102:L111,A102:A111,"Hosting",B102:B111,"Yeni Satış")+SUMIFS(L117:L126,A117:A126,"Hosting",B117:B126,"Yeni Satış")+SUMIFS(L132:L133,A132:A133,"Hosting",B132:B133,"Yeni Satış")</f>
        <v>712.21874999999989</v>
      </c>
      <c r="M147" s="295">
        <f>SUMIFS(M5:M13,A5:A13,"Hosting",B5:B13,"Yeni Satış")+SUMIFS(M19:M28,A19:A28,"Hosting",B19:B28,"Yeni Satış")+SUMIFS(M34:M45,A34:A45,"Hosting",B34:B45,"Yeni Satış")+SUMIFS(M51:M59,A51:A59,"Hosting",B51:B59,"Yeni Satış")+SUMIFS(M65:M74,A65:A74,"Hosting",B65:B74,"Yeni Satış")+SUMIFS(M80:M89,A80:A89,"Hosting",B80:B89,"Yeni Satış")+SUMIFS(M102:M111,A102:A111,"Hosting",B102:B111,"Yeni Satış")+SUMIFS(M117:M126,A117:A126,"Hosting",B117:B126,"Yeni Satış")+SUMIFS(M132:M133,A132:A133,"Hosting",B132:B133,"Yeni Satış")</f>
        <v>721.71499999999992</v>
      </c>
      <c r="N147" s="295">
        <f>SUMIFS(N5:N13,A5:A13,"Hosting",B5:B13,"Yeni Satış")+SUMIFS(N19:N28,A19:A28,"Hosting",B19:B28,"Yeni Satış")+SUMIFS(N34:N45,A34:A45,"Hosting",B34:B45,"Yeni Satış")+SUMIFS(N51:N59,A51:A59,"Hosting",B51:B59,"Yeni Satış")+SUMIFS(N65:N74,A65:A74,"Hosting",B65:B74,"Yeni Satış")+SUMIFS(N80:N89,A80:A89,"Hosting",B80:B89,"Yeni Satış")+SUMIFS(N102:N111,A102:A111,"Hosting",B102:B111,"Yeni Satış")+SUMIFS(N117:N126,A117:A126,"Hosting",B117:B126,"Yeni Satış")+SUMIFS(N132:N133,A132:A133,"Hosting",B132:B133,"Yeni Satış")</f>
        <v>821.42562499999997</v>
      </c>
      <c r="O147" s="299">
        <f t="shared" si="176"/>
        <v>7597</v>
      </c>
      <c r="Q147" s="277" t="str">
        <f t="shared" si="175"/>
        <v>Hosting</v>
      </c>
      <c r="R147" s="278" t="str">
        <f t="shared" si="177"/>
        <v>Yeni Satış</v>
      </c>
      <c r="S147" s="279">
        <f t="shared" si="178"/>
        <v>1699.8287500000001</v>
      </c>
      <c r="T147" s="279">
        <f t="shared" si="179"/>
        <v>1889.7537499999999</v>
      </c>
      <c r="U147" s="279">
        <f t="shared" si="180"/>
        <v>1752.0581249999998</v>
      </c>
      <c r="V147" s="279">
        <f t="shared" si="181"/>
        <v>2255.3593749999995</v>
      </c>
      <c r="W147" s="279">
        <f t="shared" si="182"/>
        <v>7597</v>
      </c>
    </row>
    <row r="148" spans="1:23" ht="16" hidden="1" customHeight="1" outlineLevel="1" x14ac:dyDescent="0.2">
      <c r="A148" s="293" t="s">
        <v>34</v>
      </c>
      <c r="B148" s="294" t="s">
        <v>28</v>
      </c>
      <c r="C148" s="295">
        <f>SUMIFS(C5:C13,A5:A13,"Hosting",B5:B13,"Yenileme")+SUMIFS(C19:C28,A19:A28,"Hosting",B19:B28,"Yenileme")+SUMIFS(C34:C45,A34:A45,"Hosting",B34:B45,"Yenileme")+SUMIFS(C51:C59,A51:A59,"Hosting",B51:B59,"Yenileme")+SUMIFS(C65:C74,A65:A74,"Hosting",B65:B74,"Yenileme")+SUMIFS(C80:C89,A80:A89,"Hosting",B80:B89,"Yenileme")+SUMIFS(C102:C111,A102:A111,"Hosting",B102:B111,"Yenileme")+SUMIFS(C117:C126,A117:A126,"Hosting",B117:B126,"Yenileme")+SUMIFS(C132:C133,A132:A133,"Hosting",B132:B133,"Yenileme")</f>
        <v>4586.6894662499999</v>
      </c>
      <c r="D148" s="295">
        <f>SUMIFS(D5:D13,A5:A13,"Hosting",B5:B13,"Yenileme")+SUMIFS(D19:D28,A19:A28,"Hosting",B19:B28,"Yenileme")+SUMIFS(D34:D45,A34:A45,"Hosting",B34:B45,"Yenileme")+SUMIFS(D51:D59,A51:A59,"Hosting",B51:B59,"Yenileme")+SUMIFS(D65:D74,A65:A74,"Hosting",B65:B74,"Yenileme")+SUMIFS(D80:D89,A80:A89,"Hosting",B80:B89,"Yenileme")+SUMIFS(D102:D111,A102:A111,"Hosting",B102:B111,"Yenileme")+SUMIFS(D117:D126,A117:A126,"Hosting",B117:B126,"Yenileme")+SUMIFS(D132:D133,A132:A133,"Hosting",B132:B133,"Yenileme")</f>
        <v>4586.6894662499999</v>
      </c>
      <c r="E148" s="295">
        <f>SUMIFS(E5:E13,A5:A13,"Hosting",B5:B13,"Yenileme")+SUMIFS(E19:E28,A19:A28,"Hosting",B19:B28,"Yenileme")+SUMIFS(E34:E45,A34:A45,"Hosting",B34:B45,"Yenileme")+SUMIFS(E51:E59,A51:A59,"Hosting",B51:B59,"Yenileme")+SUMIFS(E65:E74,A65:A74,"Hosting",B65:B74,"Yenileme")+SUMIFS(E80:E89,A80:A89,"Hosting",B80:B89,"Yenileme")+SUMIFS(E102:E111,A102:A111,"Hosting",B102:B111,"Yenileme")+SUMIFS(E117:E126,A117:A126,"Hosting",B117:B126,"Yenileme")+SUMIFS(E132:E133,A132:A133,"Hosting",B132:B133,"Yenileme")</f>
        <v>5230.43535625</v>
      </c>
      <c r="F148" s="295">
        <f>SUMIFS(F5:F13,A5:A13,"Hosting",B5:B13,"Yenileme")+SUMIFS(F19:F28,A19:A28,"Hosting",B19:B28,"Yenileme")+SUMIFS(F34:F45,A34:A45,"Hosting",B34:B45,"Yenileme")+SUMIFS(F51:F59,A51:A59,"Hosting",B51:B59,"Yenileme")+SUMIFS(F65:F74,A65:A74,"Hosting",B65:B74,"Yenileme")+SUMIFS(F80:F89,A80:A89,"Hosting",B80:B89,"Yenileme")+SUMIFS(F102:F111,A102:A111,"Hosting",B102:B111,"Yenileme")+SUMIFS(F117:F126,A117:A126,"Hosting",B117:B126,"Yenileme")+SUMIFS(F132:F133,A132:A133,"Hosting",B132:B133,"Yenileme")</f>
        <v>5109.7330018749999</v>
      </c>
      <c r="G148" s="295">
        <f>SUMIFS(G5:G13,A5:A13,"Hosting",B5:B13,"Yenileme")+SUMIFS(G19:G28,A19:A28,"Hosting",B19:B28,"Yenileme")+SUMIFS(G34:G45,A34:A45,"Hosting",B34:B45,"Yenileme")+SUMIFS(G51:G59,A51:A59,"Hosting",B51:B59,"Yenileme")+SUMIFS(G65:G74,A65:A74,"Hosting",B65:B74,"Yenileme")+SUMIFS(G80:G89,A80:A89,"Hosting",B80:B89,"Yenileme")+SUMIFS(G102:G111,A102:A111,"Hosting",B102:B111,"Yenileme")+SUMIFS(G117:G126,A117:A126,"Hosting",B117:B126,"Yenileme")+SUMIFS(G132:G133,A132:A133,"Hosting",B132:B133,"Yenileme")</f>
        <v>5109.7330018749999</v>
      </c>
      <c r="H148" s="295">
        <f>SUMIFS(H5:H13,A5:A13,"Hosting",B5:B13,"Yenileme")+SUMIFS(H19:H28,A19:A28,"Hosting",B19:B28,"Yenileme")+SUMIFS(H34:H45,A34:A45,"Hosting",B34:B45,"Yenileme")+SUMIFS(H51:H59,A51:A59,"Hosting",B51:B59,"Yenileme")+SUMIFS(H65:H74,A65:A74,"Hosting",B65:B74,"Yenileme")+SUMIFS(H80:H89,A80:A89,"Hosting",B80:B89,"Yenileme")+SUMIFS(H102:H111,A102:A111,"Hosting",B102:B111,"Yenileme")+SUMIFS(H117:H126,A117:A126,"Hosting",B117:B126,"Yenileme")+SUMIFS(H132:H133,A132:A133,"Hosting",B132:B133,"Yenileme")</f>
        <v>5793.7130099999986</v>
      </c>
      <c r="I148" s="295">
        <f>SUMIFS(I5:I13,A5:A13,"Hosting",B5:B13,"Yenileme")+SUMIFS(I19:I28,A19:A28,"Hosting",B19:B28,"Yenileme")+SUMIFS(I34:I45,A34:A45,"Hosting",B34:B45,"Yenileme")+SUMIFS(I51:I59,A51:A59,"Hosting",B51:B59,"Yenileme")+SUMIFS(I65:I74,A65:A74,"Hosting",B65:B74,"Yenileme")+SUMIFS(I80:I89,A80:A89,"Hosting",B80:B89,"Yenileme")+SUMIFS(I102:I111,A102:A111,"Hosting",B102:B111,"Yenileme")+SUMIFS(I117:I126,A117:A126,"Hosting",B117:B126,"Yenileme")+SUMIFS(I132:I133,A132:A133,"Hosting",B132:B133,"Yenileme")</f>
        <v>4828.0941750000002</v>
      </c>
      <c r="J148" s="295">
        <f>SUMIFS(J5:J13,A5:A13,"Hosting",B5:B13,"Yenileme")+SUMIFS(J19:J28,A19:A28,"Hosting",B19:B28,"Yenileme")+SUMIFS(J34:J45,A34:A45,"Hosting",B34:B45,"Yenileme")+SUMIFS(J51:J59,A51:A59,"Hosting",B51:B59,"Yenileme")+SUMIFS(J65:J74,A65:A74,"Hosting",B65:B74,"Yenileme")+SUMIFS(J80:J89,A80:A89,"Hosting",B80:B89,"Yenileme")+SUMIFS(J102:J111,A102:A111,"Hosting",B102:B111,"Yenileme")+SUMIFS(J117:J126,A117:A126,"Hosting",B117:B126,"Yenileme")+SUMIFS(J132:J133,A132:A133,"Hosting",B132:B133,"Yenileme")</f>
        <v>4868.3282931249996</v>
      </c>
      <c r="K148" s="295">
        <f>SUMIFS(K5:K13,A5:A13,"Hosting",B5:B13,"Yenileme")+SUMIFS(K19:K28,A19:A28,"Hosting",B19:B28,"Yenileme")+SUMIFS(K34:K45,A34:A45,"Hosting",B34:B45,"Yenileme")+SUMIFS(K51:K59,A51:A59,"Hosting",B51:B59,"Yenileme")+SUMIFS(K65:K74,A65:A74,"Hosting",B65:B74,"Yenileme")+SUMIFS(K80:K89,A80:A89,"Hosting",B80:B89,"Yenileme")+SUMIFS(K102:K111,A102:A111,"Hosting",B102:B111,"Yenileme")+SUMIFS(K117:K126,A117:A126,"Hosting",B117:B126,"Yenileme")+SUMIFS(K132:K133,A132:A133,"Hosting",B132:B133,"Yenileme")</f>
        <v>5149.9671199999993</v>
      </c>
      <c r="L148" s="295">
        <f>SUMIFS(L5:L13,A5:A13,"Hosting",B5:B13,"Yenileme")+SUMIFS(L19:L28,A19:A28,"Hosting",B19:B28,"Yenileme")+SUMIFS(L34:L45,A34:A45,"Hosting",B34:B45,"Yenileme")+SUMIFS(L51:L59,A51:A59,"Hosting",B51:B59,"Yenileme")+SUMIFS(L65:L74,A65:A74,"Hosting",B65:B74,"Yenileme")+SUMIFS(L80:L89,A80:A89,"Hosting",B80:B89,"Yenileme")+SUMIFS(L102:L111,A102:A111,"Hosting",B102:B111,"Yenileme")+SUMIFS(L117:L126,A117:A126,"Hosting",B117:B126,"Yenileme")+SUMIFS(L132:L133,A132:A133,"Hosting",B132:B133,"Yenileme")</f>
        <v>6035.1177187499989</v>
      </c>
      <c r="M148" s="295">
        <f>SUMIFS(M5:M13,A5:A13,"Hosting",B5:B13,"Yenileme")+SUMIFS(M19:M28,A19:A28,"Hosting",B19:B28,"Yenileme")+SUMIFS(M34:M45,A34:A45,"Hosting",B34:B45,"Yenileme")+SUMIFS(M51:M59,A51:A59,"Hosting",B51:B59,"Yenileme")+SUMIFS(M65:M74,A65:A74,"Hosting",B65:B74,"Yenileme")+SUMIFS(M80:M89,A80:A89,"Hosting",B80:B89,"Yenileme")+SUMIFS(M102:M111,A102:A111,"Hosting",B102:B111,"Yenileme")+SUMIFS(M117:M126,A117:A126,"Hosting",B117:B126,"Yenileme")+SUMIFS(M132:M133,A132:A133,"Hosting",B132:B133,"Yenileme")</f>
        <v>6115.5859549999996</v>
      </c>
      <c r="N148" s="295">
        <f>SUMIFS(N5:N13,A5:A13,"Hosting",B5:B13,"Yenileme")+SUMIFS(N19:N28,A19:A28,"Hosting",B19:B28,"Yenileme")+SUMIFS(N34:N45,A34:A45,"Hosting",B34:B45,"Yenileme")+SUMIFS(N51:N59,A51:A59,"Hosting",B51:B59,"Yenileme")+SUMIFS(N65:N74,A65:A74,"Hosting",B65:B74,"Yenileme")+SUMIFS(N80:N89,A80:A89,"Hosting",B80:B89,"Yenileme")+SUMIFS(N102:N111,A102:A111,"Hosting",B102:B111,"Yenileme")+SUMIFS(N117:N126,A117:A126,"Hosting",B117:B126,"Yenileme")+SUMIFS(N132:N133,A132:A133,"Hosting",B132:B133,"Yenileme")</f>
        <v>6960.5024356250005</v>
      </c>
      <c r="O148" s="299">
        <f t="shared" si="176"/>
        <v>64374.589</v>
      </c>
      <c r="Q148" s="277" t="str">
        <f t="shared" si="175"/>
        <v>Hosting</v>
      </c>
      <c r="R148" s="278" t="str">
        <f t="shared" si="177"/>
        <v>Yenileme</v>
      </c>
      <c r="S148" s="279">
        <f t="shared" si="178"/>
        <v>14403.81428875</v>
      </c>
      <c r="T148" s="279">
        <f t="shared" si="179"/>
        <v>16013.179013749999</v>
      </c>
      <c r="U148" s="279">
        <f t="shared" si="180"/>
        <v>14846.389588124999</v>
      </c>
      <c r="V148" s="279">
        <f t="shared" si="181"/>
        <v>19111.206109374998</v>
      </c>
      <c r="W148" s="279">
        <f t="shared" si="182"/>
        <v>64374.588999999993</v>
      </c>
    </row>
    <row r="149" spans="1:23" ht="16" hidden="1" customHeight="1" outlineLevel="1" x14ac:dyDescent="0.2">
      <c r="A149" s="293" t="s">
        <v>69</v>
      </c>
      <c r="B149" s="294" t="s">
        <v>26</v>
      </c>
      <c r="C149" s="295">
        <f>SUMIFS(C5:C13,A5:A13,"ServiceCore",B5:B13,"Yeni Satış")+SUMIFS(C19:C28,A19:A28,"ServiceCore",B19:B28,"Yeni Satış")+SUMIFS(C34:C45,A34:A45,"ServiceCore",B34:B45,"Yeni Satış")+SUMIFS(C51:C59,A51:A59,"ServiceCore",B51:B59,"Yeni Satış")+SUMIFS(C65:C74,A65:A74,"ServiceCore",B65:B74,"Yeni Satış")+SUMIFS(C80:C89,A80:A89,"ServiceCore",B80:B89,"Yeni Satış")+SUMIFS(C102:C111,A102:A111,"ServiceCore",B102:B111,"Yeni Satış")+SUMIFS(C117:C126,A117:A126,"ServiceCore",B117:B126,"Yeni Satış")+SUMIFS(C132:C133,A132:A133,"ServiceCore",B132:B133,"Yeni Satış")</f>
        <v>1798.8635700000004</v>
      </c>
      <c r="D149" s="295">
        <f>SUMIFS(D5:D13,A5:A13,"ServiceCore",B5:B13,"Yeni Satış")+SUMIFS(D19:D28,A19:A28,"ServiceCore",B19:B28,"Yeni Satış")+SUMIFS(D34:D45,A34:A45,"ServiceCore",B34:B45,"Yeni Satış")+SUMIFS(D51:D59,A51:A59,"ServiceCore",B51:B59,"Yeni Satış")+SUMIFS(D65:D74,A65:A74,"ServiceCore",B65:B74,"Yeni Satış")+SUMIFS(D80:D89,A80:A89,"ServiceCore",B80:B89,"Yeni Satış")+SUMIFS(D102:D111,A102:A111,"ServiceCore",B102:B111,"Yeni Satış")+SUMIFS(D117:D126,A117:A126,"ServiceCore",B117:B126,"Yeni Satış")+SUMIFS(D132:D133,A132:A133,"ServiceCore",B132:B133,"Yeni Satış")</f>
        <v>1798.8635700000004</v>
      </c>
      <c r="E149" s="295">
        <f>SUMIFS(E5:E13,A5:A13,"ServiceCore",B5:B13,"Yeni Satış")+SUMIFS(E19:E28,A19:A28,"ServiceCore",B19:B28,"Yeni Satış")+SUMIFS(E34:E45,A34:A45,"ServiceCore",B34:B45,"Yeni Satış")+SUMIFS(E51:E59,A51:A59,"ServiceCore",B51:B59,"Yeni Satış")+SUMIFS(E65:E74,A65:A74,"ServiceCore",B65:B74,"Yeni Satış")+SUMIFS(E80:E89,A80:A89,"ServiceCore",B80:B89,"Yeni Satış")+SUMIFS(E102:E111,A102:A111,"ServiceCore",B102:B111,"Yeni Satış")+SUMIFS(E117:E126,A117:A126,"ServiceCore",B117:B126,"Yeni Satış")+SUMIFS(E132:E133,A132:A133,"ServiceCore",B132:B133,"Yeni Satış")</f>
        <v>2051.3356500000004</v>
      </c>
      <c r="F149" s="295">
        <f>SUMIFS(F5:F13,A5:A13,"ServiceCore",B5:B13,"Yeni Satış")+SUMIFS(F19:F28,A19:A28,"ServiceCore",B19:B28,"Yeni Satış")+SUMIFS(F34:F45,A34:A45,"ServiceCore",B34:B45,"Yeni Satış")+SUMIFS(F51:F59,A51:A59,"ServiceCore",B51:B59,"Yeni Satış")+SUMIFS(F65:F74,A65:A74,"ServiceCore",B65:B74,"Yeni Satış")+SUMIFS(F80:F89,A80:A89,"ServiceCore",B80:B89,"Yeni Satış")+SUMIFS(F102:F111,A102:A111,"ServiceCore",B102:B111,"Yeni Satış")+SUMIFS(F117:F126,A117:A126,"ServiceCore",B117:B126,"Yeni Satış")+SUMIFS(F132:F133,A132:A133,"ServiceCore",B132:B133,"Yeni Satış")</f>
        <v>2003.9971350000003</v>
      </c>
      <c r="G149" s="295">
        <f>SUMIFS(G5:G13,A5:A13,"ServiceCore",B5:B13,"Yeni Satış")+SUMIFS(G19:G28,A19:A28,"ServiceCore",B19:B28,"Yeni Satış")+SUMIFS(G34:G45,A34:A45,"ServiceCore",B34:B45,"Yeni Satış")+SUMIFS(G51:G59,A51:A59,"ServiceCore",B51:B59,"Yeni Satış")+SUMIFS(G65:G74,A65:A74,"ServiceCore",B65:B74,"Yeni Satış")+SUMIFS(G80:G89,A80:A89,"ServiceCore",B80:B89,"Yeni Satış")+SUMIFS(G102:G111,A102:A111,"ServiceCore",B102:B111,"Yeni Satış")+SUMIFS(G117:G126,A117:A126,"ServiceCore",B117:B126,"Yeni Satış")+SUMIFS(G132:G133,A132:A133,"ServiceCore",B132:B133,"Yeni Satış")</f>
        <v>2003.9971350000003</v>
      </c>
      <c r="H149" s="295">
        <f>SUMIFS(H5:H13,A5:A13,"ServiceCore",B5:B13,"Yeni Satış")+SUMIFS(H19:H28,A19:A28,"ServiceCore",B19:B28,"Yeni Satış")+SUMIFS(H34:H45,A34:A45,"ServiceCore",B34:B45,"Yeni Satış")+SUMIFS(H51:H59,A51:A59,"ServiceCore",B51:B59,"Yeni Satış")+SUMIFS(H65:H74,A65:A74,"ServiceCore",B65:B74,"Yeni Satış")+SUMIFS(H80:H89,A80:A89,"ServiceCore",B80:B89,"Yeni Satış")+SUMIFS(H102:H111,A102:A111,"ServiceCore",B102:B111,"Yeni Satış")+SUMIFS(H117:H126,A117:A126,"ServiceCore",B117:B126,"Yeni Satış")+SUMIFS(H132:H133,A132:A133,"ServiceCore",B132:B133,"Yeni Satış")</f>
        <v>2272.2487199999996</v>
      </c>
      <c r="I149" s="295">
        <f>SUMIFS(I5:I13,A5:A13,"ServiceCore",B5:B13,"Yeni Satış")+SUMIFS(I19:I28,A19:A28,"ServiceCore",B19:B28,"Yeni Satış")+SUMIFS(I34:I45,A34:A45,"ServiceCore",B34:B45,"Yeni Satış")+SUMIFS(I51:I59,A51:A59,"ServiceCore",B51:B59,"Yeni Satış")+SUMIFS(I65:I74,A65:A74,"ServiceCore",B65:B74,"Yeni Satış")+SUMIFS(I80:I89,A80:A89,"ServiceCore",B80:B89,"Yeni Satış")+SUMIFS(I102:I111,A102:A111,"ServiceCore",B102:B111,"Yeni Satış")+SUMIFS(I117:I126,A117:A126,"ServiceCore",B117:B126,"Yeni Satış")+SUMIFS(I132:I133,A132:A133,"ServiceCore",B132:B133,"Yeni Satış")</f>
        <v>1893.5406</v>
      </c>
      <c r="J149" s="295">
        <f>SUMIFS(J5:J13,A5:A13,"ServiceCore",B5:B13,"Yeni Satış")+SUMIFS(J19:J28,A19:A28,"ServiceCore",B19:B28,"Yeni Satış")+SUMIFS(J34:J45,A34:A45,"ServiceCore",B34:B45,"Yeni Satış")+SUMIFS(J51:J59,A51:A59,"ServiceCore",B51:B59,"Yeni Satış")+SUMIFS(J65:J74,A65:A74,"ServiceCore",B65:B74,"Yeni Satış")+SUMIFS(J80:J89,A80:A89,"ServiceCore",B80:B89,"Yeni Satış")+SUMIFS(J102:J111,A102:A111,"ServiceCore",B102:B111,"Yeni Satış")+SUMIFS(J117:J126,A117:A126,"ServiceCore",B117:B126,"Yeni Satış")+SUMIFS(J132:J133,A132:A133,"ServiceCore",B132:B133,"Yeni Satış")</f>
        <v>1909.320105</v>
      </c>
      <c r="K149" s="295">
        <f>SUMIFS(K5:K13,A5:A13,"ServiceCore",B5:B13,"Yeni Satış")+SUMIFS(K19:K28,A19:A28,"ServiceCore",B19:B28,"Yeni Satış")+SUMIFS(K34:K45,A34:A45,"ServiceCore",B34:B45,"Yeni Satış")+SUMIFS(K51:K59,A51:A59,"ServiceCore",B51:B59,"Yeni Satış")+SUMIFS(K65:K74,A65:A74,"ServiceCore",B65:B74,"Yeni Satış")+SUMIFS(K80:K89,A80:A89,"ServiceCore",B80:B89,"Yeni Satış")+SUMIFS(K102:K111,A102:A111,"ServiceCore",B102:B111,"Yeni Satış")+SUMIFS(K117:K126,A117:A126,"ServiceCore",B117:B126,"Yeni Satış")+SUMIFS(K132:K133,A132:A133,"ServiceCore",B132:B133,"Yeni Satış")</f>
        <v>2019.7766400000003</v>
      </c>
      <c r="L149" s="295">
        <f>SUMIFS(L5:L13,A5:A13,"ServiceCore",B5:B13,"Yeni Satış")+SUMIFS(L19:L28,A19:A28,"ServiceCore",B19:B28,"Yeni Satış")+SUMIFS(L34:L45,A34:A45,"ServiceCore",B34:B45,"Yeni Satış")+SUMIFS(L51:L59,A51:A59,"ServiceCore",B51:B59,"Yeni Satış")+SUMIFS(L65:L74,A65:A74,"ServiceCore",B65:B74,"Yeni Satış")+SUMIFS(L80:L89,A80:A89,"ServiceCore",B80:B89,"Yeni Satış")+SUMIFS(L102:L111,A102:A111,"ServiceCore",B102:B111,"Yeni Satış")+SUMIFS(L117:L126,A117:A126,"ServiceCore",B117:B126,"Yeni Satış")+SUMIFS(L132:L133,A132:A133,"ServiceCore",B132:B133,"Yeni Satış")</f>
        <v>2366.9257499999999</v>
      </c>
      <c r="M149" s="295">
        <f>SUMIFS(M5:M13,A5:A13,"ServiceCore",B5:B13,"Yeni Satış")+SUMIFS(M19:M28,A19:A28,"ServiceCore",B19:B28,"Yeni Satış")+SUMIFS(M34:M45,A34:A45,"ServiceCore",B34:B45,"Yeni Satış")+SUMIFS(M51:M59,A51:A59,"ServiceCore",B51:B59,"Yeni Satış")+SUMIFS(M65:M74,A65:A74,"ServiceCore",B65:B74,"Yeni Satış")+SUMIFS(M80:M89,A80:A89,"ServiceCore",B80:B89,"Yeni Satış")+SUMIFS(M102:M111,A102:A111,"ServiceCore",B102:B111,"Yeni Satış")+SUMIFS(M117:M126,A117:A126,"ServiceCore",B117:B126,"Yeni Satış")+SUMIFS(M132:M133,A132:A133,"ServiceCore",B132:B133,"Yeni Satış")</f>
        <v>2398.4847599999998</v>
      </c>
      <c r="N149" s="295">
        <f>SUMIFS(N5:N13,A5:A13,"ServiceCore",B5:B13,"Yeni Satış")+SUMIFS(N19:N28,A19:A28,"ServiceCore",B19:B28,"Yeni Satış")+SUMIFS(N34:N45,A34:A45,"ServiceCore",B34:B45,"Yeni Satış")+SUMIFS(N51:N59,A51:A59,"ServiceCore",B51:B59,"Yeni Satış")+SUMIFS(N65:N74,A65:A74,"ServiceCore",B65:B74,"Yeni Satış")+SUMIFS(N80:N89,A80:A89,"ServiceCore",B80:B89,"Yeni Satış")+SUMIFS(N102:N111,A102:A111,"ServiceCore",B102:B111,"Yeni Satış")+SUMIFS(N117:N126,A117:A126,"ServiceCore",B117:B126,"Yeni Satış")+SUMIFS(N132:N133,A132:A133,"ServiceCore",B132:B133,"Yeni Satış")</f>
        <v>2729.8543650000001</v>
      </c>
      <c r="O149" s="299">
        <f t="shared" si="176"/>
        <v>25247.208000000002</v>
      </c>
      <c r="Q149" s="277" t="str">
        <f t="shared" si="175"/>
        <v>ServiceCore</v>
      </c>
      <c r="R149" s="278" t="str">
        <f t="shared" si="177"/>
        <v>Yeni Satış</v>
      </c>
      <c r="S149" s="279">
        <f t="shared" si="178"/>
        <v>5649.0627900000018</v>
      </c>
      <c r="T149" s="279">
        <f t="shared" si="179"/>
        <v>6280.2429900000006</v>
      </c>
      <c r="U149" s="279">
        <f t="shared" si="180"/>
        <v>5822.6373450000001</v>
      </c>
      <c r="V149" s="279">
        <f t="shared" si="181"/>
        <v>7495.2648749999998</v>
      </c>
      <c r="W149" s="279">
        <f t="shared" si="182"/>
        <v>25247.208000000002</v>
      </c>
    </row>
    <row r="150" spans="1:23" ht="16" hidden="1" customHeight="1" outlineLevel="1" x14ac:dyDescent="0.2">
      <c r="A150" s="293" t="s">
        <v>69</v>
      </c>
      <c r="B150" s="294" t="s">
        <v>28</v>
      </c>
      <c r="C150" s="295">
        <f>SUMIFS(C5:C13,A5:A13,"ServiceCore",B5:B13,"Yenileme")+SUMIFS(C19:C28,A19:A28,"ServiceCore",B19:B28,"Yenileme")+SUMIFS(C34:C45,A34:A45,"ServiceCore",B34:B45,"Yenileme")+SUMIFS(C51:C59,A51:A59,"ServiceCore",B51:B59,"Yenileme")+SUMIFS(C65:C74,A65:A74,"ServiceCore",B65:B74,"Yenileme")+SUMIFS(C80:C89,A80:A89,"ServiceCore",B80:B89,"Yenileme")+SUMIFS(C102:C111,A102:A111,"ServiceCore",B102:B111,"Yenileme")+SUMIFS(C117:C126,A117:A126,"ServiceCore",B117:B126,"Yenileme")+SUMIFS(C132:C133,A132:A133,"ServiceCore",B132:B133,"Yenileme")</f>
        <v>25.861742531249984</v>
      </c>
      <c r="D150" s="295">
        <f>SUMIFS(D5:D13,A5:A13,"ServiceCore",B5:B13,"Yenileme")+SUMIFS(D19:D28,A19:A28,"ServiceCore",B19:B28,"Yenileme")+SUMIFS(D34:D45,A34:A45,"ServiceCore",B34:B45,"Yenileme")+SUMIFS(D51:D59,A51:A59,"ServiceCore",B51:B59,"Yenileme")+SUMIFS(D65:D74,A65:A74,"ServiceCore",B65:B74,"Yenileme")+SUMIFS(D80:D89,A80:A89,"ServiceCore",B80:B89,"Yenileme")+SUMIFS(D102:D111,A102:A111,"ServiceCore",B102:B111,"Yenileme")+SUMIFS(D117:D126,A117:A126,"ServiceCore",B117:B126,"Yenileme")+SUMIFS(D132:D133,A132:A133,"ServiceCore",B132:B133,"Yenileme")</f>
        <v>25.861742531249984</v>
      </c>
      <c r="E150" s="295">
        <f>SUMIFS(E5:E13,A5:A13,"ServiceCore",B5:B13,"Yenileme")+SUMIFS(E19:E28,A19:A28,"ServiceCore",B19:B28,"Yenileme")+SUMIFS(E34:E45,A34:A45,"ServiceCore",B34:B45,"Yenileme")+SUMIFS(E51:E59,A51:A59,"ServiceCore",B51:B59,"Yenileme")+SUMIFS(E65:E74,A65:A74,"ServiceCore",B65:B74,"Yenileme")+SUMIFS(E80:E89,A80:A89,"ServiceCore",B80:B89,"Yenileme")+SUMIFS(E102:E111,A102:A111,"ServiceCore",B102:B111,"Yenileme")+SUMIFS(E117:E126,A117:A126,"ServiceCore",B117:B126,"Yenileme")+SUMIFS(E132:E133,A132:A133,"ServiceCore",B132:B133,"Yenileme")</f>
        <v>29.49146078124998</v>
      </c>
      <c r="F150" s="295">
        <f>SUMIFS(F5:F13,A5:A13,"ServiceCore",B5:B13,"Yenileme")+SUMIFS(F19:F28,A19:A28,"ServiceCore",B19:B28,"Yenileme")+SUMIFS(F34:F45,A34:A45,"ServiceCore",B34:B45,"Yenileme")+SUMIFS(F51:F59,A51:A59,"ServiceCore",B51:B59,"Yenileme")+SUMIFS(F65:F74,A65:A74,"ServiceCore",B65:B74,"Yenileme")+SUMIFS(F80:F89,A80:A89,"ServiceCore",B80:B89,"Yenileme")+SUMIFS(F102:F111,A102:A111,"ServiceCore",B102:B111,"Yenileme")+SUMIFS(F117:F126,A117:A126,"ServiceCore",B117:B126,"Yenileme")+SUMIFS(F132:F133,A132:A133,"ServiceCore",B132:B133,"Yenileme")</f>
        <v>28.810888609374981</v>
      </c>
      <c r="G150" s="295">
        <f>SUMIFS(G5:G13,A5:A13,"ServiceCore",B5:B13,"Yenileme")+SUMIFS(G19:G28,A19:A28,"ServiceCore",B19:B28,"Yenileme")+SUMIFS(G34:G45,A34:A45,"ServiceCore",B34:B45,"Yenileme")+SUMIFS(G51:G59,A51:A59,"ServiceCore",B51:B59,"Yenileme")+SUMIFS(G65:G74,A65:A74,"ServiceCore",B65:B74,"Yenileme")+SUMIFS(G80:G89,A80:A89,"ServiceCore",B80:B89,"Yenileme")+SUMIFS(G102:G111,A102:A111,"ServiceCore",B102:B111,"Yenileme")+SUMIFS(G117:G126,A117:A126,"ServiceCore",B117:B126,"Yenileme")+SUMIFS(G132:G133,A132:A133,"ServiceCore",B132:B133,"Yenileme")</f>
        <v>28.810888609374981</v>
      </c>
      <c r="H150" s="295">
        <f>SUMIFS(H5:H13,A5:A13,"ServiceCore",B5:B13,"Yenileme")+SUMIFS(H19:H28,A19:A28,"ServiceCore",B19:B28,"Yenileme")+SUMIFS(H34:H45,A34:A45,"ServiceCore",B34:B45,"Yenileme")+SUMIFS(H51:H59,A51:A59,"ServiceCore",B51:B59,"Yenileme")+SUMIFS(H65:H74,A65:A74,"ServiceCore",B65:B74,"Yenileme")+SUMIFS(H80:H89,A80:A89,"ServiceCore",B80:B89,"Yenileme")+SUMIFS(H102:H111,A102:A111,"ServiceCore",B102:B111,"Yenileme")+SUMIFS(H117:H126,A117:A126,"ServiceCore",B117:B126,"Yenileme")+SUMIFS(H132:H133,A132:A133,"ServiceCore",B132:B133,"Yenileme")</f>
        <v>32.667464249999973</v>
      </c>
      <c r="I150" s="295">
        <f>SUMIFS(I5:I13,A5:A13,"ServiceCore",B5:B13,"Yenileme")+SUMIFS(I19:I28,A19:A28,"ServiceCore",B19:B28,"Yenileme")+SUMIFS(I34:I45,A34:A45,"ServiceCore",B34:B45,"Yenileme")+SUMIFS(I51:I59,A51:A59,"ServiceCore",B51:B59,"Yenileme")+SUMIFS(I65:I74,A65:A74,"ServiceCore",B65:B74,"Yenileme")+SUMIFS(I80:I89,A80:A89,"ServiceCore",B80:B89,"Yenileme")+SUMIFS(I102:I111,A102:A111,"ServiceCore",B102:B111,"Yenileme")+SUMIFS(I117:I126,A117:A126,"ServiceCore",B117:B126,"Yenileme")+SUMIFS(I132:I133,A132:A133,"ServiceCore",B132:B133,"Yenileme")</f>
        <v>27.222886874999979</v>
      </c>
      <c r="J150" s="295">
        <f>SUMIFS(J5:J13,A5:A13,"ServiceCore",B5:B13,"Yenileme")+SUMIFS(J19:J28,A19:A28,"ServiceCore",B19:B28,"Yenileme")+SUMIFS(J34:J45,A34:A45,"ServiceCore",B34:B45,"Yenileme")+SUMIFS(J51:J59,A51:A59,"ServiceCore",B51:B59,"Yenileme")+SUMIFS(J65:J74,A65:A74,"ServiceCore",B65:B74,"Yenileme")+SUMIFS(J80:J89,A80:A89,"ServiceCore",B80:B89,"Yenileme")+SUMIFS(J102:J111,A102:A111,"ServiceCore",B102:B111,"Yenileme")+SUMIFS(J117:J126,A117:A126,"ServiceCore",B117:B126,"Yenileme")+SUMIFS(J132:J133,A132:A133,"ServiceCore",B132:B133,"Yenileme")</f>
        <v>27.449744265624979</v>
      </c>
      <c r="K150" s="295">
        <f>SUMIFS(K5:K13,A5:A13,"ServiceCore",B5:B13,"Yenileme")+SUMIFS(K19:K28,A19:A28,"ServiceCore",B19:B28,"Yenileme")+SUMIFS(K34:K45,A34:A45,"ServiceCore",B34:B45,"Yenileme")+SUMIFS(K51:K59,A51:A59,"ServiceCore",B51:B59,"Yenileme")+SUMIFS(K65:K74,A65:A74,"ServiceCore",B65:B74,"Yenileme")+SUMIFS(K80:K89,A80:A89,"ServiceCore",B80:B89,"Yenileme")+SUMIFS(K102:K111,A102:A111,"ServiceCore",B102:B111,"Yenileme")+SUMIFS(K117:K126,A117:A126,"ServiceCore",B117:B126,"Yenileme")+SUMIFS(K132:K133,A132:A133,"ServiceCore",B132:B133,"Yenileme")</f>
        <v>29.037745999999981</v>
      </c>
      <c r="L150" s="295">
        <f>SUMIFS(L5:L13,A5:A13,"ServiceCore",B5:B13,"Yenileme")+SUMIFS(L19:L28,A19:A28,"ServiceCore",B19:B28,"Yenileme")+SUMIFS(L34:L45,A34:A45,"ServiceCore",B34:B45,"Yenileme")+SUMIFS(L51:L59,A51:A59,"ServiceCore",B51:B59,"Yenileme")+SUMIFS(L65:L74,A65:A74,"ServiceCore",B65:B74,"Yenileme")+SUMIFS(L80:L89,A80:A89,"ServiceCore",B80:B89,"Yenileme")+SUMIFS(L102:L111,A102:A111,"ServiceCore",B102:B111,"Yenileme")+SUMIFS(L117:L126,A117:A126,"ServiceCore",B117:B126,"Yenileme")+SUMIFS(L132:L133,A132:A133,"ServiceCore",B132:B133,"Yenileme")</f>
        <v>34.028608593749972</v>
      </c>
      <c r="M150" s="295">
        <f>SUMIFS(M5:M13,A5:A13,"ServiceCore",B5:B13,"Yenileme")+SUMIFS(M19:M28,A19:A28,"ServiceCore",B19:B28,"Yenileme")+SUMIFS(M34:M45,A34:A45,"ServiceCore",B34:B45,"Yenileme")+SUMIFS(M51:M59,A51:A59,"ServiceCore",B51:B59,"Yenileme")+SUMIFS(M65:M74,A65:A74,"ServiceCore",B65:B74,"Yenileme")+SUMIFS(M80:M89,A80:A89,"ServiceCore",B80:B89,"Yenileme")+SUMIFS(M102:M111,A102:A111,"ServiceCore",B102:B111,"Yenileme")+SUMIFS(M117:M126,A117:A126,"ServiceCore",B117:B126,"Yenileme")+SUMIFS(M132:M133,A132:A133,"ServiceCore",B132:B133,"Yenileme")</f>
        <v>34.482323374999972</v>
      </c>
      <c r="N150" s="295">
        <f>SUMIFS(N5:N13,A5:A13,"ServiceCore",B5:B13,"Yenileme")+SUMIFS(N19:N28,A19:A28,"ServiceCore",B19:B28,"Yenileme")+SUMIFS(N34:N45,A34:A45,"ServiceCore",B34:B45,"Yenileme")+SUMIFS(N51:N59,A51:A59,"ServiceCore",B51:B59,"Yenileme")+SUMIFS(N65:N74,A65:A74,"ServiceCore",B65:B74,"Yenileme")+SUMIFS(N80:N89,A80:A89,"ServiceCore",B80:B89,"Yenileme")+SUMIFS(N102:N111,A102:A111,"ServiceCore",B102:B111,"Yenileme")+SUMIFS(N117:N126,A117:A126,"ServiceCore",B117:B126,"Yenileme")+SUMIFS(N132:N133,A132:A133,"ServiceCore",B132:B133,"Yenileme")</f>
        <v>39.246328578124974</v>
      </c>
      <c r="O150" s="299">
        <f t="shared" si="176"/>
        <v>362.97182499999974</v>
      </c>
      <c r="Q150" s="277" t="str">
        <f t="shared" si="175"/>
        <v>ServiceCore</v>
      </c>
      <c r="R150" s="278" t="str">
        <f t="shared" si="177"/>
        <v>Yenileme</v>
      </c>
      <c r="S150" s="279">
        <f t="shared" si="178"/>
        <v>81.214945843749945</v>
      </c>
      <c r="T150" s="279">
        <f t="shared" si="179"/>
        <v>90.289241468749935</v>
      </c>
      <c r="U150" s="279">
        <f t="shared" si="180"/>
        <v>83.710377140624942</v>
      </c>
      <c r="V150" s="279">
        <f t="shared" si="181"/>
        <v>107.75726054687492</v>
      </c>
      <c r="W150" s="279">
        <f t="shared" si="182"/>
        <v>362.97182499999974</v>
      </c>
    </row>
    <row r="151" spans="1:23" ht="16" hidden="1" customHeight="1" outlineLevel="1" x14ac:dyDescent="0.2">
      <c r="A151" s="293" t="s">
        <v>35</v>
      </c>
      <c r="B151" s="294" t="s">
        <v>26</v>
      </c>
      <c r="C151" s="295">
        <f>SUMIFS(C5:C13,A5:A13,"BFH",B5:B13,"Yeni Satış")+SUMIFS(C19:C28,A19:A28,"BFH",B19:B28,"Yeni Satış")+SUMIFS(C34:C45,A34:A45,"BFH",B34:B45,"Yeni Satış")+SUMIFS(C51:C59,A51:A59,"BFH",B51:B59,"Yeni Satış")+SUMIFS(C65:C74,A65:A74,"BFH",B65:B74,"Yeni Satış")+SUMIFS(C80:C89,A80:A89,"BFH",B80:B89,"Yeni Satış")+SUMIFS(C102:C111,A102:A111,"BFH",B102:B111,"Yeni Satış")+SUMIFS(C117:C126,A117:A126,"BFH",B117:B126,"Yeni Satış")+SUMIFS(C132:C133,A132:A133,"BFH",B132:B133,"Yeni Satış")</f>
        <v>1171.0650000000003</v>
      </c>
      <c r="D151" s="295">
        <f>SUMIFS(D5:D13,A5:A13,"BFH",B5:B13,"Yeni Satış")+SUMIFS(D19:D28,A19:A28,"BFH",B19:B28,"Yeni Satış")+SUMIFS(D34:D45,A34:A45,"BFH",B34:B45,"Yeni Satış")+SUMIFS(D51:D59,A51:A59,"BFH",B51:B59,"Yeni Satış")+SUMIFS(D65:D74,A65:A74,"BFH",B65:B74,"Yeni Satış")+SUMIFS(D80:D89,A80:A89,"BFH",B80:B89,"Yeni Satış")+SUMIFS(D102:D111,A102:A111,"BFH",B102:B111,"Yeni Satış")+SUMIFS(D117:D126,A117:A126,"BFH",B117:B126,"Yeni Satış")+SUMIFS(D132:D133,A132:A133,"BFH",B132:B133,"Yeni Satış")</f>
        <v>1171.0650000000003</v>
      </c>
      <c r="E151" s="295">
        <f>SUMIFS(E5:E13,A5:A13,"BFH",B5:B13,"Yeni Satış")+SUMIFS(E19:E28,A19:A28,"BFH",B19:B28,"Yeni Satış")+SUMIFS(E34:E45,A34:A45,"BFH",B34:B45,"Yeni Satış")+SUMIFS(E51:E59,A51:A59,"BFH",B51:B59,"Yeni Satış")+SUMIFS(E65:E74,A65:A74,"BFH",B65:B74,"Yeni Satış")+SUMIFS(E80:E89,A80:A89,"BFH",B80:B89,"Yeni Satış")+SUMIFS(E102:E111,A102:A111,"BFH",B102:B111,"Yeni Satış")+SUMIFS(E117:E126,A117:A126,"BFH",B117:B126,"Yeni Satış")+SUMIFS(E132:E133,A132:A133,"BFH",B132:B133,"Yeni Satış")</f>
        <v>1335.425</v>
      </c>
      <c r="F151" s="295">
        <f>SUMIFS(F5:F13,A5:A13,"BFH",B5:B13,"Yeni Satış")+SUMIFS(F19:F28,A19:A28,"BFH",B19:B28,"Yeni Satış")+SUMIFS(F34:F45,A34:A45,"BFH",B34:B45,"Yeni Satış")+SUMIFS(F51:F59,A51:A59,"BFH",B51:B59,"Yeni Satış")+SUMIFS(F65:F74,A65:A74,"BFH",B65:B74,"Yeni Satış")+SUMIFS(F80:F89,A80:A89,"BFH",B80:B89,"Yeni Satış")+SUMIFS(F102:F111,A102:A111,"BFH",B102:B111,"Yeni Satış")+SUMIFS(F117:F126,A117:A126,"BFH",B117:B126,"Yeni Satış")+SUMIFS(F132:F133,A132:A133,"BFH",B132:B133,"Yeni Satış")</f>
        <v>1304.6075000000001</v>
      </c>
      <c r="G151" s="295">
        <f>SUMIFS(G5:G13,A5:A13,"BFH",B5:B13,"Yeni Satış")+SUMIFS(G19:G28,A19:A28,"BFH",B19:B28,"Yeni Satış")+SUMIFS(G34:G45,A34:A45,"BFH",B34:B45,"Yeni Satış")+SUMIFS(G51:G59,A51:A59,"BFH",B51:B59,"Yeni Satış")+SUMIFS(G65:G74,A65:A74,"BFH",B65:B74,"Yeni Satış")+SUMIFS(G80:G89,A80:A89,"BFH",B80:B89,"Yeni Satış")+SUMIFS(G102:G111,A102:A111,"BFH",B102:B111,"Yeni Satış")+SUMIFS(G117:G126,A117:A126,"BFH",B117:B126,"Yeni Satış")+SUMIFS(G132:G133,A132:A133,"BFH",B132:B133,"Yeni Satış")</f>
        <v>1304.6075000000001</v>
      </c>
      <c r="H151" s="295">
        <f>SUMIFS(H5:H13,A5:A13,"BFH",B5:B13,"Yeni Satış")+SUMIFS(H19:H28,A19:A28,"BFH",B19:B28,"Yeni Satış")+SUMIFS(H34:H45,A34:A45,"BFH",B34:B45,"Yeni Satış")+SUMIFS(H51:H59,A51:A59,"BFH",B51:B59,"Yeni Satış")+SUMIFS(H65:H74,A65:A74,"BFH",B65:B74,"Yeni Satış")+SUMIFS(H80:H89,A80:A89,"BFH",B80:B89,"Yeni Satış")+SUMIFS(H102:H111,A102:A111,"BFH",B102:B111,"Yeni Satış")+SUMIFS(H117:H126,A117:A126,"BFH",B117:B126,"Yeni Satış")+SUMIFS(H132:H133,A132:A133,"BFH",B132:B133,"Yeni Satış")</f>
        <v>1479.2399999999998</v>
      </c>
      <c r="I151" s="295">
        <f>SUMIFS(I5:I13,A5:A13,"BFH",B5:B13,"Yeni Satış")+SUMIFS(I19:I28,A19:A28,"BFH",B19:B28,"Yeni Satış")+SUMIFS(I34:I45,A34:A45,"BFH",B34:B45,"Yeni Satış")+SUMIFS(I51:I59,A51:A59,"BFH",B51:B59,"Yeni Satış")+SUMIFS(I65:I74,A65:A74,"BFH",B65:B74,"Yeni Satış")+SUMIFS(I80:I89,A80:A89,"BFH",B80:B89,"Yeni Satış")+SUMIFS(I102:I111,A102:A111,"BFH",B102:B111,"Yeni Satış")+SUMIFS(I117:I126,A117:A126,"BFH",B117:B126,"Yeni Satış")+SUMIFS(I132:I133,A132:A133,"BFH",B132:B133,"Yeni Satış")</f>
        <v>1232.7</v>
      </c>
      <c r="J151" s="295">
        <f>SUMIFS(J5:J13,A5:A13,"BFH",B5:B13,"Yeni Satış")+SUMIFS(J19:J28,A19:A28,"BFH",B19:B28,"Yeni Satış")+SUMIFS(J34:J45,A34:A45,"BFH",B34:B45,"Yeni Satış")+SUMIFS(J51:J59,A51:A59,"BFH",B51:B59,"Yeni Satış")+SUMIFS(J65:J74,A65:A74,"BFH",B65:B74,"Yeni Satış")+SUMIFS(J80:J89,A80:A89,"BFH",B80:B89,"Yeni Satış")+SUMIFS(J102:J111,A102:A111,"BFH",B102:B111,"Yeni Satış")+SUMIFS(J117:J126,A117:A126,"BFH",B117:B126,"Yeni Satış")+SUMIFS(J132:J133,A132:A133,"BFH",B132:B133,"Yeni Satış")</f>
        <v>1242.9725000000001</v>
      </c>
      <c r="K151" s="295">
        <f>SUMIFS(K5:K13,A5:A13,"BFH",B5:B13,"Yeni Satış")+SUMIFS(K19:K28,A19:A28,"BFH",B19:B28,"Yeni Satış")+SUMIFS(K34:K45,A34:A45,"BFH",B34:B45,"Yeni Satış")+SUMIFS(K51:K59,A51:A59,"BFH",B51:B59,"Yeni Satış")+SUMIFS(K65:K74,A65:A74,"BFH",B65:B74,"Yeni Satış")+SUMIFS(K80:K89,A80:A89,"BFH",B80:B89,"Yeni Satış")+SUMIFS(K102:K111,A102:A111,"BFH",B102:B111,"Yeni Satış")+SUMIFS(K117:K126,A117:A126,"BFH",B117:B126,"Yeni Satış")+SUMIFS(K132:K133,A132:A133,"BFH",B132:B133,"Yeni Satış")</f>
        <v>1314.88</v>
      </c>
      <c r="L151" s="295">
        <f>SUMIFS(L5:L13,A5:A13,"BFH",B5:B13,"Yeni Satış")+SUMIFS(L19:L28,A19:A28,"BFH",B19:B28,"Yeni Satış")+SUMIFS(L34:L45,A34:A45,"BFH",B34:B45,"Yeni Satış")+SUMIFS(L51:L59,A51:A59,"BFH",B51:B59,"Yeni Satış")+SUMIFS(L65:L74,A65:A74,"BFH",B65:B74,"Yeni Satış")+SUMIFS(L80:L89,A80:A89,"BFH",B80:B89,"Yeni Satış")+SUMIFS(L102:L111,A102:A111,"BFH",B102:B111,"Yeni Satış")+SUMIFS(L117:L126,A117:A126,"BFH",B117:B126,"Yeni Satış")+SUMIFS(L132:L133,A132:A133,"BFH",B132:B133,"Yeni Satış")</f>
        <v>1540.8749999999998</v>
      </c>
      <c r="M151" s="295">
        <f>SUMIFS(M5:M13,A5:A13,"BFH",B5:B13,"Yeni Satış")+SUMIFS(M19:M28,A19:A28,"BFH",B19:B28,"Yeni Satış")+SUMIFS(M34:M45,A34:A45,"BFH",B34:B45,"Yeni Satış")+SUMIFS(M51:M59,A51:A59,"BFH",B51:B59,"Yeni Satış")+SUMIFS(M65:M74,A65:A74,"BFH",B65:B74,"Yeni Satış")+SUMIFS(M80:M89,A80:A89,"BFH",B80:B89,"Yeni Satış")+SUMIFS(M102:M111,A102:A111,"BFH",B102:B111,"Yeni Satış")+SUMIFS(M117:M126,A117:A126,"BFH",B117:B126,"Yeni Satış")+SUMIFS(M132:M133,A132:A133,"BFH",B132:B133,"Yeni Satış")</f>
        <v>1561.4199999999998</v>
      </c>
      <c r="N151" s="295">
        <f>SUMIFS(N5:N13,A5:A13,"BFH",B5:B13,"Yeni Satış")+SUMIFS(N19:N28,A19:A28,"BFH",B19:B28,"Yeni Satış")+SUMIFS(N34:N45,A34:A45,"BFH",B34:B45,"Yeni Satış")+SUMIFS(N51:N59,A51:A59,"BFH",B51:B59,"Yeni Satış")+SUMIFS(N65:N74,A65:A74,"BFH",B65:B74,"Yeni Satış")+SUMIFS(N80:N89,A80:A89,"BFH",B80:B89,"Yeni Satış")+SUMIFS(N102:N111,A102:A111,"BFH",B102:B111,"Yeni Satış")+SUMIFS(N117:N126,A117:A126,"BFH",B117:B126,"Yeni Satış")+SUMIFS(N132:N133,A132:A133,"BFH",B132:B133,"Yeni Satış")</f>
        <v>1777.1424999999999</v>
      </c>
      <c r="O151" s="299">
        <f t="shared" si="176"/>
        <v>16436</v>
      </c>
      <c r="Q151" s="277" t="str">
        <f t="shared" si="175"/>
        <v>BFH</v>
      </c>
      <c r="R151" s="278" t="str">
        <f t="shared" si="177"/>
        <v>Yeni Satış</v>
      </c>
      <c r="S151" s="279">
        <f t="shared" si="178"/>
        <v>3677.5550000000003</v>
      </c>
      <c r="T151" s="279">
        <f t="shared" si="179"/>
        <v>4088.4549999999999</v>
      </c>
      <c r="U151" s="279">
        <f t="shared" si="180"/>
        <v>3790.5525000000002</v>
      </c>
      <c r="V151" s="279">
        <f t="shared" si="181"/>
        <v>4879.4375</v>
      </c>
      <c r="W151" s="279">
        <f t="shared" si="182"/>
        <v>16436</v>
      </c>
    </row>
    <row r="152" spans="1:23" ht="16" hidden="1" customHeight="1" outlineLevel="1" x14ac:dyDescent="0.2">
      <c r="A152" s="293" t="s">
        <v>53</v>
      </c>
      <c r="B152" s="294" t="s">
        <v>26</v>
      </c>
      <c r="C152" s="295">
        <f>SUMIFS(C5:C13,A5:A13,"E-Dönüşüm",B5:B13,"Yeni Satış")+SUMIFS(C19:C28,A19:A28,"E-Dönüşüm",B19:B28,"Yeni Satış")+SUMIFS(C34:C45,A34:A45,"E-Dönüşüm",B34:B45,"Yeni Satış")+SUMIFS(C51:C59,A51:A59,"E-Dönüşüm",B51:B59,"Yeni Satış")+SUMIFS(C65:C74,A65:A74,"E-Dönüşüm",B65:B74,"Yeni Satış")+SUMIFS(C80:C89,A80:A89,"E-Dönüşüm",B80:B89,"Yeni Satış")+SUMIFS(C102:C111,A102:A111,"E-Dönüşüm",B102:B111,"Yeni Satış")+SUMIFS(C117:C126,A117:A126,"E-Dönüşüm",B117:B126,"Yeni Satış")+SUMIFS(C132:C133,A132:A133,"E-Dönüşüm",B132:B133,"Yeni Satış")</f>
        <v>2850.0000000000005</v>
      </c>
      <c r="D152" s="295">
        <f>SUMIFS(D5:D13,A5:A13,"E-Dönüşüm",B5:B13,"Yeni Satış")+SUMIFS(D19:D28,A19:A28,"E-Dönüşüm",B19:B28,"Yeni Satış")+SUMIFS(D34:D45,A34:A45,"E-Dönüşüm",B34:B45,"Yeni Satış")+SUMIFS(D51:D59,A51:A59,"E-Dönüşüm",B51:B59,"Yeni Satış")+SUMIFS(D65:D74,A65:A74,"E-Dönüşüm",B65:B74,"Yeni Satış")+SUMIFS(D80:D89,A80:A89,"E-Dönüşüm",B80:B89,"Yeni Satış")+SUMIFS(D102:D111,A102:A111,"E-Dönüşüm",B102:B111,"Yeni Satış")+SUMIFS(D117:D126,A117:A126,"E-Dönüşüm",B117:B126,"Yeni Satış")+SUMIFS(D132:D133,A132:A133,"E-Dönüşüm",B132:B133,"Yeni Satış")</f>
        <v>2850.0000000000005</v>
      </c>
      <c r="E152" s="295">
        <f>SUMIFS(E5:E13,A5:A13,"E-Dönüşüm",B5:B13,"Yeni Satış")+SUMIFS(E19:E28,A19:A28,"E-Dönüşüm",B19:B28,"Yeni Satış")+SUMIFS(E34:E45,A34:A45,"E-Dönüşüm",B34:B45,"Yeni Satış")+SUMIFS(E51:E59,A51:A59,"E-Dönüşüm",B51:B59,"Yeni Satış")+SUMIFS(E65:E74,A65:A74,"E-Dönüşüm",B65:B74,"Yeni Satış")+SUMIFS(E80:E89,A80:A89,"E-Dönüşüm",B80:B89,"Yeni Satış")+SUMIFS(E102:E111,A102:A111,"E-Dönüşüm",B102:B111,"Yeni Satış")+SUMIFS(E117:E126,A117:A126,"E-Dönüşüm",B117:B126,"Yeni Satış")+SUMIFS(E132:E133,A132:A133,"E-Dönüşüm",B132:B133,"Yeni Satış")</f>
        <v>3250</v>
      </c>
      <c r="F152" s="295">
        <f>SUMIFS(F5:F13,A5:A13,"E-Dönüşüm",B5:B13,"Yeni Satış")+SUMIFS(F19:F28,A19:A28,"E-Dönüşüm",B19:B28,"Yeni Satış")+SUMIFS(F34:F45,A34:A45,"E-Dönüşüm",B34:B45,"Yeni Satış")+SUMIFS(F51:F59,A51:A59,"E-Dönüşüm",B51:B59,"Yeni Satış")+SUMIFS(F65:F74,A65:A74,"E-Dönüşüm",B65:B74,"Yeni Satış")+SUMIFS(F80:F89,A80:A89,"E-Dönüşüm",B80:B89,"Yeni Satış")+SUMIFS(F102:F111,A102:A111,"E-Dönüşüm",B102:B111,"Yeni Satış")+SUMIFS(F117:F126,A117:A126,"E-Dönüşüm",B117:B126,"Yeni Satış")+SUMIFS(F132:F133,A132:A133,"E-Dönüşüm",B132:B133,"Yeni Satış")</f>
        <v>3175</v>
      </c>
      <c r="G152" s="295">
        <f>SUMIFS(G5:G13,A5:A13,"E-Dönüşüm",B5:B13,"Yeni Satış")+SUMIFS(G19:G28,A19:A28,"E-Dönüşüm",B19:B28,"Yeni Satış")+SUMIFS(G34:G45,A34:A45,"E-Dönüşüm",B34:B45,"Yeni Satış")+SUMIFS(G51:G59,A51:A59,"E-Dönüşüm",B51:B59,"Yeni Satış")+SUMIFS(G65:G74,A65:A74,"E-Dönüşüm",B65:B74,"Yeni Satış")+SUMIFS(G80:G89,A80:A89,"E-Dönüşüm",B80:B89,"Yeni Satış")+SUMIFS(G102:G111,A102:A111,"E-Dönüşüm",B102:B111,"Yeni Satış")+SUMIFS(G117:G126,A117:A126,"E-Dönüşüm",B117:B126,"Yeni Satış")+SUMIFS(G132:G133,A132:A133,"E-Dönüşüm",B132:B133,"Yeni Satış")</f>
        <v>3175</v>
      </c>
      <c r="H152" s="295">
        <f>SUMIFS(H5:H13,A5:A13,"E-Dönüşüm",B5:B13,"Yeni Satış")+SUMIFS(H19:H28,A19:A28,"E-Dönüşüm",B19:B28,"Yeni Satış")+SUMIFS(H34:H45,A34:A45,"E-Dönüşüm",B34:B45,"Yeni Satış")+SUMIFS(H51:H59,A51:A59,"E-Dönüşüm",B51:B59,"Yeni Satış")+SUMIFS(H65:H74,A65:A74,"E-Dönüşüm",B65:B74,"Yeni Satış")+SUMIFS(H80:H89,A80:A89,"E-Dönüşüm",B80:B89,"Yeni Satış")+SUMIFS(H102:H111,A102:A111,"E-Dönüşüm",B102:B111,"Yeni Satış")+SUMIFS(H117:H126,A117:A126,"E-Dönüşüm",B117:B126,"Yeni Satış")+SUMIFS(H132:H133,A132:A133,"E-Dönüşüm",B132:B133,"Yeni Satış")</f>
        <v>3599.9999999999991</v>
      </c>
      <c r="I152" s="295">
        <f>SUMIFS(I5:I13,A5:A13,"E-Dönüşüm",B5:B13,"Yeni Satış")+SUMIFS(I19:I28,A19:A28,"E-Dönüşüm",B19:B28,"Yeni Satış")+SUMIFS(I34:I45,A34:A45,"E-Dönüşüm",B34:B45,"Yeni Satış")+SUMIFS(I51:I59,A51:A59,"E-Dönüşüm",B51:B59,"Yeni Satış")+SUMIFS(I65:I74,A65:A74,"E-Dönüşüm",B65:B74,"Yeni Satış")+SUMIFS(I80:I89,A80:A89,"E-Dönüşüm",B80:B89,"Yeni Satış")+SUMIFS(I102:I111,A102:A111,"E-Dönüşüm",B102:B111,"Yeni Satış")+SUMIFS(I117:I126,A117:A126,"E-Dönüşüm",B117:B126,"Yeni Satış")+SUMIFS(I132:I133,A132:A133,"E-Dönüşüm",B132:B133,"Yeni Satış")</f>
        <v>3000</v>
      </c>
      <c r="J152" s="295">
        <f>SUMIFS(J5:J13,A5:A13,"E-Dönüşüm",B5:B13,"Yeni Satış")+SUMIFS(J19:J28,A19:A28,"E-Dönüşüm",B19:B28,"Yeni Satış")+SUMIFS(J34:J45,A34:A45,"E-Dönüşüm",B34:B45,"Yeni Satış")+SUMIFS(J51:J59,A51:A59,"E-Dönüşüm",B51:B59,"Yeni Satış")+SUMIFS(J65:J74,A65:A74,"E-Dönüşüm",B65:B74,"Yeni Satış")+SUMIFS(J80:J89,A80:A89,"E-Dönüşüm",B80:B89,"Yeni Satış")+SUMIFS(J102:J111,A102:A111,"E-Dönüşüm",B102:B111,"Yeni Satış")+SUMIFS(J117:J126,A117:A126,"E-Dönüşüm",B117:B126,"Yeni Satış")+SUMIFS(J132:J133,A132:A133,"E-Dönüşüm",B132:B133,"Yeni Satış")</f>
        <v>3025</v>
      </c>
      <c r="K152" s="295">
        <f>SUMIFS(K5:K13,A5:A13,"E-Dönüşüm",B5:B13,"Yeni Satış")+SUMIFS(K19:K28,A19:A28,"E-Dönüşüm",B19:B28,"Yeni Satış")+SUMIFS(K34:K45,A34:A45,"E-Dönüşüm",B34:B45,"Yeni Satış")+SUMIFS(K51:K59,A51:A59,"E-Dönüşüm",B51:B59,"Yeni Satış")+SUMIFS(K65:K74,A65:A74,"E-Dönüşüm",B65:B74,"Yeni Satış")+SUMIFS(K80:K89,A80:A89,"E-Dönüşüm",B80:B89,"Yeni Satış")+SUMIFS(K102:K111,A102:A111,"E-Dönüşüm",B102:B111,"Yeni Satış")+SUMIFS(K117:K126,A117:A126,"E-Dönüşüm",B117:B126,"Yeni Satış")+SUMIFS(K132:K133,A132:A133,"E-Dönüşüm",B132:B133,"Yeni Satış")</f>
        <v>3200</v>
      </c>
      <c r="L152" s="295">
        <f>SUMIFS(L5:L13,A5:A13,"E-Dönüşüm",B5:B13,"Yeni Satış")+SUMIFS(L19:L28,A19:A28,"E-Dönüşüm",B19:B28,"Yeni Satış")+SUMIFS(L34:L45,A34:A45,"E-Dönüşüm",B34:B45,"Yeni Satış")+SUMIFS(L51:L59,A51:A59,"E-Dönüşüm",B51:B59,"Yeni Satış")+SUMIFS(L65:L74,A65:A74,"E-Dönüşüm",B65:B74,"Yeni Satış")+SUMIFS(L80:L89,A80:A89,"E-Dönüşüm",B80:B89,"Yeni Satış")+SUMIFS(L102:L111,A102:A111,"E-Dönüşüm",B102:B111,"Yeni Satış")+SUMIFS(L117:L126,A117:A126,"E-Dönüşüm",B117:B126,"Yeni Satış")+SUMIFS(L132:L133,A132:A133,"E-Dönüşüm",B132:B133,"Yeni Satış")</f>
        <v>3749.9999999999991</v>
      </c>
      <c r="M152" s="295">
        <f>SUMIFS(M5:M13,A5:A13,"E-Dönüşüm",B5:B13,"Yeni Satış")+SUMIFS(M19:M28,A19:A28,"E-Dönüşüm",B19:B28,"Yeni Satış")+SUMIFS(M34:M45,A34:A45,"E-Dönüşüm",B34:B45,"Yeni Satış")+SUMIFS(M51:M59,A51:A59,"E-Dönüşüm",B51:B59,"Yeni Satış")+SUMIFS(M65:M74,A65:A74,"E-Dönüşüm",B65:B74,"Yeni Satış")+SUMIFS(M80:M89,A80:A89,"E-Dönüşüm",B80:B89,"Yeni Satış")+SUMIFS(M102:M111,A102:A111,"E-Dönüşüm",B102:B111,"Yeni Satış")+SUMIFS(M117:M126,A117:A126,"E-Dönüşüm",B117:B126,"Yeni Satış")+SUMIFS(M132:M133,A132:A133,"E-Dönüşüm",B132:B133,"Yeni Satış")</f>
        <v>3799.9999999999991</v>
      </c>
      <c r="N152" s="295">
        <f>SUMIFS(N5:N13,A5:A13,"E-Dönüşüm",B5:B13,"Yeni Satış")+SUMIFS(N19:N28,A19:A28,"E-Dönüşüm",B19:B28,"Yeni Satış")+SUMIFS(N34:N45,A34:A45,"E-Dönüşüm",B34:B45,"Yeni Satış")+SUMIFS(N51:N59,A51:A59,"E-Dönüşüm",B51:B59,"Yeni Satış")+SUMIFS(N65:N74,A65:A74,"E-Dönüşüm",B65:B74,"Yeni Satış")+SUMIFS(N80:N89,A80:A89,"E-Dönüşüm",B80:B89,"Yeni Satış")+SUMIFS(N102:N111,A102:A111,"E-Dönüşüm",B102:B111,"Yeni Satış")+SUMIFS(N117:N126,A117:A126,"E-Dönüşüm",B117:B126,"Yeni Satış")+SUMIFS(N132:N133,A132:A133,"E-Dönüşüm",B132:B133,"Yeni Satış")</f>
        <v>4325</v>
      </c>
      <c r="O152" s="299">
        <f t="shared" si="176"/>
        <v>40000</v>
      </c>
      <c r="Q152" s="277" t="str">
        <f t="shared" si="175"/>
        <v>E-Dönüşüm</v>
      </c>
      <c r="R152" s="278" t="str">
        <f t="shared" si="177"/>
        <v>Yeni Satış</v>
      </c>
      <c r="S152" s="279">
        <f t="shared" si="178"/>
        <v>8950</v>
      </c>
      <c r="T152" s="279">
        <f t="shared" si="179"/>
        <v>9950</v>
      </c>
      <c r="U152" s="279">
        <f t="shared" si="180"/>
        <v>9225</v>
      </c>
      <c r="V152" s="279">
        <f t="shared" si="181"/>
        <v>11874.999999999998</v>
      </c>
      <c r="W152" s="279">
        <f t="shared" si="182"/>
        <v>40000</v>
      </c>
    </row>
    <row r="153" spans="1:23" ht="16" hidden="1" customHeight="1" outlineLevel="1" x14ac:dyDescent="0.2">
      <c r="A153" s="293" t="s">
        <v>53</v>
      </c>
      <c r="B153" s="294" t="s">
        <v>28</v>
      </c>
      <c r="C153" s="295">
        <f>SUMIFS(C5:C13,A5:A13,"E-Dönüşüm",B5:B13,"Yenileme")+SUMIFS(C19:C28,A19:A28,"E-Dönüşüm",B19:B28,"Yenileme")+SUMIFS(C34:C45,A34:A45,"E-Dönüşüm",B34:B45,"Yenileme")+SUMIFS(C51:C59,A51:A59,"E-Dönüşüm",B51:B59,"Yenileme")+SUMIFS(C65:C74,A65:A74,"E-Dönüşüm",B65:B74,"Yenileme")+SUMIFS(C80:C89,A80:A89,"E-Dönüşüm",B80:B89,"Yenileme")+SUMIFS(C102:C111,A102:A111,"E-Dönüşüm",B102:B111,"Yenileme")+SUMIFS(C117:C126,A117:A126,"E-Dönüşüm",B117:B126,"Yenileme")+SUMIFS(C132:C133,A132:A133,"E-Dönüşüm",B132:B133,"Yenileme")</f>
        <v>2563.5316800000001</v>
      </c>
      <c r="D153" s="295">
        <f>SUMIFS(D5:D13,A5:A13,"E-Dönüşüm",B5:B13,"Yenileme")+SUMIFS(D19:D28,A19:A28,"E-Dönüşüm",B19:B28,"Yenileme")+SUMIFS(D34:D45,A34:A45,"E-Dönüşüm",B34:B45,"Yenileme")+SUMIFS(D51:D59,A51:A59,"E-Dönüşüm",B51:B59,"Yenileme")+SUMIFS(D65:D74,A65:A74,"E-Dönüşüm",B65:B74,"Yenileme")+SUMIFS(D80:D89,A80:A89,"E-Dönüşüm",B80:B89,"Yenileme")+SUMIFS(D102:D111,A102:A111,"E-Dönüşüm",B102:B111,"Yenileme")+SUMIFS(D117:D126,A117:A126,"E-Dönüşüm",B117:B126,"Yenileme")+SUMIFS(D132:D133,A132:A133,"E-Dönüşüm",B132:B133,"Yenileme")</f>
        <v>2563.5316800000001</v>
      </c>
      <c r="E153" s="295">
        <f>SUMIFS(E5:E13,A5:A13,"E-Dönüşüm",B5:B13,"Yenileme")+SUMIFS(E19:E28,A19:A28,"E-Dönüşüm",B19:B28,"Yenileme")+SUMIFS(E34:E45,A34:A45,"E-Dönüşüm",B34:B45,"Yenileme")+SUMIFS(E51:E59,A51:A59,"E-Dönüşüm",B51:B59,"Yenileme")+SUMIFS(E65:E74,A65:A74,"E-Dönüşüm",B65:B74,"Yenileme")+SUMIFS(E80:E89,A80:A89,"E-Dönüşüm",B80:B89,"Yenileme")+SUMIFS(E102:E111,A102:A111,"E-Dönüşüm",B102:B111,"Yenileme")+SUMIFS(E117:E126,A117:A126,"E-Dönüşüm",B117:B126,"Yenileme")+SUMIFS(E132:E133,A132:A133,"E-Dönüşüm",B132:B133,"Yenileme")</f>
        <v>2923.3256000000001</v>
      </c>
      <c r="F153" s="295">
        <f>SUMIFS(F5:F13,A5:A13,"E-Dönüşüm",B5:B13,"Yenileme")+SUMIFS(F19:F28,A19:A28,"E-Dönüşüm",B19:B28,"Yenileme")+SUMIFS(F34:F45,A34:A45,"E-Dönüşüm",B34:B45,"Yenileme")+SUMIFS(F51:F59,A51:A59,"E-Dönüşüm",B51:B59,"Yenileme")+SUMIFS(F65:F74,A65:A74,"E-Dönüşüm",B65:B74,"Yenileme")+SUMIFS(F80:F89,A80:A89,"E-Dönüşüm",B80:B89,"Yenileme")+SUMIFS(F102:F111,A102:A111,"E-Dönüşüm",B102:B111,"Yenileme")+SUMIFS(F117:F126,A117:A126,"E-Dönüşüm",B117:B126,"Yenileme")+SUMIFS(F132:F133,A132:A133,"E-Dönüşüm",B132:B133,"Yenileme")</f>
        <v>2855.8642399999999</v>
      </c>
      <c r="G153" s="295">
        <f>SUMIFS(G5:G13,A5:A13,"E-Dönüşüm",B5:B13,"Yenileme")+SUMIFS(G19:G28,A19:A28,"E-Dönüşüm",B19:B28,"Yenileme")+SUMIFS(G34:G45,A34:A45,"E-Dönüşüm",B34:B45,"Yenileme")+SUMIFS(G51:G59,A51:A59,"E-Dönüşüm",B51:B59,"Yenileme")+SUMIFS(G65:G74,A65:A74,"E-Dönüşüm",B65:B74,"Yenileme")+SUMIFS(G80:G89,A80:A89,"E-Dönüşüm",B80:B89,"Yenileme")+SUMIFS(G102:G111,A102:A111,"E-Dönüşüm",B102:B111,"Yenileme")+SUMIFS(G117:G126,A117:A126,"E-Dönüşüm",B117:B126,"Yenileme")+SUMIFS(G132:G133,A132:A133,"E-Dönüşüm",B132:B133,"Yenileme")</f>
        <v>2855.8642399999999</v>
      </c>
      <c r="H153" s="295">
        <f>SUMIFS(H5:H13,A5:A13,"E-Dönüşüm",B5:B13,"Yenileme")+SUMIFS(H19:H28,A19:A28,"E-Dönüşüm",B19:B28,"Yenileme")+SUMIFS(H34:H45,A34:A45,"E-Dönüşüm",B34:B45,"Yenileme")+SUMIFS(H51:H59,A51:A59,"E-Dönüşüm",B51:B59,"Yenileme")+SUMIFS(H65:H74,A65:A74,"E-Dönüşüm",B65:B74,"Yenileme")+SUMIFS(H80:H89,A80:A89,"E-Dönüşüm",B80:B89,"Yenileme")+SUMIFS(H102:H111,A102:A111,"E-Dönüşüm",B102:B111,"Yenileme")+SUMIFS(H117:H126,A117:A126,"E-Dönüşüm",B117:B126,"Yenileme")+SUMIFS(H132:H133,A132:A133,"E-Dönüşüm",B132:B133,"Yenileme")</f>
        <v>3238.1452799999993</v>
      </c>
      <c r="I153" s="295">
        <f>SUMIFS(I5:I13,A5:A13,"E-Dönüşüm",B5:B13,"Yenileme")+SUMIFS(I19:I28,A19:A28,"E-Dönüşüm",B19:B28,"Yenileme")+SUMIFS(I34:I45,A34:A45,"E-Dönüşüm",B34:B45,"Yenileme")+SUMIFS(I51:I59,A51:A59,"E-Dönüşüm",B51:B59,"Yenileme")+SUMIFS(I65:I74,A65:A74,"E-Dönüşüm",B65:B74,"Yenileme")+SUMIFS(I80:I89,A80:A89,"E-Dönüşüm",B80:B89,"Yenileme")+SUMIFS(I102:I111,A102:A111,"E-Dönüşüm",B102:B111,"Yenileme")+SUMIFS(I117:I126,A117:A126,"E-Dönüşüm",B117:B126,"Yenileme")+SUMIFS(I132:I133,A132:A133,"E-Dönüşüm",B132:B133,"Yenileme")</f>
        <v>2698.4544000000001</v>
      </c>
      <c r="J153" s="295">
        <f>SUMIFS(J5:J13,A5:A13,"E-Dönüşüm",B5:B13,"Yenileme")+SUMIFS(J19:J28,A19:A28,"E-Dönüşüm",B19:B28,"Yenileme")+SUMIFS(J34:J45,A34:A45,"E-Dönüşüm",B34:B45,"Yenileme")+SUMIFS(J51:J59,A51:A59,"E-Dönüşüm",B51:B59,"Yenileme")+SUMIFS(J65:J74,A65:A74,"E-Dönüşüm",B65:B74,"Yenileme")+SUMIFS(J80:J89,A80:A89,"E-Dönüşüm",B80:B89,"Yenileme")+SUMIFS(J102:J111,A102:A111,"E-Dönüşüm",B102:B111,"Yenileme")+SUMIFS(J117:J126,A117:A126,"E-Dönüşüm",B117:B126,"Yenileme")+SUMIFS(J132:J133,A132:A133,"E-Dönüşüm",B132:B133,"Yenileme")</f>
        <v>2720.9415199999999</v>
      </c>
      <c r="K153" s="295">
        <f>SUMIFS(K5:K13,A5:A13,"E-Dönüşüm",B5:B13,"Yenileme")+SUMIFS(K19:K28,A19:A28,"E-Dönüşüm",B19:B28,"Yenileme")+SUMIFS(K34:K45,A34:A45,"E-Dönüşüm",B34:B45,"Yenileme")+SUMIFS(K51:K59,A51:A59,"E-Dönüşüm",B51:B59,"Yenileme")+SUMIFS(K65:K74,A65:A74,"E-Dönüşüm",B65:B74,"Yenileme")+SUMIFS(K80:K89,A80:A89,"E-Dönüşüm",B80:B89,"Yenileme")+SUMIFS(K102:K111,A102:A111,"E-Dönüşüm",B102:B111,"Yenileme")+SUMIFS(K117:K126,A117:A126,"E-Dönüşüm",B117:B126,"Yenileme")+SUMIFS(K132:K133,A132:A133,"E-Dönüşüm",B132:B133,"Yenileme")</f>
        <v>2878.3513600000001</v>
      </c>
      <c r="L153" s="295">
        <f>SUMIFS(L5:L13,A5:A13,"E-Dönüşüm",B5:B13,"Yenileme")+SUMIFS(L19:L28,A19:A28,"E-Dönüşüm",B19:B28,"Yenileme")+SUMIFS(L34:L45,A34:A45,"E-Dönüşüm",B34:B45,"Yenileme")+SUMIFS(L51:L59,A51:A59,"E-Dönüşüm",B51:B59,"Yenileme")+SUMIFS(L65:L74,A65:A74,"E-Dönüşüm",B65:B74,"Yenileme")+SUMIFS(L80:L89,A80:A89,"E-Dönüşüm",B80:B89,"Yenileme")+SUMIFS(L102:L111,A102:A111,"E-Dönüşüm",B102:B111,"Yenileme")+SUMIFS(L117:L126,A117:A126,"E-Dönüşüm",B117:B126,"Yenileme")+SUMIFS(L132:L133,A132:A133,"E-Dönüşüm",B132:B133,"Yenileme")</f>
        <v>3373.0679999999998</v>
      </c>
      <c r="M153" s="295">
        <f>SUMIFS(M5:M13,A5:A13,"E-Dönüşüm",B5:B13,"Yenileme")+SUMIFS(M19:M28,A19:A28,"E-Dönüşüm",B19:B28,"Yenileme")+SUMIFS(M34:M45,A34:A45,"E-Dönüşüm",B34:B45,"Yenileme")+SUMIFS(M51:M59,A51:A59,"E-Dönüşüm",B51:B59,"Yenileme")+SUMIFS(M65:M74,A65:A74,"E-Dönüşüm",B65:B74,"Yenileme")+SUMIFS(M80:M89,A80:A89,"E-Dönüşüm",B80:B89,"Yenileme")+SUMIFS(M102:M111,A102:A111,"E-Dönüşüm",B102:B111,"Yenileme")+SUMIFS(M117:M126,A117:A126,"E-Dönüşüm",B117:B126,"Yenileme")+SUMIFS(M132:M133,A132:A133,"E-Dönüşüm",B132:B133,"Yenileme")</f>
        <v>3418.0422399999998</v>
      </c>
      <c r="N153" s="295">
        <f>SUMIFS(N5:N13,A5:A13,"E-Dönüşüm",B5:B13,"Yenileme")+SUMIFS(N19:N28,A19:A28,"E-Dönüşüm",B19:B28,"Yenileme")+SUMIFS(N34:N45,A34:A45,"E-Dönüşüm",B34:B45,"Yenileme")+SUMIFS(N51:N59,A51:A59,"E-Dönüşüm",B51:B59,"Yenileme")+SUMIFS(N65:N74,A65:A74,"E-Dönüşüm",B65:B74,"Yenileme")+SUMIFS(N80:N89,A80:A89,"E-Dönüşüm",B80:B89,"Yenileme")+SUMIFS(N102:N111,A102:A111,"E-Dönüşüm",B102:B111,"Yenileme")+SUMIFS(N117:N126,A117:A126,"E-Dönüşüm",B117:B126,"Yenileme")+SUMIFS(N132:N133,A132:A133,"E-Dönüşüm",B132:B133,"Yenileme")</f>
        <v>3890.2717600000001</v>
      </c>
      <c r="O153" s="299">
        <f t="shared" si="176"/>
        <v>35979.392</v>
      </c>
      <c r="Q153" s="277" t="str">
        <f t="shared" si="175"/>
        <v>E-Dönüşüm</v>
      </c>
      <c r="R153" s="278" t="str">
        <f t="shared" si="177"/>
        <v>Yenileme</v>
      </c>
      <c r="S153" s="279">
        <f t="shared" si="178"/>
        <v>8050.3889600000002</v>
      </c>
      <c r="T153" s="279">
        <f t="shared" si="179"/>
        <v>8949.8737599999986</v>
      </c>
      <c r="U153" s="279">
        <f t="shared" si="180"/>
        <v>8297.7472799999996</v>
      </c>
      <c r="V153" s="279">
        <f t="shared" si="181"/>
        <v>10681.382</v>
      </c>
      <c r="W153" s="279">
        <f t="shared" si="182"/>
        <v>35979.392</v>
      </c>
    </row>
    <row r="154" spans="1:23" ht="16" customHeight="1" collapsed="1" x14ac:dyDescent="0.2">
      <c r="A154" s="283" t="s">
        <v>30</v>
      </c>
      <c r="B154" s="284" t="s">
        <v>26</v>
      </c>
      <c r="C154" s="300">
        <f>SUMIF(B139:B153,"Yeni Satış",C139:C153)</f>
        <v>19868.439384000001</v>
      </c>
      <c r="D154" s="300">
        <f>SUMIF(B139:B153,"Yeni Satış",D139:D153)</f>
        <v>19868.439384000001</v>
      </c>
      <c r="E154" s="300">
        <f>SUMIF(B139:B153,"Yeni Satış",E139:E153)</f>
        <v>22656.992279999999</v>
      </c>
      <c r="F154" s="300">
        <f>SUMIF(B139:B153,"Yeni Satış",F139:F153)</f>
        <v>22134.138612000002</v>
      </c>
      <c r="G154" s="300">
        <f>SUMIF(B139:B153,"Yeni Satış",G139:G153)</f>
        <v>22134.138612000002</v>
      </c>
      <c r="H154" s="300">
        <f>SUMIF(B139:B153,"Yeni Satış",H139:H153)</f>
        <v>25096.976063999995</v>
      </c>
      <c r="I154" s="300">
        <f>SUMIF(B139:B153,"Yeni Satış",I139:I153)</f>
        <v>20914.146720000001</v>
      </c>
      <c r="J154" s="300">
        <f>SUMIF(B139:B153,"Yeni Satış",J139:J153)</f>
        <v>21088.431275999999</v>
      </c>
      <c r="K154" s="300">
        <f>SUMIF(B139:B153,"Yeni Satış",K139:K153)</f>
        <v>22308.423168000001</v>
      </c>
      <c r="L154" s="300">
        <f>SUMIF(B139:B153,"Yeni Satış",L139:L153)</f>
        <v>26142.683399999994</v>
      </c>
      <c r="M154" s="300">
        <f>SUMIF(B139:B153,"Yeni Satış",M139:M153)</f>
        <v>26491.252511999995</v>
      </c>
      <c r="N154" s="300">
        <f>SUMIF(B139:B153,"Yeni Satış",N139:N153)</f>
        <v>30151.228188000001</v>
      </c>
      <c r="O154" s="300">
        <f>SUMIF(B139:B153,"Yeni Satış",O139:O153)</f>
        <v>278855.28960000002</v>
      </c>
      <c r="Q154" s="283" t="s">
        <v>30</v>
      </c>
      <c r="R154" s="284" t="str">
        <f t="shared" si="177"/>
        <v>Yeni Satış</v>
      </c>
      <c r="S154" s="285">
        <f>SUMIF(R139:R153,"Yeni Satış",S139:S153)</f>
        <v>62393.871048000008</v>
      </c>
      <c r="T154" s="285">
        <f>SUMIF(R139:R153,"Yeni Satış",T139:T153)</f>
        <v>69365.253287999993</v>
      </c>
      <c r="U154" s="285">
        <f>SUMIF(R139:R153,"Yeni Satış",U139:U153)</f>
        <v>64311.001164000001</v>
      </c>
      <c r="V154" s="285">
        <f>SUMIF(R139:R153,"Yeni Satış",V139:V153)</f>
        <v>82785.164099999995</v>
      </c>
      <c r="W154" s="285">
        <f t="shared" si="182"/>
        <v>278855.28960000002</v>
      </c>
    </row>
    <row r="155" spans="1:23" ht="16" customHeight="1" x14ac:dyDescent="0.2">
      <c r="A155" s="283" t="s">
        <v>30</v>
      </c>
      <c r="B155" s="284" t="s">
        <v>28</v>
      </c>
      <c r="C155" s="300">
        <f>SUMIF(B139:B153,"Yenileme",C139:C153)</f>
        <v>22890.918290859805</v>
      </c>
      <c r="D155" s="300">
        <f>SUMIF(B139:B153,"Yenileme",D139:D153)</f>
        <v>22890.918290859805</v>
      </c>
      <c r="E155" s="300">
        <f>SUMIF(B139:B153,"Yenileme",E139:E153)</f>
        <v>26103.678752734861</v>
      </c>
      <c r="F155" s="300">
        <f>SUMIF(B139:B153,"Yenileme",F139:F153)</f>
        <v>25501.28616613329</v>
      </c>
      <c r="G155" s="300">
        <f>SUMIF(B139:B153,"Yenileme",G139:G153)</f>
        <v>25501.28616613329</v>
      </c>
      <c r="H155" s="300">
        <f>SUMIF(B139:B153,"Yenileme",H139:H153)</f>
        <v>28914.844156875537</v>
      </c>
      <c r="I155" s="300">
        <f>SUMIF(B139:B153,"Yenileme",I139:I153)</f>
        <v>24095.70346406295</v>
      </c>
      <c r="J155" s="300">
        <f>SUMIF(B139:B153,"Yenileme",J139:J153)</f>
        <v>24296.500992930138</v>
      </c>
      <c r="K155" s="300">
        <f>SUMIF(B139:B153,"Yenileme",K139:K153)</f>
        <v>25702.083695000481</v>
      </c>
      <c r="L155" s="300">
        <f>SUMIF(B139:B153,"Yenileme",L139:L153)</f>
        <v>30119.629330078682</v>
      </c>
      <c r="M155" s="300">
        <f>SUMIF(B139:B153,"Yenileme",M139:M153)</f>
        <v>30521.224387813065</v>
      </c>
      <c r="N155" s="300">
        <f>SUMIF(B139:B153,"Yenileme",N139:N153)</f>
        <v>34737.972494024078</v>
      </c>
      <c r="O155" s="300">
        <f>SUMIF(B139:B153,"Yenileme",O139:O153)</f>
        <v>321276.04618750594</v>
      </c>
      <c r="Q155" s="283" t="s">
        <v>30</v>
      </c>
      <c r="R155" s="284" t="str">
        <f t="shared" si="177"/>
        <v>Yenileme</v>
      </c>
      <c r="S155" s="285">
        <f>SUMIF(R139:R153,"Yenileme",S139:S153)</f>
        <v>71885.515334454467</v>
      </c>
      <c r="T155" s="285">
        <f>SUMIF(R139:R153,"Yenileme",T139:T153)</f>
        <v>79917.41648914211</v>
      </c>
      <c r="U155" s="285">
        <f>SUMIF(R139:R153,"Yenileme",U139:U153)</f>
        <v>74094.288151993562</v>
      </c>
      <c r="V155" s="285">
        <f>SUMIF(R139:R153,"Yenileme",V139:V153)</f>
        <v>95378.826211915832</v>
      </c>
      <c r="W155" s="285">
        <f t="shared" si="182"/>
        <v>321276.046187506</v>
      </c>
    </row>
    <row r="156" spans="1:23" s="270" customFormat="1" ht="16" customHeight="1" x14ac:dyDescent="0.2">
      <c r="A156" s="289" t="s">
        <v>38</v>
      </c>
      <c r="B156" s="290" t="s">
        <v>144</v>
      </c>
      <c r="C156" s="305">
        <f t="shared" ref="C156:O156" si="185">C154+C155</f>
        <v>42759.357674859806</v>
      </c>
      <c r="D156" s="305">
        <f t="shared" si="185"/>
        <v>42759.357674859806</v>
      </c>
      <c r="E156" s="305">
        <f t="shared" si="185"/>
        <v>48760.671032734856</v>
      </c>
      <c r="F156" s="305">
        <f t="shared" si="185"/>
        <v>47635.424778133296</v>
      </c>
      <c r="G156" s="305">
        <f t="shared" si="185"/>
        <v>47635.424778133296</v>
      </c>
      <c r="H156" s="305">
        <f t="shared" si="185"/>
        <v>54011.820220875532</v>
      </c>
      <c r="I156" s="305">
        <f t="shared" si="185"/>
        <v>45009.850184062947</v>
      </c>
      <c r="J156" s="305">
        <f t="shared" si="185"/>
        <v>45384.932268930133</v>
      </c>
      <c r="K156" s="305">
        <f t="shared" si="185"/>
        <v>48010.506863000483</v>
      </c>
      <c r="L156" s="305">
        <f t="shared" si="185"/>
        <v>56262.312730078673</v>
      </c>
      <c r="M156" s="305">
        <f t="shared" si="185"/>
        <v>57012.47689981306</v>
      </c>
      <c r="N156" s="305">
        <f t="shared" si="185"/>
        <v>64889.200682024079</v>
      </c>
      <c r="O156" s="305">
        <f t="shared" si="185"/>
        <v>600131.33578750596</v>
      </c>
      <c r="Q156" s="289" t="s">
        <v>38</v>
      </c>
      <c r="R156" s="290" t="str">
        <f t="shared" si="177"/>
        <v>YS + Yen.</v>
      </c>
      <c r="S156" s="291">
        <f>S154+S155</f>
        <v>134279.38638245448</v>
      </c>
      <c r="T156" s="291">
        <f>T154+T155</f>
        <v>149282.66977714212</v>
      </c>
      <c r="U156" s="291">
        <f>U154+U155</f>
        <v>138405.28931599355</v>
      </c>
      <c r="V156" s="291">
        <f>V154+V155</f>
        <v>178163.99031191581</v>
      </c>
      <c r="W156" s="291">
        <f>W154+W155</f>
        <v>600131.33578750608</v>
      </c>
    </row>
    <row r="158" spans="1:23" x14ac:dyDescent="0.2">
      <c r="F158" s="326"/>
    </row>
    <row r="159" spans="1:23" ht="16" x14ac:dyDescent="0.2">
      <c r="A159" s="109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</row>
    <row r="160" spans="1:23" ht="16" x14ac:dyDescent="0.2">
      <c r="A160" s="109"/>
      <c r="C160" s="326"/>
      <c r="D160" s="326"/>
      <c r="E160" s="326"/>
      <c r="F160" s="326"/>
      <c r="G160" s="326"/>
      <c r="H160" s="326"/>
      <c r="I160" s="326"/>
      <c r="J160" s="326"/>
      <c r="K160" s="326"/>
      <c r="L160" s="326"/>
      <c r="M160" s="326"/>
      <c r="N160" s="326"/>
      <c r="O160" s="326"/>
    </row>
    <row r="161" spans="1:16" ht="16" x14ac:dyDescent="0.2">
      <c r="A161" s="109"/>
    </row>
    <row r="163" spans="1:16" x14ac:dyDescent="0.2"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P163" s="292"/>
    </row>
    <row r="164" spans="1:16" x14ac:dyDescent="0.2"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P164" s="292"/>
    </row>
    <row r="165" spans="1:16" x14ac:dyDescent="0.2"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P165" s="292"/>
    </row>
    <row r="167" spans="1:16" x14ac:dyDescent="0.2"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</row>
  </sheetData>
  <mergeCells count="2">
    <mergeCell ref="Q1:W1"/>
    <mergeCell ref="A1:O1"/>
  </mergeCells>
  <pageMargins left="0.7" right="0.7" top="0.75" bottom="0.75" header="0.3" footer="0.3"/>
  <ignoredErrors>
    <ignoredError sqref="C147:N153 S147:W156 S2:V2 S5:W93 S101:W145 C139:N143 D144:N144" formulaRange="1"/>
    <ignoredError sqref="C145:N145" formula="1" formulaRange="1"/>
    <ignoredError sqref="C6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7DD8-D51B-9544-BD97-3D676E5C228D}">
  <dimension ref="B2:AG146"/>
  <sheetViews>
    <sheetView showGridLines="0" workbookViewId="0">
      <selection activeCell="C18" sqref="C18:L29"/>
    </sheetView>
  </sheetViews>
  <sheetFormatPr baseColWidth="10" defaultColWidth="10.83203125" defaultRowHeight="16" x14ac:dyDescent="0.2"/>
  <cols>
    <col min="1" max="1" width="10.83203125" style="1"/>
    <col min="2" max="2" width="7.83203125" style="1" customWidth="1"/>
    <col min="3" max="3" width="22.6640625" style="1" bestFit="1" customWidth="1"/>
    <col min="4" max="4" width="16" style="1" bestFit="1" customWidth="1"/>
    <col min="5" max="7" width="12.5" style="1" bestFit="1" customWidth="1"/>
    <col min="8" max="8" width="9.1640625" style="1" bestFit="1" customWidth="1"/>
    <col min="9" max="9" width="12.5" style="1" bestFit="1" customWidth="1"/>
    <col min="10" max="10" width="11.5" style="1" bestFit="1" customWidth="1"/>
    <col min="11" max="11" width="12.5" style="1" bestFit="1" customWidth="1"/>
    <col min="12" max="12" width="10" style="1" customWidth="1"/>
    <col min="13" max="14" width="12.6640625" style="1" bestFit="1" customWidth="1"/>
    <col min="15" max="15" width="16.1640625" style="1" bestFit="1" customWidth="1"/>
    <col min="16" max="17" width="12.6640625" style="1" bestFit="1" customWidth="1"/>
    <col min="18" max="18" width="6.83203125" style="1" bestFit="1" customWidth="1"/>
    <col min="19" max="19" width="12.6640625" style="1" bestFit="1" customWidth="1"/>
    <col min="20" max="20" width="8.83203125" style="1" bestFit="1" customWidth="1"/>
    <col min="21" max="21" width="12.83203125" style="1" bestFit="1" customWidth="1"/>
    <col min="22" max="22" width="12.6640625" style="1" bestFit="1" customWidth="1"/>
    <col min="23" max="23" width="8.33203125" style="1" customWidth="1"/>
    <col min="24" max="25" width="12.5" style="1" bestFit="1" customWidth="1"/>
    <col min="26" max="26" width="8.6640625" style="1" bestFit="1" customWidth="1"/>
    <col min="27" max="27" width="10.83203125" style="1"/>
    <col min="28" max="31" width="8.6640625" style="1" bestFit="1" customWidth="1"/>
    <col min="32" max="32" width="9.6640625" style="1" bestFit="1" customWidth="1"/>
    <col min="33" max="36" width="8.6640625" style="1" bestFit="1" customWidth="1"/>
    <col min="37" max="37" width="9.6640625" style="1" bestFit="1" customWidth="1"/>
    <col min="38" max="16384" width="10.83203125" style="1"/>
  </cols>
  <sheetData>
    <row r="2" spans="2:29" x14ac:dyDescent="0.2">
      <c r="I2" s="2" t="s">
        <v>0</v>
      </c>
      <c r="S2" s="370" t="s">
        <v>1</v>
      </c>
      <c r="T2" s="370"/>
      <c r="U2" s="370"/>
      <c r="V2" s="370"/>
      <c r="W2" s="370"/>
      <c r="X2" s="370"/>
      <c r="Y2" s="370"/>
      <c r="Z2" s="370"/>
      <c r="AA2" s="370"/>
      <c r="AB2" s="370"/>
      <c r="AC2" s="370"/>
    </row>
    <row r="3" spans="2:29" ht="23.5" customHeight="1" x14ac:dyDescent="0.2">
      <c r="Q3" s="3" t="s">
        <v>2</v>
      </c>
    </row>
    <row r="4" spans="2:29" x14ac:dyDescent="0.2">
      <c r="B4" s="383">
        <v>1</v>
      </c>
      <c r="C4" s="372" t="s">
        <v>70</v>
      </c>
      <c r="D4" s="372"/>
      <c r="E4" s="372"/>
      <c r="F4" s="372"/>
      <c r="G4" s="372"/>
      <c r="H4" s="372"/>
      <c r="I4" s="372"/>
      <c r="J4" s="372"/>
      <c r="K4" s="372"/>
      <c r="L4" s="372"/>
      <c r="M4" s="372"/>
      <c r="N4" s="372"/>
      <c r="O4" s="4"/>
      <c r="P4" s="5" t="s">
        <v>4</v>
      </c>
      <c r="Q4" s="6" t="s">
        <v>4</v>
      </c>
      <c r="S4" s="372" t="s">
        <v>5</v>
      </c>
      <c r="T4" s="372"/>
      <c r="U4" s="372"/>
      <c r="V4" s="372"/>
      <c r="X4" s="371" t="s">
        <v>3</v>
      </c>
      <c r="Y4" s="371"/>
      <c r="Z4" s="371"/>
      <c r="AA4" s="371"/>
      <c r="AB4" s="371"/>
      <c r="AC4" s="371"/>
    </row>
    <row r="5" spans="2:29" s="4" customFormat="1" ht="42" x14ac:dyDescent="0.2">
      <c r="B5" s="383"/>
      <c r="C5" s="7" t="s">
        <v>6</v>
      </c>
      <c r="D5" s="8">
        <v>2024</v>
      </c>
      <c r="E5" s="8" t="s">
        <v>7</v>
      </c>
      <c r="F5" s="8" t="s">
        <v>8</v>
      </c>
      <c r="G5" s="9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9" t="s">
        <v>16</v>
      </c>
      <c r="P5" s="8" t="s">
        <v>17</v>
      </c>
      <c r="Q5" s="10" t="s">
        <v>18</v>
      </c>
      <c r="S5" s="11" t="s">
        <v>23</v>
      </c>
      <c r="T5" s="8">
        <v>2025</v>
      </c>
      <c r="U5" s="8" t="s">
        <v>20</v>
      </c>
      <c r="V5" s="8" t="s">
        <v>24</v>
      </c>
      <c r="X5" s="8" t="s">
        <v>19</v>
      </c>
      <c r="Y5" s="8">
        <v>2024</v>
      </c>
      <c r="Z5" s="8">
        <v>2025</v>
      </c>
      <c r="AA5" s="8" t="s">
        <v>20</v>
      </c>
      <c r="AB5" s="8" t="s">
        <v>21</v>
      </c>
      <c r="AC5" s="8" t="s">
        <v>22</v>
      </c>
    </row>
    <row r="6" spans="2:29" x14ac:dyDescent="0.2">
      <c r="B6" s="383"/>
      <c r="C6" s="12" t="s">
        <v>25</v>
      </c>
      <c r="D6" s="13">
        <v>140500000</v>
      </c>
      <c r="E6" s="13">
        <v>70053607</v>
      </c>
      <c r="F6" s="13">
        <v>143242813</v>
      </c>
      <c r="G6" s="14">
        <f t="shared" ref="G6:G13" si="0">SUM(E6:F6)</f>
        <v>213296420</v>
      </c>
      <c r="H6" s="15">
        <v>0.5</v>
      </c>
      <c r="I6" s="13">
        <f t="shared" ref="I6:I13" si="1">E6*(1+H6)</f>
        <v>105080410.5</v>
      </c>
      <c r="J6" s="13">
        <v>9000000</v>
      </c>
      <c r="K6" s="13">
        <f t="shared" ref="K6:K13" si="2">F6-J6</f>
        <v>134242813</v>
      </c>
      <c r="L6" s="16">
        <v>0.32500000000000001</v>
      </c>
      <c r="M6" s="13">
        <f t="shared" ref="M6:M13" si="3">K6*(1+L6)</f>
        <v>177871727.22499999</v>
      </c>
      <c r="N6" s="14">
        <f t="shared" ref="N6:N13" si="4">I6+M6</f>
        <v>282952137.72500002</v>
      </c>
      <c r="P6" s="13">
        <f>N6</f>
        <v>282952137.72500002</v>
      </c>
      <c r="Q6" s="13">
        <v>355556878</v>
      </c>
      <c r="S6" s="12" t="s">
        <v>26</v>
      </c>
      <c r="T6" s="17">
        <f>E14/1000</f>
        <v>152044.33600000001</v>
      </c>
      <c r="U6" s="17">
        <f>I14/1000</f>
        <v>314835.36189999996</v>
      </c>
      <c r="V6" s="16">
        <f>U6/T6-1</f>
        <v>1.0706812906203882</v>
      </c>
      <c r="X6" s="12" t="s">
        <v>25</v>
      </c>
      <c r="Y6" s="17">
        <v>140500</v>
      </c>
      <c r="Z6" s="17">
        <v>213296.42</v>
      </c>
      <c r="AA6" s="17">
        <f t="shared" ref="AA6:AA13" si="5">N6/1000</f>
        <v>282952.13772500004</v>
      </c>
      <c r="AB6" s="16">
        <f>Z6/Y6-1</f>
        <v>0.51812398576512475</v>
      </c>
      <c r="AC6" s="16">
        <f>AA6/Z6-1</f>
        <v>0.3265676832503801</v>
      </c>
    </row>
    <row r="7" spans="2:29" x14ac:dyDescent="0.2">
      <c r="B7" s="383"/>
      <c r="C7" s="12" t="s">
        <v>27</v>
      </c>
      <c r="D7" s="13">
        <v>16100000.000000002</v>
      </c>
      <c r="E7" s="13">
        <v>13752678</v>
      </c>
      <c r="F7" s="13">
        <v>13930924</v>
      </c>
      <c r="G7" s="14">
        <f t="shared" si="0"/>
        <v>27683602</v>
      </c>
      <c r="H7" s="18">
        <v>2</v>
      </c>
      <c r="I7" s="13">
        <f t="shared" si="1"/>
        <v>41258034</v>
      </c>
      <c r="J7" s="13">
        <v>1515000</v>
      </c>
      <c r="K7" s="13">
        <f t="shared" si="2"/>
        <v>12415924</v>
      </c>
      <c r="L7" s="16">
        <f t="shared" ref="L7:L13" si="6">L6</f>
        <v>0.32500000000000001</v>
      </c>
      <c r="M7" s="13">
        <f t="shared" si="3"/>
        <v>16451099.299999999</v>
      </c>
      <c r="N7" s="14">
        <f t="shared" si="4"/>
        <v>57709133.299999997</v>
      </c>
      <c r="P7" s="13">
        <v>100000000</v>
      </c>
      <c r="Q7" s="13">
        <v>102262500</v>
      </c>
      <c r="S7" s="12" t="s">
        <v>28</v>
      </c>
      <c r="T7" s="17">
        <f>F14/1000</f>
        <v>232743.67300000001</v>
      </c>
      <c r="U7" s="17">
        <f>M14/1000</f>
        <v>285297.24172500003</v>
      </c>
      <c r="V7" s="16">
        <f t="shared" ref="V7:V8" si="7">U7/T7-1</f>
        <v>0.22580020349253505</v>
      </c>
      <c r="X7" s="12" t="s">
        <v>27</v>
      </c>
      <c r="Y7" s="17">
        <v>16100.000000000002</v>
      </c>
      <c r="Z7" s="17">
        <v>27683.601999999999</v>
      </c>
      <c r="AA7" s="17">
        <f t="shared" si="5"/>
        <v>57709.133299999994</v>
      </c>
      <c r="AB7" s="16">
        <f t="shared" ref="AB7:AC13" si="8">Z7/Y7-1</f>
        <v>0.71947838509316742</v>
      </c>
      <c r="AC7" s="16">
        <f t="shared" si="8"/>
        <v>1.0845962638821347</v>
      </c>
    </row>
    <row r="8" spans="2:29" x14ac:dyDescent="0.2">
      <c r="B8" s="383"/>
      <c r="C8" s="12" t="s">
        <v>29</v>
      </c>
      <c r="D8" s="13">
        <v>17900000</v>
      </c>
      <c r="E8" s="13">
        <v>25018010</v>
      </c>
      <c r="F8" s="13">
        <v>19223725</v>
      </c>
      <c r="G8" s="14">
        <f t="shared" si="0"/>
        <v>44241735</v>
      </c>
      <c r="H8" s="18">
        <v>0.5</v>
      </c>
      <c r="I8" s="13">
        <f t="shared" si="1"/>
        <v>37527015</v>
      </c>
      <c r="J8" s="13">
        <f>2310000</f>
        <v>2310000</v>
      </c>
      <c r="K8" s="13">
        <f t="shared" si="2"/>
        <v>16913725</v>
      </c>
      <c r="L8" s="16">
        <f t="shared" si="6"/>
        <v>0.32500000000000001</v>
      </c>
      <c r="M8" s="13">
        <f t="shared" si="3"/>
        <v>22410685.625</v>
      </c>
      <c r="N8" s="14">
        <f t="shared" si="4"/>
        <v>59937700.625</v>
      </c>
      <c r="P8" s="13">
        <f>N8</f>
        <v>59937700.625</v>
      </c>
      <c r="Q8" s="13">
        <v>95747000</v>
      </c>
      <c r="S8" s="19" t="s">
        <v>30</v>
      </c>
      <c r="T8" s="19">
        <f>T6+T7</f>
        <v>384788.00900000002</v>
      </c>
      <c r="U8" s="19">
        <f>U6+U7</f>
        <v>600132.60362499999</v>
      </c>
      <c r="V8" s="20">
        <f t="shared" si="7"/>
        <v>0.55964476435906807</v>
      </c>
      <c r="X8" s="12" t="s">
        <v>29</v>
      </c>
      <c r="Y8" s="17">
        <v>17900</v>
      </c>
      <c r="Z8" s="17">
        <v>44241.735000000001</v>
      </c>
      <c r="AA8" s="17">
        <f t="shared" si="5"/>
        <v>59937.700624999998</v>
      </c>
      <c r="AB8" s="16">
        <f t="shared" si="8"/>
        <v>1.4716053072625699</v>
      </c>
      <c r="AC8" s="16">
        <f t="shared" si="8"/>
        <v>0.35477735276430722</v>
      </c>
    </row>
    <row r="9" spans="2:29" x14ac:dyDescent="0.2">
      <c r="B9" s="383"/>
      <c r="C9" s="12" t="s">
        <v>69</v>
      </c>
      <c r="D9" s="13">
        <v>6000000</v>
      </c>
      <c r="E9" s="13">
        <v>8415736</v>
      </c>
      <c r="F9" s="13">
        <v>4773941</v>
      </c>
      <c r="G9" s="14">
        <f t="shared" si="0"/>
        <v>13189677</v>
      </c>
      <c r="H9" s="18">
        <v>2</v>
      </c>
      <c r="I9" s="13">
        <f t="shared" si="1"/>
        <v>25247208</v>
      </c>
      <c r="J9" s="13">
        <v>4500000</v>
      </c>
      <c r="K9" s="13">
        <f t="shared" si="2"/>
        <v>273941</v>
      </c>
      <c r="L9" s="16">
        <f t="shared" si="6"/>
        <v>0.32500000000000001</v>
      </c>
      <c r="M9" s="13">
        <f t="shared" si="3"/>
        <v>362971.82500000001</v>
      </c>
      <c r="N9" s="14">
        <f t="shared" si="4"/>
        <v>25610179.824999999</v>
      </c>
      <c r="P9" s="13">
        <v>43000000</v>
      </c>
      <c r="Q9" s="13">
        <v>34635137</v>
      </c>
      <c r="X9" s="12" t="s">
        <v>69</v>
      </c>
      <c r="Y9" s="17">
        <v>6000</v>
      </c>
      <c r="Z9" s="17">
        <v>13189.677</v>
      </c>
      <c r="AA9" s="17">
        <f t="shared" si="5"/>
        <v>25610.179824999999</v>
      </c>
      <c r="AB9" s="16">
        <f t="shared" si="8"/>
        <v>1.1982794999999999</v>
      </c>
      <c r="AC9" s="16">
        <f t="shared" si="8"/>
        <v>0.94168362310919362</v>
      </c>
    </row>
    <row r="10" spans="2:29" x14ac:dyDescent="0.2">
      <c r="B10" s="383"/>
      <c r="C10" s="12" t="s">
        <v>32</v>
      </c>
      <c r="D10" s="13">
        <v>100000</v>
      </c>
      <c r="E10" s="13">
        <v>3806445</v>
      </c>
      <c r="F10" s="13">
        <v>2987175</v>
      </c>
      <c r="G10" s="14">
        <f t="shared" si="0"/>
        <v>6793620</v>
      </c>
      <c r="H10" s="18">
        <v>0.5</v>
      </c>
      <c r="I10" s="13">
        <f t="shared" si="1"/>
        <v>5709667.5</v>
      </c>
      <c r="J10" s="13">
        <v>100000</v>
      </c>
      <c r="K10" s="13">
        <f t="shared" si="2"/>
        <v>2887175</v>
      </c>
      <c r="L10" s="16">
        <f t="shared" si="6"/>
        <v>0.32500000000000001</v>
      </c>
      <c r="M10" s="13">
        <f t="shared" si="3"/>
        <v>3825506.875</v>
      </c>
      <c r="N10" s="14">
        <f t="shared" si="4"/>
        <v>9535174.375</v>
      </c>
      <c r="P10" s="13">
        <v>16000000</v>
      </c>
      <c r="Q10" s="13">
        <v>16146000</v>
      </c>
      <c r="X10" s="12" t="s">
        <v>32</v>
      </c>
      <c r="Y10" s="17">
        <v>100</v>
      </c>
      <c r="Z10" s="17">
        <v>6793.62</v>
      </c>
      <c r="AA10" s="17">
        <f t="shared" si="5"/>
        <v>9535.1743750000005</v>
      </c>
      <c r="AB10" s="16">
        <f t="shared" si="8"/>
        <v>66.936199999999999</v>
      </c>
      <c r="AC10" s="16">
        <f t="shared" si="8"/>
        <v>0.40354838436650864</v>
      </c>
    </row>
    <row r="11" spans="2:29" x14ac:dyDescent="0.2">
      <c r="B11" s="383"/>
      <c r="C11" s="12" t="s">
        <v>33</v>
      </c>
      <c r="D11" s="13">
        <v>14000000</v>
      </c>
      <c r="E11" s="13">
        <v>25326464</v>
      </c>
      <c r="F11" s="13">
        <v>0</v>
      </c>
      <c r="G11" s="14">
        <f t="shared" si="0"/>
        <v>25326464</v>
      </c>
      <c r="H11" s="18">
        <v>2</v>
      </c>
      <c r="I11" s="13">
        <f t="shared" si="1"/>
        <v>75979392</v>
      </c>
      <c r="J11" s="13"/>
      <c r="K11" s="13">
        <f t="shared" si="2"/>
        <v>0</v>
      </c>
      <c r="L11" s="16">
        <f t="shared" si="6"/>
        <v>0.32500000000000001</v>
      </c>
      <c r="M11" s="13">
        <f t="shared" si="3"/>
        <v>0</v>
      </c>
      <c r="N11" s="14">
        <f t="shared" si="4"/>
        <v>75979392</v>
      </c>
      <c r="P11" s="13">
        <f>N11</f>
        <v>75979392</v>
      </c>
      <c r="Q11" s="13">
        <f>N11</f>
        <v>75979392</v>
      </c>
      <c r="X11" s="12" t="s">
        <v>33</v>
      </c>
      <c r="Y11" s="17">
        <v>14000</v>
      </c>
      <c r="Z11" s="17">
        <v>25326.464</v>
      </c>
      <c r="AA11" s="17">
        <f t="shared" si="5"/>
        <v>75979.392000000007</v>
      </c>
      <c r="AB11" s="16">
        <f t="shared" si="8"/>
        <v>0.8090331428571429</v>
      </c>
      <c r="AC11" s="16">
        <f t="shared" si="8"/>
        <v>2.0000000000000004</v>
      </c>
    </row>
    <row r="12" spans="2:29" x14ac:dyDescent="0.2">
      <c r="B12" s="383"/>
      <c r="C12" s="12" t="s">
        <v>34</v>
      </c>
      <c r="D12" s="13">
        <v>35000000</v>
      </c>
      <c r="E12" s="13">
        <v>690653</v>
      </c>
      <c r="F12" s="13">
        <v>48585095</v>
      </c>
      <c r="G12" s="14">
        <f t="shared" si="0"/>
        <v>49275748</v>
      </c>
      <c r="H12" s="15">
        <v>10</v>
      </c>
      <c r="I12" s="13">
        <f t="shared" si="1"/>
        <v>7597183</v>
      </c>
      <c r="J12" s="13"/>
      <c r="K12" s="13">
        <f t="shared" si="2"/>
        <v>48585095</v>
      </c>
      <c r="L12" s="16">
        <f t="shared" si="6"/>
        <v>0.32500000000000001</v>
      </c>
      <c r="M12" s="13">
        <f t="shared" si="3"/>
        <v>64375250.875</v>
      </c>
      <c r="N12" s="14">
        <f t="shared" si="4"/>
        <v>71972433.875</v>
      </c>
      <c r="P12" s="13">
        <f>N12</f>
        <v>71972433.875</v>
      </c>
      <c r="Q12" s="13">
        <f>N12</f>
        <v>71972433.875</v>
      </c>
      <c r="X12" s="12" t="s">
        <v>34</v>
      </c>
      <c r="Y12" s="17">
        <v>35000</v>
      </c>
      <c r="Z12" s="17">
        <v>49275.748</v>
      </c>
      <c r="AA12" s="17">
        <f t="shared" si="5"/>
        <v>71972.433875000002</v>
      </c>
      <c r="AB12" s="16">
        <f t="shared" si="8"/>
        <v>0.4078785142857142</v>
      </c>
      <c r="AC12" s="16">
        <f t="shared" si="8"/>
        <v>0.46060560815839868</v>
      </c>
    </row>
    <row r="13" spans="2:29" x14ac:dyDescent="0.2">
      <c r="B13" s="383"/>
      <c r="C13" s="12" t="s">
        <v>35</v>
      </c>
      <c r="D13" s="13">
        <v>0</v>
      </c>
      <c r="E13" s="13">
        <v>4980743</v>
      </c>
      <c r="F13" s="13">
        <v>0</v>
      </c>
      <c r="G13" s="14">
        <f t="shared" si="0"/>
        <v>4980743</v>
      </c>
      <c r="H13" s="15">
        <v>2.2999999999999998</v>
      </c>
      <c r="I13" s="13">
        <f t="shared" si="1"/>
        <v>16436451.899999999</v>
      </c>
      <c r="J13" s="13"/>
      <c r="K13" s="13">
        <f t="shared" si="2"/>
        <v>0</v>
      </c>
      <c r="L13" s="16">
        <f t="shared" si="6"/>
        <v>0.32500000000000001</v>
      </c>
      <c r="M13" s="13">
        <f t="shared" si="3"/>
        <v>0</v>
      </c>
      <c r="N13" s="14">
        <f t="shared" si="4"/>
        <v>16436451.899999999</v>
      </c>
      <c r="P13" s="13">
        <f>N13</f>
        <v>16436451.899999999</v>
      </c>
      <c r="Q13" s="13">
        <f>N13</f>
        <v>16436451.899999999</v>
      </c>
      <c r="X13" s="12" t="s">
        <v>35</v>
      </c>
      <c r="Y13" s="17">
        <v>0</v>
      </c>
      <c r="Z13" s="17">
        <v>4980.7430000000004</v>
      </c>
      <c r="AA13" s="17">
        <f t="shared" si="5"/>
        <v>16436.4519</v>
      </c>
      <c r="AB13" s="16"/>
      <c r="AC13" s="16">
        <f t="shared" si="8"/>
        <v>2.2999999999999998</v>
      </c>
    </row>
    <row r="14" spans="2:29" s="23" customFormat="1" x14ac:dyDescent="0.2">
      <c r="B14" s="383"/>
      <c r="C14" s="21" t="s">
        <v>30</v>
      </c>
      <c r="D14" s="22">
        <f>SUM(D6:D13)</f>
        <v>229600000</v>
      </c>
      <c r="E14" s="22">
        <f>SUM(E6:E13)</f>
        <v>152044336</v>
      </c>
      <c r="F14" s="22">
        <f>SUM(F6:F13)</f>
        <v>232743673</v>
      </c>
      <c r="G14" s="22">
        <f>SUM(G6:G13)</f>
        <v>384788009</v>
      </c>
      <c r="H14" s="22"/>
      <c r="I14" s="22">
        <f>SUM(I6:I13)</f>
        <v>314835361.89999998</v>
      </c>
      <c r="J14" s="22">
        <f>SUM(J6:J13)</f>
        <v>17425000</v>
      </c>
      <c r="K14" s="22">
        <f>SUM(K6:K13)</f>
        <v>215318673</v>
      </c>
      <c r="L14" s="22"/>
      <c r="M14" s="22">
        <f>SUM(M6:M13)</f>
        <v>285297241.72500002</v>
      </c>
      <c r="N14" s="22">
        <f>SUM(N6:N13)</f>
        <v>600132603.625</v>
      </c>
      <c r="P14" s="22">
        <f>SUM(P6:P13)</f>
        <v>666278116.125</v>
      </c>
      <c r="Q14" s="22">
        <f>SUM(Q6:Q13)</f>
        <v>768735792.77499998</v>
      </c>
      <c r="X14" s="24" t="s">
        <v>30</v>
      </c>
      <c r="Y14" s="19">
        <f t="shared" ref="Y14:AA14" si="9">SUM(Y6:Y13)</f>
        <v>229600</v>
      </c>
      <c r="Z14" s="19">
        <f t="shared" si="9"/>
        <v>384788.00900000002</v>
      </c>
      <c r="AA14" s="19">
        <f t="shared" si="9"/>
        <v>600132.60362499999</v>
      </c>
      <c r="AB14" s="20">
        <f>Z14/Y14-1</f>
        <v>0.67590596254355417</v>
      </c>
      <c r="AC14" s="20">
        <f>AA14/Z14-1</f>
        <v>0.55964476435906807</v>
      </c>
    </row>
    <row r="15" spans="2:29" s="28" customFormat="1" x14ac:dyDescent="0.2">
      <c r="C15" s="25"/>
      <c r="D15" s="26"/>
      <c r="E15" s="26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Y15" s="1"/>
    </row>
    <row r="16" spans="2:29" x14ac:dyDescent="0.2">
      <c r="M16" s="29"/>
      <c r="N16" s="29"/>
      <c r="O16" s="29"/>
      <c r="P16" s="29"/>
      <c r="Q16" s="29"/>
      <c r="R16" s="29"/>
      <c r="S16" s="29"/>
      <c r="T16" s="29"/>
      <c r="U16" s="30"/>
      <c r="V16" s="29"/>
    </row>
    <row r="17" spans="2:22" ht="11.5" customHeight="1" x14ac:dyDescent="0.2">
      <c r="B17" s="70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3"/>
      <c r="N17" s="31"/>
      <c r="O17" s="32"/>
      <c r="P17" s="32"/>
      <c r="Q17" s="32"/>
      <c r="R17" s="29"/>
      <c r="S17" s="29"/>
      <c r="T17" s="32"/>
      <c r="U17" s="32"/>
      <c r="V17" s="32"/>
    </row>
    <row r="18" spans="2:22" s="33" customFormat="1" ht="24.5" customHeight="1" x14ac:dyDescent="0.2">
      <c r="B18" s="369">
        <v>2</v>
      </c>
      <c r="C18" s="384" t="s">
        <v>45</v>
      </c>
      <c r="D18" s="384"/>
      <c r="E18" s="384"/>
      <c r="F18" s="384"/>
      <c r="G18" s="384"/>
      <c r="H18" s="384"/>
      <c r="I18" s="384"/>
      <c r="J18" s="384"/>
      <c r="K18" s="384"/>
      <c r="L18" s="384"/>
      <c r="M18" s="74"/>
    </row>
    <row r="19" spans="2:22" ht="22" customHeight="1" x14ac:dyDescent="0.2">
      <c r="B19" s="369"/>
      <c r="C19" s="385" t="s">
        <v>19</v>
      </c>
      <c r="D19" s="382">
        <v>2025</v>
      </c>
      <c r="E19" s="382"/>
      <c r="F19" s="386"/>
      <c r="G19" s="382" t="s">
        <v>20</v>
      </c>
      <c r="H19" s="382" t="s">
        <v>21</v>
      </c>
      <c r="I19" s="386" t="s">
        <v>22</v>
      </c>
      <c r="J19" s="382" t="s">
        <v>43</v>
      </c>
      <c r="K19" s="382" t="s">
        <v>21</v>
      </c>
      <c r="L19" s="382" t="s">
        <v>22</v>
      </c>
      <c r="M19" s="75"/>
    </row>
    <row r="20" spans="2:22" ht="22" customHeight="1" x14ac:dyDescent="0.2">
      <c r="B20" s="369"/>
      <c r="C20" s="386"/>
      <c r="D20" s="56" t="s">
        <v>26</v>
      </c>
      <c r="E20" s="56" t="s">
        <v>37</v>
      </c>
      <c r="F20" s="57" t="s">
        <v>30</v>
      </c>
      <c r="G20" s="56" t="s">
        <v>26</v>
      </c>
      <c r="H20" s="56" t="s">
        <v>37</v>
      </c>
      <c r="I20" s="260" t="s">
        <v>30</v>
      </c>
      <c r="J20" s="56" t="s">
        <v>26</v>
      </c>
      <c r="K20" s="56" t="s">
        <v>37</v>
      </c>
      <c r="L20" s="56" t="s">
        <v>30</v>
      </c>
      <c r="M20" s="75"/>
    </row>
    <row r="21" spans="2:22" x14ac:dyDescent="0.2">
      <c r="B21" s="369"/>
      <c r="C21" s="58" t="s">
        <v>25</v>
      </c>
      <c r="D21" s="59">
        <v>70053.607000000004</v>
      </c>
      <c r="E21" s="59">
        <v>143242.81299999999</v>
      </c>
      <c r="F21" s="60">
        <f>SUM(D21:E21)</f>
        <v>213296.41999999998</v>
      </c>
      <c r="G21" s="59">
        <f>I6/1000</f>
        <v>105080.4105</v>
      </c>
      <c r="H21" s="59">
        <f>M6/1000</f>
        <v>177871.72722499998</v>
      </c>
      <c r="I21" s="159">
        <f>SUM(G21:H21)</f>
        <v>282952.13772499998</v>
      </c>
      <c r="J21" s="76">
        <f>G21/D21-1</f>
        <v>0.5</v>
      </c>
      <c r="K21" s="76">
        <f t="shared" ref="K21:L29" si="10">H21/E21-1</f>
        <v>0.24174974995080545</v>
      </c>
      <c r="L21" s="76">
        <f t="shared" si="10"/>
        <v>0.32656768325037988</v>
      </c>
      <c r="M21" s="75"/>
    </row>
    <row r="22" spans="2:22" x14ac:dyDescent="0.2">
      <c r="B22" s="369"/>
      <c r="C22" s="58" t="s">
        <v>27</v>
      </c>
      <c r="D22" s="59">
        <v>13752.678</v>
      </c>
      <c r="E22" s="59">
        <v>13930.924000000001</v>
      </c>
      <c r="F22" s="60">
        <f t="shared" ref="F22:F28" si="11">SUM(D22:E22)</f>
        <v>27683.601999999999</v>
      </c>
      <c r="G22" s="59">
        <f t="shared" ref="G22:G28" si="12">I7/1000</f>
        <v>41258.034</v>
      </c>
      <c r="H22" s="59">
        <f t="shared" ref="H22:H28" si="13">M7/1000</f>
        <v>16451.099299999998</v>
      </c>
      <c r="I22" s="159">
        <f t="shared" ref="I22:I28" si="14">SUM(G22:H22)</f>
        <v>57709.133300000001</v>
      </c>
      <c r="J22" s="76">
        <f>G22/D23-1</f>
        <v>0.64913332435313609</v>
      </c>
      <c r="K22" s="76">
        <f t="shared" si="10"/>
        <v>0.18090510722763242</v>
      </c>
      <c r="L22" s="76">
        <f t="shared" si="10"/>
        <v>1.0845962638821351</v>
      </c>
      <c r="M22" s="75"/>
    </row>
    <row r="23" spans="2:22" x14ac:dyDescent="0.2">
      <c r="B23" s="369"/>
      <c r="C23" s="58" t="s">
        <v>29</v>
      </c>
      <c r="D23" s="59">
        <v>25018.01</v>
      </c>
      <c r="E23" s="59">
        <v>19223.724999999999</v>
      </c>
      <c r="F23" s="60">
        <f>SUM(D23:E23)</f>
        <v>44241.735000000001</v>
      </c>
      <c r="G23" s="59">
        <f t="shared" si="12"/>
        <v>37527.014999999999</v>
      </c>
      <c r="H23" s="59">
        <f t="shared" si="13"/>
        <v>22410.685624999998</v>
      </c>
      <c r="I23" s="159">
        <f t="shared" si="14"/>
        <v>59937.700624999998</v>
      </c>
      <c r="J23" s="76">
        <f t="shared" ref="J23:J24" si="15">G23/D24-1</f>
        <v>3.4591483145383837</v>
      </c>
      <c r="K23" s="76">
        <f t="shared" si="10"/>
        <v>0.16578267869520613</v>
      </c>
      <c r="L23" s="76">
        <f t="shared" si="10"/>
        <v>0.35477735276430722</v>
      </c>
      <c r="M23" s="75"/>
    </row>
    <row r="24" spans="2:22" x14ac:dyDescent="0.2">
      <c r="B24" s="369"/>
      <c r="C24" s="58" t="s">
        <v>69</v>
      </c>
      <c r="D24" s="59">
        <v>8415.7360000000008</v>
      </c>
      <c r="E24" s="59">
        <v>4773.9409999999998</v>
      </c>
      <c r="F24" s="60">
        <f t="shared" si="11"/>
        <v>13189.677</v>
      </c>
      <c r="G24" s="59">
        <f t="shared" si="12"/>
        <v>25247.207999999999</v>
      </c>
      <c r="H24" s="59">
        <f t="shared" si="13"/>
        <v>362.97182500000002</v>
      </c>
      <c r="I24" s="159">
        <f t="shared" si="14"/>
        <v>25610.179824999999</v>
      </c>
      <c r="J24" s="76">
        <f t="shared" si="15"/>
        <v>5.6327526077481735</v>
      </c>
      <c r="K24" s="76">
        <f t="shared" si="10"/>
        <v>-0.92396809575149752</v>
      </c>
      <c r="L24" s="76">
        <f t="shared" si="10"/>
        <v>0.94168362310919362</v>
      </c>
      <c r="M24" s="75"/>
    </row>
    <row r="25" spans="2:22" x14ac:dyDescent="0.2">
      <c r="B25" s="369"/>
      <c r="C25" s="58" t="s">
        <v>32</v>
      </c>
      <c r="D25" s="59">
        <v>3806.4450000000002</v>
      </c>
      <c r="E25" s="59">
        <v>2987.1750000000002</v>
      </c>
      <c r="F25" s="60">
        <f t="shared" si="11"/>
        <v>6793.6200000000008</v>
      </c>
      <c r="G25" s="59">
        <f t="shared" si="12"/>
        <v>5709.6674999999996</v>
      </c>
      <c r="H25" s="59">
        <f t="shared" si="13"/>
        <v>3825.506875</v>
      </c>
      <c r="I25" s="159">
        <f t="shared" si="14"/>
        <v>9535.1743749999987</v>
      </c>
      <c r="J25" s="76">
        <f t="shared" ref="J25:K29" si="16">G25/D25-1</f>
        <v>0.49999999999999978</v>
      </c>
      <c r="K25" s="76">
        <f t="shared" si="10"/>
        <v>0.28064371019441436</v>
      </c>
      <c r="L25" s="76">
        <f t="shared" si="10"/>
        <v>0.40354838436650819</v>
      </c>
      <c r="M25" s="75"/>
    </row>
    <row r="26" spans="2:22" x14ac:dyDescent="0.2">
      <c r="B26" s="369"/>
      <c r="C26" s="157" t="s">
        <v>33</v>
      </c>
      <c r="D26" s="158">
        <v>25326.464</v>
      </c>
      <c r="E26" s="158">
        <v>0</v>
      </c>
      <c r="F26" s="159">
        <f t="shared" si="11"/>
        <v>25326.464</v>
      </c>
      <c r="G26" s="158">
        <f>'[1]SatışYönHedef-Yıllık-2026 (L'!$H$31/1000</f>
        <v>111000</v>
      </c>
      <c r="H26" s="158">
        <f>'[1]SatışYönHedef-Yıllık-2026 (L'!$H$32/1000</f>
        <v>35979.392</v>
      </c>
      <c r="I26" s="160">
        <f t="shared" si="14"/>
        <v>146979.39199999999</v>
      </c>
      <c r="J26" s="161">
        <f t="shared" si="16"/>
        <v>3.3827673693414129</v>
      </c>
      <c r="K26" s="161"/>
      <c r="L26" s="162">
        <f t="shared" si="10"/>
        <v>4.8033917407499125</v>
      </c>
      <c r="M26" s="75"/>
    </row>
    <row r="27" spans="2:22" s="35" customFormat="1" x14ac:dyDescent="0.2">
      <c r="B27" s="369"/>
      <c r="C27" s="58" t="s">
        <v>34</v>
      </c>
      <c r="D27" s="59">
        <v>690.65300000000002</v>
      </c>
      <c r="E27" s="59">
        <v>48585.095000000001</v>
      </c>
      <c r="F27" s="60">
        <f t="shared" si="11"/>
        <v>49275.748</v>
      </c>
      <c r="G27" s="59">
        <f t="shared" si="12"/>
        <v>7597.183</v>
      </c>
      <c r="H27" s="59">
        <f t="shared" si="13"/>
        <v>64375.250874999998</v>
      </c>
      <c r="I27" s="160">
        <f t="shared" si="14"/>
        <v>71972.433875000002</v>
      </c>
      <c r="J27" s="76">
        <f t="shared" si="16"/>
        <v>10</v>
      </c>
      <c r="K27" s="76">
        <f t="shared" si="10"/>
        <v>0.32499999999999996</v>
      </c>
      <c r="L27" s="77">
        <f t="shared" si="10"/>
        <v>0.46060560815839868</v>
      </c>
      <c r="M27" s="78"/>
    </row>
    <row r="28" spans="2:22" x14ac:dyDescent="0.2">
      <c r="B28" s="369"/>
      <c r="C28" s="58" t="s">
        <v>35</v>
      </c>
      <c r="D28" s="59">
        <v>4980.7430000000004</v>
      </c>
      <c r="E28" s="59">
        <v>0</v>
      </c>
      <c r="F28" s="60">
        <f t="shared" si="11"/>
        <v>4980.7430000000004</v>
      </c>
      <c r="G28" s="59">
        <f t="shared" si="12"/>
        <v>16436.4519</v>
      </c>
      <c r="H28" s="59">
        <f t="shared" si="13"/>
        <v>0</v>
      </c>
      <c r="I28" s="159">
        <f t="shared" si="14"/>
        <v>16436.4519</v>
      </c>
      <c r="J28" s="76">
        <f t="shared" si="16"/>
        <v>2.2999999999999998</v>
      </c>
      <c r="K28" s="76"/>
      <c r="L28" s="76">
        <f t="shared" si="10"/>
        <v>2.2999999999999998</v>
      </c>
      <c r="M28" s="75"/>
    </row>
    <row r="29" spans="2:22" x14ac:dyDescent="0.2">
      <c r="B29" s="79"/>
      <c r="C29" s="62" t="s">
        <v>30</v>
      </c>
      <c r="D29" s="63">
        <f t="shared" ref="D29:I29" si="17">SUM(D21:D28)</f>
        <v>152044.33599999998</v>
      </c>
      <c r="E29" s="63">
        <f t="shared" si="17"/>
        <v>232743.67299999998</v>
      </c>
      <c r="F29" s="64">
        <f t="shared" si="17"/>
        <v>384788.00900000002</v>
      </c>
      <c r="G29" s="63">
        <f t="shared" si="17"/>
        <v>349855.96989999997</v>
      </c>
      <c r="H29" s="63">
        <f t="shared" si="17"/>
        <v>321276.63372499996</v>
      </c>
      <c r="I29" s="261">
        <f t="shared" si="17"/>
        <v>671132.60362499987</v>
      </c>
      <c r="J29" s="65">
        <f t="shared" si="16"/>
        <v>1.3010128433853665</v>
      </c>
      <c r="K29" s="65">
        <f t="shared" si="16"/>
        <v>0.38038825968429224</v>
      </c>
      <c r="L29" s="65">
        <f t="shared" si="10"/>
        <v>0.74416194872902031</v>
      </c>
      <c r="M29" s="75"/>
      <c r="R29" s="29"/>
    </row>
    <row r="30" spans="2:22" x14ac:dyDescent="0.2">
      <c r="B30" s="80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2"/>
      <c r="R30" s="29"/>
      <c r="S30" s="29"/>
    </row>
    <row r="31" spans="2:22" x14ac:dyDescent="0.2">
      <c r="R31" s="29"/>
      <c r="S31" s="29"/>
    </row>
    <row r="32" spans="2:22" x14ac:dyDescent="0.2">
      <c r="C32" s="1" t="s">
        <v>44</v>
      </c>
      <c r="R32" s="29"/>
      <c r="S32" s="29"/>
    </row>
    <row r="33" spans="2:33" s="33" customFormat="1" x14ac:dyDescent="0.2">
      <c r="B33" s="12">
        <v>1</v>
      </c>
      <c r="C33" s="12" t="s">
        <v>46</v>
      </c>
      <c r="D33" s="12"/>
      <c r="E33" s="12"/>
      <c r="F33" s="12"/>
      <c r="G33" s="17">
        <f>(F29-F26-F27-F28)*20%</f>
        <v>61041.010800000004</v>
      </c>
      <c r="H33" s="12"/>
      <c r="I33" s="12"/>
      <c r="J33" s="12"/>
      <c r="K33" s="12"/>
      <c r="L33" s="12"/>
      <c r="R33" s="29"/>
      <c r="S33" s="29"/>
      <c r="Y33" s="1"/>
      <c r="AA33" s="1"/>
      <c r="AB33" s="1"/>
      <c r="AC33" s="1"/>
      <c r="AD33" s="1"/>
      <c r="AE33" s="1"/>
      <c r="AF33" s="1"/>
      <c r="AG33" s="1"/>
    </row>
    <row r="34" spans="2:33" x14ac:dyDescent="0.2">
      <c r="B34" s="12">
        <v>2</v>
      </c>
      <c r="C34" s="12" t="s">
        <v>68</v>
      </c>
      <c r="D34" s="12"/>
      <c r="E34" s="12"/>
      <c r="F34" s="12"/>
      <c r="G34" s="17">
        <f>350*47</f>
        <v>16450</v>
      </c>
      <c r="H34" s="12"/>
      <c r="I34" s="12"/>
      <c r="J34" s="12"/>
      <c r="K34" s="12"/>
      <c r="L34" s="12"/>
      <c r="AA34" s="33"/>
      <c r="AB34" s="33"/>
      <c r="AC34" s="33"/>
      <c r="AD34" s="33"/>
      <c r="AE34" s="33"/>
      <c r="AF34" s="33"/>
      <c r="AG34" s="33"/>
    </row>
    <row r="35" spans="2:33" x14ac:dyDescent="0.2">
      <c r="B35" s="12">
        <v>3</v>
      </c>
      <c r="C35" s="12" t="s">
        <v>47</v>
      </c>
      <c r="D35" s="12"/>
      <c r="E35" s="12"/>
      <c r="F35" s="12"/>
      <c r="G35" s="17">
        <v>70</v>
      </c>
      <c r="H35" s="12"/>
      <c r="I35" s="12"/>
      <c r="J35" s="12"/>
      <c r="K35" s="12"/>
      <c r="L35" s="12"/>
      <c r="AC35" s="17"/>
    </row>
    <row r="36" spans="2:33" x14ac:dyDescent="0.2">
      <c r="B36" s="12">
        <v>4</v>
      </c>
      <c r="C36" s="12"/>
      <c r="D36" s="12"/>
      <c r="E36" s="12"/>
      <c r="F36" s="12"/>
      <c r="G36" s="17"/>
      <c r="H36" s="12"/>
      <c r="I36" s="12"/>
      <c r="J36" s="12"/>
      <c r="K36" s="12"/>
      <c r="L36" s="12"/>
    </row>
    <row r="37" spans="2:33" x14ac:dyDescent="0.2">
      <c r="B37" s="12">
        <v>5</v>
      </c>
      <c r="C37" s="12"/>
      <c r="D37" s="12"/>
      <c r="E37" s="12"/>
      <c r="F37" s="12"/>
      <c r="G37" s="17"/>
      <c r="H37" s="12"/>
      <c r="I37" s="12"/>
      <c r="J37" s="12"/>
      <c r="K37" s="12"/>
      <c r="L37" s="12"/>
    </row>
    <row r="38" spans="2:33" x14ac:dyDescent="0.2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2:33" x14ac:dyDescent="0.2">
      <c r="B39" s="12"/>
      <c r="C39" s="69" t="s">
        <v>48</v>
      </c>
      <c r="D39" s="67">
        <v>2025</v>
      </c>
      <c r="E39"/>
      <c r="F39"/>
      <c r="G39"/>
      <c r="H39"/>
      <c r="I39"/>
      <c r="J39"/>
      <c r="K39"/>
      <c r="L39"/>
      <c r="M39"/>
    </row>
    <row r="40" spans="2:33" x14ac:dyDescent="0.2">
      <c r="B40" s="12"/>
      <c r="C40"/>
      <c r="D40"/>
      <c r="E40"/>
      <c r="F40"/>
      <c r="G40"/>
      <c r="H40"/>
      <c r="I40"/>
      <c r="J40"/>
      <c r="K40"/>
      <c r="L40"/>
      <c r="M40"/>
    </row>
    <row r="41" spans="2:33" x14ac:dyDescent="0.2">
      <c r="B41" s="12"/>
      <c r="C41" s="69" t="s">
        <v>49</v>
      </c>
      <c r="D41" s="69" t="s">
        <v>50</v>
      </c>
      <c r="E41"/>
      <c r="F41"/>
      <c r="G41"/>
      <c r="H41"/>
      <c r="I41"/>
      <c r="J41"/>
      <c r="K41"/>
      <c r="L41"/>
      <c r="M41"/>
    </row>
    <row r="42" spans="2:33" ht="27.5" customHeight="1" x14ac:dyDescent="0.2">
      <c r="B42" s="12"/>
      <c r="C42" s="69" t="s">
        <v>51</v>
      </c>
      <c r="D42" t="s">
        <v>25</v>
      </c>
      <c r="E42" t="s">
        <v>29</v>
      </c>
      <c r="F42" t="s">
        <v>27</v>
      </c>
      <c r="G42" t="s">
        <v>52</v>
      </c>
      <c r="H42" t="s">
        <v>32</v>
      </c>
      <c r="I42" t="s">
        <v>53</v>
      </c>
      <c r="J42" t="s">
        <v>34</v>
      </c>
      <c r="K42" t="s">
        <v>54</v>
      </c>
      <c r="L42" t="s">
        <v>55</v>
      </c>
      <c r="M42" t="s">
        <v>56</v>
      </c>
    </row>
    <row r="43" spans="2:33" x14ac:dyDescent="0.2">
      <c r="B43" s="12"/>
      <c r="C43" s="67" t="s">
        <v>57</v>
      </c>
      <c r="D43" s="68">
        <v>68370269.779699966</v>
      </c>
      <c r="E43" s="68">
        <v>16360018.440000001</v>
      </c>
      <c r="F43" s="68">
        <v>6926550.6799999978</v>
      </c>
      <c r="G43" s="68">
        <v>680114.63</v>
      </c>
      <c r="H43" s="68"/>
      <c r="I43" s="68">
        <v>872865</v>
      </c>
      <c r="J43" s="68">
        <v>12610406.452661995</v>
      </c>
      <c r="K43" s="68"/>
      <c r="L43" s="68"/>
      <c r="M43" s="68">
        <v>105820224.98236194</v>
      </c>
    </row>
    <row r="44" spans="2:33" x14ac:dyDescent="0.2">
      <c r="B44" s="12"/>
      <c r="C44" s="67" t="s">
        <v>53</v>
      </c>
      <c r="D44" s="68"/>
      <c r="E44" s="68"/>
      <c r="F44" s="68"/>
      <c r="G44" s="68"/>
      <c r="H44" s="68"/>
      <c r="I44" s="68">
        <v>20542743.902000006</v>
      </c>
      <c r="J44" s="68"/>
      <c r="K44" s="68"/>
      <c r="L44" s="68"/>
      <c r="M44" s="68">
        <v>20542743.902000006</v>
      </c>
    </row>
    <row r="45" spans="2:33" x14ac:dyDescent="0.2">
      <c r="B45" s="12"/>
      <c r="C45" s="67" t="s">
        <v>58</v>
      </c>
      <c r="D45" s="68">
        <v>791317.39999999991</v>
      </c>
      <c r="E45" s="68">
        <v>7802039.5199999996</v>
      </c>
      <c r="F45" s="68">
        <v>329520.06</v>
      </c>
      <c r="G45" s="68"/>
      <c r="H45" s="68"/>
      <c r="I45" s="68"/>
      <c r="J45" s="68">
        <v>980595</v>
      </c>
      <c r="K45" s="68"/>
      <c r="L45" s="68">
        <v>3084150</v>
      </c>
      <c r="M45" s="68">
        <v>12987621.98</v>
      </c>
    </row>
    <row r="46" spans="2:33" x14ac:dyDescent="0.2">
      <c r="C46" s="67" t="s">
        <v>59</v>
      </c>
      <c r="D46" s="68"/>
      <c r="E46" s="68">
        <v>543801.19999999995</v>
      </c>
      <c r="F46" s="68"/>
      <c r="G46" s="68"/>
      <c r="H46" s="68"/>
      <c r="I46" s="68"/>
      <c r="J46" s="68"/>
      <c r="K46" s="68"/>
      <c r="L46" s="68"/>
      <c r="M46" s="68">
        <v>543801.19999999995</v>
      </c>
    </row>
    <row r="47" spans="2:33" x14ac:dyDescent="0.2">
      <c r="C47" s="67" t="s">
        <v>60</v>
      </c>
      <c r="D47" s="68"/>
      <c r="E47" s="68"/>
      <c r="F47" s="68"/>
      <c r="G47" s="68"/>
      <c r="H47" s="68">
        <v>6336391</v>
      </c>
      <c r="I47" s="68"/>
      <c r="J47" s="68"/>
      <c r="K47" s="68">
        <v>4646578.2750000004</v>
      </c>
      <c r="L47" s="68"/>
      <c r="M47" s="68">
        <v>10982969.275</v>
      </c>
    </row>
    <row r="48" spans="2:33" x14ac:dyDescent="0.2">
      <c r="C48" s="67" t="s">
        <v>61</v>
      </c>
      <c r="D48" s="68">
        <v>6736544.6925999997</v>
      </c>
      <c r="E48" s="68">
        <v>1407664</v>
      </c>
      <c r="F48" s="68">
        <v>20223</v>
      </c>
      <c r="G48" s="68"/>
      <c r="H48" s="68"/>
      <c r="I48" s="68">
        <v>4460466.0200000005</v>
      </c>
      <c r="J48" s="68">
        <v>549118.21600000013</v>
      </c>
      <c r="K48" s="68"/>
      <c r="L48" s="68"/>
      <c r="M48" s="68">
        <v>13174015.9286</v>
      </c>
    </row>
    <row r="49" spans="3:19" x14ac:dyDescent="0.2">
      <c r="C49" s="67" t="s">
        <v>62</v>
      </c>
      <c r="D49" s="68">
        <v>44508546.212939993</v>
      </c>
      <c r="E49" s="68"/>
      <c r="F49" s="68">
        <v>4238156.75</v>
      </c>
      <c r="G49" s="68">
        <v>261175.46</v>
      </c>
      <c r="H49" s="68"/>
      <c r="I49" s="68">
        <v>307355</v>
      </c>
      <c r="J49" s="68">
        <v>10218041.183187997</v>
      </c>
      <c r="K49" s="68"/>
      <c r="L49" s="68"/>
      <c r="M49" s="68">
        <v>59533274.606127992</v>
      </c>
    </row>
    <row r="50" spans="3:19" x14ac:dyDescent="0.2">
      <c r="C50" s="67" t="s">
        <v>63</v>
      </c>
      <c r="D50" s="68">
        <v>35227965.089399993</v>
      </c>
      <c r="E50" s="68"/>
      <c r="F50" s="68">
        <v>10799900.758671002</v>
      </c>
      <c r="G50" s="68"/>
      <c r="H50" s="68"/>
      <c r="I50" s="68">
        <v>718136</v>
      </c>
      <c r="J50" s="68">
        <v>19250390.589999992</v>
      </c>
      <c r="K50" s="68"/>
      <c r="L50" s="68"/>
      <c r="M50" s="68">
        <v>65996392.438070983</v>
      </c>
    </row>
    <row r="51" spans="3:19" x14ac:dyDescent="0.2">
      <c r="C51" s="67" t="s">
        <v>64</v>
      </c>
      <c r="D51" s="68">
        <v>11967131.3796</v>
      </c>
      <c r="E51" s="68">
        <v>2439572.3499999996</v>
      </c>
      <c r="F51" s="68">
        <v>121150.2</v>
      </c>
      <c r="G51" s="68"/>
      <c r="H51" s="68">
        <v>392500.72</v>
      </c>
      <c r="I51" s="68"/>
      <c r="J51" s="68"/>
      <c r="K51" s="68"/>
      <c r="L51" s="68">
        <v>223243.8</v>
      </c>
      <c r="M51" s="68">
        <v>15143598.4496</v>
      </c>
      <c r="R51" s="29"/>
      <c r="S51" s="29"/>
    </row>
    <row r="52" spans="3:19" x14ac:dyDescent="0.2">
      <c r="C52" s="67" t="s">
        <v>65</v>
      </c>
      <c r="D52" s="68">
        <v>12608910.02</v>
      </c>
      <c r="E52" s="68">
        <v>483201.65</v>
      </c>
      <c r="F52" s="68">
        <v>3503619.8899999997</v>
      </c>
      <c r="G52" s="68"/>
      <c r="H52" s="68"/>
      <c r="I52" s="68">
        <v>60450</v>
      </c>
      <c r="J52" s="68">
        <v>4441374.7205999997</v>
      </c>
      <c r="K52" s="68"/>
      <c r="L52" s="68"/>
      <c r="M52" s="68">
        <v>21097556.280599996</v>
      </c>
      <c r="R52" s="29"/>
      <c r="S52" s="29"/>
    </row>
    <row r="53" spans="3:19" x14ac:dyDescent="0.2">
      <c r="C53" s="67" t="s">
        <v>66</v>
      </c>
      <c r="D53" s="68">
        <v>27036513.483711999</v>
      </c>
      <c r="E53" s="68">
        <v>15205437.983199999</v>
      </c>
      <c r="F53" s="68">
        <v>621571.4800000001</v>
      </c>
      <c r="G53" s="68">
        <v>7679773.7300000004</v>
      </c>
      <c r="H53" s="68">
        <v>64728.32</v>
      </c>
      <c r="I53" s="68">
        <v>195460</v>
      </c>
      <c r="J53" s="68">
        <v>1225821.53</v>
      </c>
      <c r="K53" s="68"/>
      <c r="L53" s="68"/>
      <c r="M53" s="68">
        <v>52029306.526911996</v>
      </c>
      <c r="R53" s="29"/>
      <c r="S53" s="29"/>
    </row>
    <row r="54" spans="3:19" x14ac:dyDescent="0.2">
      <c r="C54" s="67" t="s">
        <v>67</v>
      </c>
      <c r="D54" s="68">
        <v>692300</v>
      </c>
      <c r="E54" s="68"/>
      <c r="F54" s="68"/>
      <c r="G54" s="68">
        <v>4568612.54</v>
      </c>
      <c r="H54" s="68"/>
      <c r="I54" s="68"/>
      <c r="J54" s="68"/>
      <c r="K54" s="68"/>
      <c r="L54" s="68"/>
      <c r="M54" s="68">
        <v>5260912.54</v>
      </c>
      <c r="R54" s="29"/>
      <c r="S54" s="29"/>
    </row>
    <row r="55" spans="3:19" x14ac:dyDescent="0.2">
      <c r="C55" s="67" t="s">
        <v>56</v>
      </c>
      <c r="D55" s="68">
        <v>207939498.05795193</v>
      </c>
      <c r="E55" s="68">
        <v>44241735.143199995</v>
      </c>
      <c r="F55" s="68">
        <v>26560692.818671003</v>
      </c>
      <c r="G55" s="68">
        <v>13189676.359999999</v>
      </c>
      <c r="H55" s="68">
        <v>6793620.04</v>
      </c>
      <c r="I55" s="68">
        <v>27157475.922000006</v>
      </c>
      <c r="J55" s="68">
        <v>49275747.692449987</v>
      </c>
      <c r="K55" s="68">
        <v>4646578.2750000004</v>
      </c>
      <c r="L55" s="68">
        <v>3307393.8</v>
      </c>
      <c r="M55" s="68">
        <v>383112418.10927296</v>
      </c>
      <c r="R55" s="29"/>
      <c r="S55" s="29"/>
    </row>
    <row r="56" spans="3:19" x14ac:dyDescent="0.2">
      <c r="C56"/>
      <c r="D56"/>
      <c r="E56"/>
      <c r="F56"/>
      <c r="G56"/>
      <c r="H56"/>
      <c r="I56"/>
      <c r="J56"/>
      <c r="K56"/>
      <c r="L56"/>
      <c r="M56"/>
      <c r="R56" s="29"/>
      <c r="S56" s="29"/>
    </row>
    <row r="57" spans="3:19" x14ac:dyDescent="0.2">
      <c r="C57"/>
      <c r="D57"/>
      <c r="E57"/>
      <c r="F57"/>
      <c r="G57"/>
      <c r="H57"/>
      <c r="I57"/>
      <c r="J57"/>
      <c r="K57"/>
      <c r="L57"/>
      <c r="M57"/>
      <c r="R57" s="29"/>
      <c r="S57" s="29"/>
    </row>
    <row r="58" spans="3:19" x14ac:dyDescent="0.2">
      <c r="C58"/>
      <c r="D58"/>
      <c r="E58"/>
      <c r="F58"/>
      <c r="G58"/>
      <c r="H58"/>
      <c r="I58"/>
      <c r="J58"/>
      <c r="K58"/>
      <c r="L58"/>
      <c r="M58"/>
    </row>
    <row r="59" spans="3:19" x14ac:dyDescent="0.2">
      <c r="C59"/>
      <c r="D59"/>
      <c r="E59"/>
      <c r="F59"/>
      <c r="G59"/>
      <c r="H59"/>
      <c r="I59"/>
      <c r="J59"/>
      <c r="K59"/>
      <c r="L59"/>
      <c r="M59"/>
    </row>
    <row r="60" spans="3:19" x14ac:dyDescent="0.2">
      <c r="C60"/>
      <c r="D60"/>
      <c r="E60"/>
      <c r="F60"/>
      <c r="G60"/>
      <c r="H60"/>
      <c r="I60"/>
      <c r="J60"/>
      <c r="K60"/>
      <c r="L60"/>
      <c r="M60"/>
    </row>
    <row r="61" spans="3:19" x14ac:dyDescent="0.2">
      <c r="C61"/>
      <c r="D61"/>
      <c r="E61"/>
      <c r="F61"/>
      <c r="G61"/>
      <c r="H61"/>
      <c r="I61"/>
      <c r="J61"/>
      <c r="K61"/>
      <c r="L61"/>
      <c r="M61"/>
    </row>
    <row r="62" spans="3:19" x14ac:dyDescent="0.2">
      <c r="C62"/>
      <c r="D62"/>
      <c r="E62"/>
      <c r="F62"/>
      <c r="G62"/>
      <c r="H62"/>
      <c r="I62"/>
      <c r="J62"/>
      <c r="K62"/>
      <c r="L62"/>
      <c r="M62"/>
    </row>
    <row r="63" spans="3:19" x14ac:dyDescent="0.2">
      <c r="C63"/>
      <c r="D63"/>
      <c r="E63"/>
      <c r="F63"/>
      <c r="G63"/>
      <c r="H63"/>
      <c r="I63"/>
      <c r="J63"/>
      <c r="K63"/>
      <c r="L63"/>
      <c r="M63"/>
    </row>
    <row r="64" spans="3:19" x14ac:dyDescent="0.2">
      <c r="C64"/>
      <c r="D64"/>
      <c r="E64"/>
      <c r="F64"/>
      <c r="G64"/>
      <c r="H64"/>
      <c r="I64"/>
      <c r="J64"/>
      <c r="K64"/>
      <c r="L64"/>
      <c r="M64"/>
    </row>
    <row r="65" spans="3:13" x14ac:dyDescent="0.2">
      <c r="C65"/>
      <c r="D65"/>
      <c r="E65"/>
      <c r="F65"/>
      <c r="G65"/>
      <c r="H65"/>
      <c r="I65"/>
      <c r="J65"/>
      <c r="K65"/>
      <c r="L65"/>
      <c r="M65"/>
    </row>
    <row r="66" spans="3:13" x14ac:dyDescent="0.2">
      <c r="C66"/>
      <c r="D66"/>
      <c r="E66"/>
      <c r="F66"/>
      <c r="G66"/>
      <c r="H66"/>
      <c r="I66"/>
      <c r="J66"/>
      <c r="K66"/>
      <c r="L66"/>
      <c r="M66"/>
    </row>
    <row r="67" spans="3:13" x14ac:dyDescent="0.2">
      <c r="C67"/>
      <c r="D67"/>
      <c r="E67"/>
      <c r="F67"/>
      <c r="G67"/>
      <c r="H67"/>
      <c r="I67"/>
      <c r="J67"/>
      <c r="K67"/>
      <c r="L67"/>
      <c r="M67"/>
    </row>
    <row r="68" spans="3:13" x14ac:dyDescent="0.2">
      <c r="C68"/>
      <c r="D68"/>
      <c r="E68"/>
      <c r="F68"/>
      <c r="G68"/>
      <c r="H68"/>
      <c r="I68"/>
      <c r="J68"/>
      <c r="K68"/>
      <c r="L68"/>
      <c r="M68"/>
    </row>
    <row r="69" spans="3:13" x14ac:dyDescent="0.2">
      <c r="C69"/>
      <c r="D69"/>
      <c r="E69"/>
      <c r="F69"/>
      <c r="G69"/>
      <c r="H69"/>
      <c r="I69"/>
      <c r="J69"/>
      <c r="K69"/>
      <c r="L69"/>
      <c r="M69"/>
    </row>
    <row r="70" spans="3:13" x14ac:dyDescent="0.2">
      <c r="C70"/>
      <c r="D70"/>
      <c r="E70"/>
      <c r="F70"/>
      <c r="G70"/>
      <c r="H70"/>
      <c r="I70"/>
      <c r="J70"/>
      <c r="K70"/>
      <c r="L70"/>
      <c r="M70"/>
    </row>
    <row r="71" spans="3:13" x14ac:dyDescent="0.2">
      <c r="C71"/>
      <c r="D71"/>
      <c r="E71"/>
      <c r="F71"/>
      <c r="G71"/>
      <c r="H71"/>
      <c r="I71"/>
      <c r="J71"/>
      <c r="K71"/>
      <c r="L71"/>
      <c r="M71"/>
    </row>
    <row r="72" spans="3:13" x14ac:dyDescent="0.2">
      <c r="C72"/>
      <c r="D72"/>
      <c r="E72"/>
      <c r="F72"/>
      <c r="G72"/>
      <c r="H72"/>
      <c r="I72"/>
      <c r="J72"/>
      <c r="K72"/>
      <c r="L72"/>
      <c r="M72"/>
    </row>
    <row r="73" spans="3:13" x14ac:dyDescent="0.2">
      <c r="C73"/>
      <c r="D73"/>
      <c r="E73"/>
      <c r="F73"/>
      <c r="G73"/>
      <c r="H73"/>
      <c r="I73"/>
      <c r="J73"/>
      <c r="K73"/>
      <c r="L73"/>
      <c r="M73"/>
    </row>
    <row r="74" spans="3:13" x14ac:dyDescent="0.2">
      <c r="C74"/>
      <c r="D74"/>
      <c r="E74"/>
      <c r="F74"/>
      <c r="G74"/>
      <c r="H74"/>
      <c r="I74"/>
      <c r="J74"/>
      <c r="K74"/>
      <c r="L74"/>
      <c r="M74"/>
    </row>
    <row r="75" spans="3:13" x14ac:dyDescent="0.2">
      <c r="C75"/>
      <c r="D75"/>
      <c r="E75"/>
      <c r="F75"/>
      <c r="G75"/>
      <c r="H75"/>
      <c r="I75"/>
      <c r="J75"/>
      <c r="K75"/>
      <c r="L75"/>
      <c r="M75"/>
    </row>
    <row r="76" spans="3:13" x14ac:dyDescent="0.2">
      <c r="C76"/>
      <c r="D76"/>
      <c r="E76"/>
      <c r="F76"/>
      <c r="G76"/>
      <c r="H76"/>
      <c r="I76"/>
      <c r="J76"/>
      <c r="K76"/>
      <c r="L76"/>
      <c r="M76"/>
    </row>
    <row r="77" spans="3:13" x14ac:dyDescent="0.2">
      <c r="C77"/>
      <c r="D77"/>
      <c r="E77"/>
      <c r="F77"/>
      <c r="G77"/>
      <c r="H77"/>
      <c r="I77"/>
      <c r="J77"/>
      <c r="K77"/>
      <c r="L77"/>
      <c r="M77"/>
    </row>
    <row r="78" spans="3:13" x14ac:dyDescent="0.2">
      <c r="C78"/>
      <c r="D78"/>
      <c r="E78"/>
      <c r="F78"/>
      <c r="G78"/>
      <c r="H78"/>
      <c r="I78"/>
      <c r="J78"/>
      <c r="K78"/>
      <c r="L78"/>
      <c r="M78"/>
    </row>
    <row r="79" spans="3:13" x14ac:dyDescent="0.2">
      <c r="C79"/>
      <c r="D79"/>
      <c r="E79"/>
      <c r="F79"/>
      <c r="G79"/>
      <c r="H79"/>
      <c r="I79"/>
      <c r="J79"/>
      <c r="K79"/>
      <c r="L79"/>
      <c r="M79"/>
    </row>
    <row r="80" spans="3:13" x14ac:dyDescent="0.2">
      <c r="C80"/>
      <c r="D80"/>
      <c r="E80"/>
      <c r="F80"/>
      <c r="G80"/>
      <c r="H80"/>
      <c r="I80"/>
      <c r="J80"/>
      <c r="K80"/>
      <c r="L80"/>
      <c r="M80"/>
    </row>
    <row r="81" spans="3:13" x14ac:dyDescent="0.2">
      <c r="C81"/>
      <c r="D81"/>
      <c r="E81"/>
      <c r="F81"/>
      <c r="G81"/>
      <c r="H81"/>
      <c r="I81"/>
      <c r="J81"/>
      <c r="K81"/>
      <c r="L81"/>
      <c r="M81"/>
    </row>
    <row r="82" spans="3:13" x14ac:dyDescent="0.2">
      <c r="C82"/>
      <c r="D82"/>
      <c r="E82"/>
      <c r="F82"/>
      <c r="G82"/>
      <c r="H82"/>
      <c r="I82"/>
      <c r="J82"/>
      <c r="K82"/>
      <c r="L82"/>
      <c r="M82"/>
    </row>
    <row r="83" spans="3:13" x14ac:dyDescent="0.2">
      <c r="C83"/>
      <c r="D83"/>
      <c r="E83"/>
      <c r="F83"/>
      <c r="G83"/>
      <c r="H83"/>
      <c r="I83"/>
      <c r="J83"/>
      <c r="K83"/>
      <c r="L83"/>
      <c r="M83"/>
    </row>
    <row r="84" spans="3:13" x14ac:dyDescent="0.2">
      <c r="C84"/>
      <c r="D84"/>
      <c r="E84"/>
      <c r="F84"/>
      <c r="G84"/>
      <c r="H84"/>
      <c r="I84"/>
      <c r="J84"/>
      <c r="K84"/>
      <c r="L84"/>
      <c r="M84"/>
    </row>
    <row r="85" spans="3:13" x14ac:dyDescent="0.2">
      <c r="C85"/>
      <c r="D85"/>
      <c r="E85"/>
      <c r="F85"/>
      <c r="G85"/>
      <c r="H85"/>
      <c r="I85"/>
      <c r="J85"/>
      <c r="K85"/>
      <c r="L85"/>
      <c r="M85"/>
    </row>
    <row r="86" spans="3:13" x14ac:dyDescent="0.2">
      <c r="C86"/>
      <c r="D86"/>
      <c r="E86"/>
      <c r="F86"/>
      <c r="G86"/>
      <c r="H86"/>
      <c r="I86"/>
      <c r="J86"/>
      <c r="K86"/>
      <c r="L86"/>
      <c r="M86"/>
    </row>
    <row r="87" spans="3:13" x14ac:dyDescent="0.2">
      <c r="C87"/>
      <c r="D87"/>
      <c r="E87"/>
      <c r="F87"/>
      <c r="G87"/>
      <c r="H87"/>
      <c r="I87"/>
      <c r="J87"/>
      <c r="K87"/>
      <c r="L87"/>
      <c r="M87"/>
    </row>
    <row r="88" spans="3:13" x14ac:dyDescent="0.2">
      <c r="C88"/>
      <c r="D88"/>
      <c r="E88"/>
      <c r="F88"/>
      <c r="G88"/>
      <c r="H88"/>
      <c r="I88"/>
      <c r="J88"/>
      <c r="K88"/>
      <c r="L88"/>
      <c r="M88"/>
    </row>
    <row r="89" spans="3:13" x14ac:dyDescent="0.2">
      <c r="C89"/>
      <c r="D89"/>
      <c r="E89"/>
      <c r="F89"/>
      <c r="G89"/>
      <c r="H89"/>
      <c r="I89"/>
      <c r="J89"/>
      <c r="K89"/>
      <c r="L89"/>
      <c r="M89"/>
    </row>
    <row r="90" spans="3:13" x14ac:dyDescent="0.2">
      <c r="C90"/>
      <c r="D90"/>
      <c r="E90"/>
      <c r="F90"/>
      <c r="G90"/>
      <c r="H90"/>
      <c r="I90"/>
      <c r="J90"/>
      <c r="K90"/>
      <c r="L90"/>
      <c r="M90"/>
    </row>
    <row r="91" spans="3:13" x14ac:dyDescent="0.2">
      <c r="C91"/>
      <c r="D91"/>
      <c r="E91"/>
      <c r="F91"/>
      <c r="G91"/>
      <c r="H91"/>
      <c r="I91"/>
      <c r="J91"/>
      <c r="K91"/>
      <c r="L91"/>
      <c r="M91"/>
    </row>
    <row r="92" spans="3:13" x14ac:dyDescent="0.2">
      <c r="C92"/>
      <c r="D92"/>
      <c r="E92"/>
      <c r="F92"/>
      <c r="G92"/>
      <c r="H92"/>
      <c r="I92"/>
      <c r="J92"/>
      <c r="K92"/>
      <c r="L92"/>
      <c r="M92"/>
    </row>
    <row r="93" spans="3:13" x14ac:dyDescent="0.2">
      <c r="C93"/>
      <c r="D93"/>
      <c r="E93"/>
      <c r="F93"/>
      <c r="G93"/>
      <c r="H93"/>
      <c r="I93"/>
      <c r="J93"/>
      <c r="K93"/>
      <c r="L93"/>
      <c r="M93"/>
    </row>
    <row r="94" spans="3:13" x14ac:dyDescent="0.2">
      <c r="C94"/>
      <c r="D94"/>
      <c r="E94"/>
      <c r="F94"/>
      <c r="G94"/>
      <c r="H94"/>
      <c r="I94"/>
      <c r="J94"/>
      <c r="K94"/>
      <c r="L94"/>
      <c r="M94"/>
    </row>
    <row r="95" spans="3:13" x14ac:dyDescent="0.2">
      <c r="C95"/>
      <c r="D95"/>
      <c r="E95"/>
      <c r="F95"/>
      <c r="G95"/>
      <c r="H95"/>
      <c r="I95"/>
      <c r="J95"/>
      <c r="K95"/>
      <c r="L95"/>
      <c r="M95"/>
    </row>
    <row r="96" spans="3:13" x14ac:dyDescent="0.2">
      <c r="C96"/>
      <c r="D96"/>
      <c r="E96"/>
      <c r="F96"/>
      <c r="G96"/>
      <c r="H96"/>
      <c r="I96"/>
      <c r="J96"/>
      <c r="K96"/>
      <c r="L96"/>
      <c r="M96"/>
    </row>
    <row r="97" spans="3:13" x14ac:dyDescent="0.2">
      <c r="C97"/>
      <c r="D97"/>
      <c r="E97"/>
      <c r="F97"/>
      <c r="G97"/>
      <c r="H97"/>
      <c r="I97"/>
      <c r="J97"/>
      <c r="K97"/>
      <c r="L97"/>
      <c r="M97"/>
    </row>
    <row r="98" spans="3:13" x14ac:dyDescent="0.2">
      <c r="C98"/>
      <c r="D98"/>
      <c r="E98"/>
      <c r="F98"/>
      <c r="G98"/>
      <c r="H98"/>
      <c r="I98"/>
      <c r="J98"/>
      <c r="K98"/>
      <c r="L98"/>
      <c r="M98"/>
    </row>
    <row r="99" spans="3:13" x14ac:dyDescent="0.2">
      <c r="C99"/>
      <c r="D99"/>
      <c r="E99"/>
      <c r="F99"/>
      <c r="G99"/>
      <c r="H99"/>
      <c r="I99"/>
      <c r="J99"/>
      <c r="K99"/>
      <c r="L99"/>
      <c r="M99"/>
    </row>
    <row r="100" spans="3:13" x14ac:dyDescent="0.2">
      <c r="C100"/>
      <c r="D100"/>
      <c r="E100"/>
      <c r="F100"/>
      <c r="G100"/>
      <c r="H100"/>
      <c r="I100"/>
      <c r="J100"/>
      <c r="K100"/>
      <c r="L100"/>
      <c r="M100"/>
    </row>
    <row r="101" spans="3:13" x14ac:dyDescent="0.2">
      <c r="C101"/>
      <c r="D101"/>
      <c r="E101"/>
      <c r="F101"/>
      <c r="G101"/>
      <c r="H101"/>
      <c r="I101"/>
      <c r="J101"/>
      <c r="K101"/>
      <c r="L101"/>
      <c r="M101"/>
    </row>
    <row r="102" spans="3:13" x14ac:dyDescent="0.2">
      <c r="C102"/>
      <c r="D102"/>
      <c r="E102"/>
      <c r="F102"/>
      <c r="G102"/>
      <c r="H102"/>
      <c r="I102"/>
      <c r="J102"/>
      <c r="K102"/>
      <c r="L102"/>
      <c r="M102"/>
    </row>
    <row r="103" spans="3:13" x14ac:dyDescent="0.2">
      <c r="C103"/>
      <c r="D103"/>
      <c r="E103"/>
      <c r="F103"/>
      <c r="G103"/>
      <c r="H103"/>
      <c r="I103"/>
      <c r="J103"/>
      <c r="K103"/>
      <c r="L103"/>
      <c r="M103"/>
    </row>
    <row r="104" spans="3:13" x14ac:dyDescent="0.2">
      <c r="C104"/>
      <c r="D104"/>
      <c r="E104"/>
      <c r="F104"/>
      <c r="G104"/>
      <c r="H104"/>
      <c r="I104"/>
      <c r="J104"/>
      <c r="K104"/>
      <c r="L104"/>
      <c r="M104"/>
    </row>
    <row r="105" spans="3:13" x14ac:dyDescent="0.2">
      <c r="C105"/>
      <c r="D105"/>
      <c r="E105"/>
      <c r="F105"/>
      <c r="G105"/>
      <c r="H105"/>
      <c r="I105"/>
      <c r="J105"/>
      <c r="K105"/>
      <c r="L105"/>
      <c r="M105"/>
    </row>
    <row r="106" spans="3:13" x14ac:dyDescent="0.2">
      <c r="C106"/>
      <c r="D106"/>
      <c r="E106"/>
      <c r="F106"/>
      <c r="G106"/>
      <c r="H106"/>
      <c r="I106"/>
      <c r="J106"/>
      <c r="K106"/>
      <c r="L106"/>
      <c r="M106"/>
    </row>
    <row r="107" spans="3:13" x14ac:dyDescent="0.2">
      <c r="C107"/>
      <c r="D107"/>
      <c r="E107"/>
      <c r="F107"/>
      <c r="G107"/>
      <c r="H107"/>
      <c r="I107"/>
      <c r="J107"/>
      <c r="K107"/>
      <c r="L107"/>
      <c r="M107"/>
    </row>
    <row r="108" spans="3:13" x14ac:dyDescent="0.2">
      <c r="C108"/>
      <c r="D108"/>
      <c r="E108"/>
      <c r="F108"/>
      <c r="G108"/>
      <c r="H108"/>
      <c r="I108"/>
      <c r="J108"/>
      <c r="K108"/>
      <c r="L108"/>
      <c r="M108"/>
    </row>
    <row r="109" spans="3:13" x14ac:dyDescent="0.2">
      <c r="C109"/>
      <c r="D109"/>
      <c r="E109"/>
      <c r="F109"/>
      <c r="G109"/>
      <c r="H109"/>
      <c r="I109"/>
      <c r="J109"/>
      <c r="K109"/>
      <c r="L109"/>
      <c r="M109"/>
    </row>
    <row r="110" spans="3:13" x14ac:dyDescent="0.2">
      <c r="C110"/>
      <c r="D110"/>
      <c r="E110"/>
      <c r="F110"/>
      <c r="G110"/>
      <c r="H110"/>
      <c r="I110"/>
      <c r="J110"/>
      <c r="K110"/>
      <c r="L110"/>
      <c r="M110"/>
    </row>
    <row r="111" spans="3:13" x14ac:dyDescent="0.2">
      <c r="C111"/>
      <c r="D111"/>
      <c r="E111"/>
      <c r="F111"/>
      <c r="G111"/>
      <c r="H111"/>
      <c r="I111"/>
      <c r="J111"/>
      <c r="K111"/>
      <c r="L111"/>
      <c r="M111"/>
    </row>
    <row r="112" spans="3:13" x14ac:dyDescent="0.2">
      <c r="C112"/>
      <c r="D112"/>
      <c r="E112"/>
      <c r="F112"/>
      <c r="G112"/>
      <c r="H112"/>
      <c r="I112"/>
      <c r="J112"/>
      <c r="K112"/>
      <c r="L112"/>
      <c r="M112"/>
    </row>
    <row r="113" spans="3:13" x14ac:dyDescent="0.2">
      <c r="C113"/>
      <c r="D113"/>
      <c r="E113"/>
      <c r="F113"/>
      <c r="G113"/>
      <c r="H113"/>
      <c r="I113"/>
      <c r="J113"/>
      <c r="K113"/>
      <c r="L113"/>
      <c r="M113"/>
    </row>
    <row r="114" spans="3:13" x14ac:dyDescent="0.2">
      <c r="C114"/>
      <c r="D114"/>
      <c r="E114"/>
      <c r="F114"/>
      <c r="G114"/>
      <c r="H114"/>
      <c r="I114"/>
      <c r="J114"/>
      <c r="K114"/>
      <c r="L114"/>
      <c r="M114"/>
    </row>
    <row r="115" spans="3:13" x14ac:dyDescent="0.2">
      <c r="C115"/>
      <c r="D115"/>
      <c r="E115"/>
      <c r="F115"/>
      <c r="G115"/>
      <c r="H115"/>
      <c r="I115"/>
      <c r="J115"/>
      <c r="K115"/>
      <c r="L115"/>
      <c r="M115"/>
    </row>
    <row r="116" spans="3:13" x14ac:dyDescent="0.2">
      <c r="C116"/>
      <c r="D116"/>
      <c r="E116"/>
      <c r="F116"/>
      <c r="G116"/>
      <c r="H116"/>
      <c r="I116"/>
      <c r="J116"/>
      <c r="K116"/>
      <c r="L116"/>
      <c r="M116"/>
    </row>
    <row r="117" spans="3:13" x14ac:dyDescent="0.2">
      <c r="C117"/>
      <c r="D117"/>
      <c r="E117"/>
      <c r="F117"/>
      <c r="G117"/>
      <c r="H117"/>
      <c r="I117"/>
      <c r="J117"/>
      <c r="K117"/>
      <c r="L117"/>
      <c r="M117"/>
    </row>
    <row r="118" spans="3:13" x14ac:dyDescent="0.2">
      <c r="C118"/>
      <c r="D118"/>
      <c r="E118"/>
      <c r="F118"/>
      <c r="G118"/>
      <c r="H118"/>
      <c r="I118"/>
      <c r="J118"/>
      <c r="K118"/>
      <c r="L118"/>
      <c r="M118"/>
    </row>
    <row r="119" spans="3:13" x14ac:dyDescent="0.2">
      <c r="C119"/>
      <c r="D119"/>
      <c r="E119"/>
      <c r="F119"/>
      <c r="G119"/>
      <c r="H119"/>
      <c r="I119"/>
      <c r="J119"/>
      <c r="K119"/>
      <c r="L119"/>
      <c r="M119"/>
    </row>
    <row r="120" spans="3:13" x14ac:dyDescent="0.2">
      <c r="C120"/>
      <c r="D120"/>
      <c r="E120"/>
      <c r="F120"/>
      <c r="G120"/>
      <c r="H120"/>
      <c r="I120"/>
      <c r="J120"/>
      <c r="K120"/>
      <c r="L120"/>
      <c r="M120"/>
    </row>
    <row r="121" spans="3:13" x14ac:dyDescent="0.2">
      <c r="C121"/>
      <c r="D121"/>
      <c r="E121"/>
      <c r="F121"/>
      <c r="G121"/>
      <c r="H121"/>
      <c r="I121"/>
      <c r="J121"/>
      <c r="K121"/>
      <c r="L121"/>
      <c r="M121"/>
    </row>
    <row r="122" spans="3:13" x14ac:dyDescent="0.2">
      <c r="C122"/>
      <c r="D122"/>
      <c r="E122"/>
      <c r="F122"/>
      <c r="G122"/>
      <c r="H122"/>
      <c r="I122"/>
      <c r="J122"/>
      <c r="K122"/>
      <c r="L122"/>
      <c r="M122"/>
    </row>
    <row r="123" spans="3:13" x14ac:dyDescent="0.2">
      <c r="C123"/>
      <c r="D123"/>
      <c r="E123"/>
      <c r="F123"/>
      <c r="G123"/>
      <c r="H123"/>
      <c r="I123"/>
      <c r="J123"/>
      <c r="K123"/>
      <c r="L123"/>
      <c r="M123"/>
    </row>
    <row r="124" spans="3:13" x14ac:dyDescent="0.2">
      <c r="C124"/>
      <c r="D124"/>
      <c r="E124"/>
      <c r="F124"/>
      <c r="G124"/>
      <c r="H124"/>
      <c r="I124"/>
      <c r="J124"/>
      <c r="K124"/>
      <c r="L124"/>
      <c r="M124"/>
    </row>
    <row r="125" spans="3:13" x14ac:dyDescent="0.2">
      <c r="C125"/>
      <c r="D125"/>
      <c r="E125"/>
      <c r="F125"/>
      <c r="G125"/>
      <c r="H125"/>
      <c r="I125"/>
      <c r="J125"/>
      <c r="K125"/>
      <c r="L125"/>
      <c r="M125"/>
    </row>
    <row r="126" spans="3:13" x14ac:dyDescent="0.2">
      <c r="C126"/>
      <c r="D126"/>
      <c r="E126"/>
      <c r="F126"/>
      <c r="G126"/>
      <c r="H126"/>
      <c r="I126"/>
      <c r="J126"/>
      <c r="K126"/>
      <c r="L126"/>
      <c r="M126"/>
    </row>
    <row r="127" spans="3:13" x14ac:dyDescent="0.2">
      <c r="C127"/>
      <c r="D127"/>
      <c r="E127"/>
      <c r="F127"/>
      <c r="G127"/>
      <c r="H127"/>
      <c r="I127"/>
      <c r="J127"/>
      <c r="K127"/>
      <c r="L127"/>
      <c r="M127"/>
    </row>
    <row r="128" spans="3:13" x14ac:dyDescent="0.2">
      <c r="C128"/>
      <c r="D128"/>
      <c r="E128"/>
      <c r="F128"/>
      <c r="G128"/>
      <c r="H128"/>
      <c r="I128"/>
      <c r="J128"/>
      <c r="K128"/>
      <c r="L128"/>
      <c r="M128"/>
    </row>
    <row r="129" spans="3:13" x14ac:dyDescent="0.2">
      <c r="C129"/>
      <c r="D129"/>
      <c r="E129"/>
      <c r="F129"/>
      <c r="G129"/>
      <c r="H129"/>
      <c r="I129"/>
      <c r="J129"/>
      <c r="K129"/>
      <c r="L129"/>
      <c r="M129"/>
    </row>
    <row r="130" spans="3:13" x14ac:dyDescent="0.2">
      <c r="C130"/>
      <c r="D130"/>
      <c r="E130"/>
      <c r="F130"/>
      <c r="G130"/>
      <c r="H130"/>
      <c r="I130"/>
      <c r="J130"/>
      <c r="K130"/>
      <c r="L130"/>
      <c r="M130"/>
    </row>
    <row r="131" spans="3:13" x14ac:dyDescent="0.2">
      <c r="C131"/>
      <c r="D131"/>
      <c r="E131"/>
      <c r="F131"/>
      <c r="G131"/>
      <c r="H131"/>
      <c r="I131"/>
      <c r="J131"/>
      <c r="K131"/>
      <c r="L131"/>
      <c r="M131"/>
    </row>
    <row r="132" spans="3:13" x14ac:dyDescent="0.2">
      <c r="C132"/>
      <c r="D132"/>
      <c r="E132"/>
      <c r="F132"/>
      <c r="G132"/>
      <c r="H132"/>
      <c r="I132"/>
      <c r="J132"/>
      <c r="K132"/>
      <c r="L132"/>
      <c r="M132"/>
    </row>
    <row r="133" spans="3:13" x14ac:dyDescent="0.2">
      <c r="C133"/>
      <c r="D133"/>
      <c r="E133"/>
      <c r="F133"/>
      <c r="G133"/>
      <c r="H133"/>
      <c r="I133"/>
      <c r="J133"/>
      <c r="K133"/>
      <c r="L133"/>
      <c r="M133"/>
    </row>
    <row r="134" spans="3:13" x14ac:dyDescent="0.2">
      <c r="C134"/>
      <c r="D134"/>
      <c r="E134"/>
      <c r="F134"/>
      <c r="G134"/>
      <c r="H134"/>
      <c r="I134"/>
      <c r="J134"/>
      <c r="K134"/>
      <c r="L134"/>
      <c r="M134"/>
    </row>
    <row r="135" spans="3:13" x14ac:dyDescent="0.2">
      <c r="C135"/>
      <c r="D135"/>
      <c r="E135"/>
      <c r="F135"/>
      <c r="G135"/>
      <c r="H135"/>
      <c r="I135"/>
      <c r="J135"/>
      <c r="K135"/>
      <c r="L135"/>
      <c r="M135"/>
    </row>
    <row r="136" spans="3:13" x14ac:dyDescent="0.2">
      <c r="C136"/>
      <c r="D136"/>
      <c r="E136"/>
      <c r="F136"/>
      <c r="G136"/>
      <c r="H136"/>
      <c r="I136"/>
      <c r="J136"/>
      <c r="K136"/>
      <c r="L136"/>
      <c r="M136"/>
    </row>
    <row r="137" spans="3:13" x14ac:dyDescent="0.2">
      <c r="C137"/>
      <c r="D137"/>
      <c r="E137"/>
      <c r="F137"/>
      <c r="G137"/>
      <c r="H137"/>
      <c r="I137"/>
      <c r="J137"/>
      <c r="K137"/>
      <c r="L137"/>
      <c r="M137"/>
    </row>
    <row r="138" spans="3:13" x14ac:dyDescent="0.2">
      <c r="C138"/>
      <c r="D138"/>
      <c r="E138"/>
      <c r="F138"/>
      <c r="G138"/>
      <c r="H138"/>
      <c r="I138"/>
      <c r="J138"/>
      <c r="K138"/>
      <c r="L138"/>
      <c r="M138"/>
    </row>
    <row r="139" spans="3:13" x14ac:dyDescent="0.2">
      <c r="C139"/>
      <c r="D139"/>
      <c r="E139"/>
      <c r="F139"/>
      <c r="G139"/>
      <c r="H139"/>
      <c r="I139"/>
      <c r="J139"/>
      <c r="K139"/>
      <c r="L139"/>
      <c r="M139"/>
    </row>
    <row r="140" spans="3:13" x14ac:dyDescent="0.2">
      <c r="C140"/>
      <c r="D140"/>
      <c r="E140"/>
      <c r="F140"/>
      <c r="G140"/>
      <c r="H140"/>
      <c r="I140"/>
      <c r="J140"/>
      <c r="K140"/>
      <c r="L140"/>
      <c r="M140"/>
    </row>
    <row r="141" spans="3:13" x14ac:dyDescent="0.2">
      <c r="C141"/>
      <c r="D141"/>
      <c r="E141"/>
      <c r="F141"/>
      <c r="G141"/>
      <c r="H141"/>
      <c r="I141"/>
      <c r="J141"/>
      <c r="K141"/>
      <c r="L141"/>
      <c r="M141"/>
    </row>
    <row r="142" spans="3:13" x14ac:dyDescent="0.2">
      <c r="C142"/>
      <c r="D142"/>
      <c r="E142"/>
      <c r="F142"/>
      <c r="G142"/>
      <c r="H142"/>
      <c r="I142"/>
      <c r="J142"/>
      <c r="K142"/>
      <c r="L142"/>
      <c r="M142"/>
    </row>
    <row r="143" spans="3:13" x14ac:dyDescent="0.2">
      <c r="C143"/>
      <c r="D143"/>
      <c r="E143"/>
      <c r="F143"/>
      <c r="G143"/>
      <c r="H143"/>
      <c r="I143"/>
      <c r="J143"/>
      <c r="K143"/>
      <c r="L143"/>
      <c r="M143"/>
    </row>
    <row r="144" spans="3:13" x14ac:dyDescent="0.2">
      <c r="C144"/>
      <c r="D144"/>
      <c r="E144"/>
      <c r="F144"/>
      <c r="G144"/>
      <c r="H144"/>
      <c r="I144"/>
      <c r="J144"/>
      <c r="K144"/>
      <c r="L144"/>
      <c r="M144"/>
    </row>
    <row r="145" spans="3:13" x14ac:dyDescent="0.2">
      <c r="C145"/>
      <c r="D145"/>
      <c r="E145"/>
      <c r="F145"/>
      <c r="G145"/>
      <c r="H145"/>
      <c r="I145"/>
      <c r="J145"/>
      <c r="K145"/>
      <c r="L145"/>
      <c r="M145"/>
    </row>
    <row r="146" spans="3:13" x14ac:dyDescent="0.2">
      <c r="C146"/>
      <c r="D146"/>
      <c r="E146"/>
      <c r="F146"/>
      <c r="G146"/>
      <c r="H146"/>
      <c r="I146"/>
      <c r="J146"/>
      <c r="K146"/>
      <c r="L146"/>
      <c r="M146"/>
    </row>
  </sheetData>
  <mergeCells count="11">
    <mergeCell ref="J19:L19"/>
    <mergeCell ref="S2:AC2"/>
    <mergeCell ref="B4:B14"/>
    <mergeCell ref="C4:N4"/>
    <mergeCell ref="S4:V4"/>
    <mergeCell ref="B18:B28"/>
    <mergeCell ref="C18:L18"/>
    <mergeCell ref="X4:AC4"/>
    <mergeCell ref="C19:C20"/>
    <mergeCell ref="D19:F19"/>
    <mergeCell ref="G19:I19"/>
  </mergeCells>
  <hyperlinks>
    <hyperlink ref="I2" location="Index!A1" display="Index'e Dön" xr:uid="{E6490311-4E71-3C46-8992-C279419D9BBC}"/>
  </hyperlinks>
  <pageMargins left="0.7" right="0.7" top="0.75" bottom="0.75" header="0.3" footer="0.3"/>
  <ignoredErrors>
    <ignoredError sqref="G6:G13 Y14:Z14" formulaRange="1"/>
    <ignoredError sqref="G26:H26" 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AD6A4-6E2F-4441-9B33-9C314798576E}">
  <dimension ref="A1:V39"/>
  <sheetViews>
    <sheetView showGridLines="0" topLeftCell="A14" workbookViewId="0">
      <selection activeCell="A15" sqref="A15:O26"/>
    </sheetView>
  </sheetViews>
  <sheetFormatPr baseColWidth="10" defaultRowHeight="16" x14ac:dyDescent="0.2"/>
  <cols>
    <col min="1" max="1" width="18.83203125" bestFit="1" customWidth="1"/>
    <col min="2" max="2" width="12.33203125" customWidth="1"/>
    <col min="3" max="14" width="9.1640625" bestFit="1" customWidth="1"/>
    <col min="15" max="15" width="10.33203125" bestFit="1" customWidth="1"/>
    <col min="16" max="16" width="2.5" customWidth="1"/>
    <col min="17" max="17" width="18.83203125" bestFit="1" customWidth="1"/>
    <col min="18" max="21" width="10.33203125" bestFit="1" customWidth="1"/>
    <col min="22" max="22" width="11.83203125" bestFit="1" customWidth="1"/>
  </cols>
  <sheetData>
    <row r="1" spans="1:22" hidden="1" x14ac:dyDescent="0.2"/>
    <row r="2" spans="1:22" ht="23" hidden="1" customHeight="1" x14ac:dyDescent="0.2">
      <c r="A2" s="85" t="s">
        <v>6</v>
      </c>
      <c r="B2" s="86" t="s">
        <v>36</v>
      </c>
      <c r="C2" s="87">
        <v>1</v>
      </c>
      <c r="D2" s="87">
        <v>2</v>
      </c>
      <c r="E2" s="87">
        <v>3</v>
      </c>
      <c r="F2" s="87">
        <v>4</v>
      </c>
      <c r="G2" s="87">
        <v>5</v>
      </c>
      <c r="H2" s="87">
        <v>6</v>
      </c>
      <c r="I2" s="87">
        <v>7</v>
      </c>
      <c r="J2" s="87">
        <v>8</v>
      </c>
      <c r="K2" s="87">
        <v>9</v>
      </c>
      <c r="L2" s="87">
        <v>10</v>
      </c>
      <c r="M2" s="87">
        <v>11</v>
      </c>
      <c r="N2" s="87">
        <v>12</v>
      </c>
      <c r="O2" s="87" t="s">
        <v>30</v>
      </c>
      <c r="Q2" s="85" t="s">
        <v>6</v>
      </c>
      <c r="R2" s="87">
        <v>1</v>
      </c>
      <c r="S2" s="87">
        <v>2</v>
      </c>
      <c r="T2" s="87">
        <v>3</v>
      </c>
      <c r="U2" s="87">
        <v>4</v>
      </c>
      <c r="V2" s="87" t="s">
        <v>30</v>
      </c>
    </row>
    <row r="3" spans="1:22" hidden="1" x14ac:dyDescent="0.2">
      <c r="A3" s="88" t="s">
        <v>25</v>
      </c>
      <c r="B3" s="89">
        <f>'2026 SatışHedefi - 671 (Yıllık)'!I21</f>
        <v>282952.13772499998</v>
      </c>
      <c r="C3" s="89">
        <f t="shared" ref="C3:N10" si="0">$B3*C$12</f>
        <v>19806.649640750002</v>
      </c>
      <c r="D3" s="89">
        <f t="shared" si="0"/>
        <v>19806.649640750002</v>
      </c>
      <c r="E3" s="89">
        <f t="shared" si="0"/>
        <v>28295.213772499999</v>
      </c>
      <c r="F3" s="89">
        <f t="shared" si="0"/>
        <v>19806.649640750002</v>
      </c>
      <c r="G3" s="89">
        <f t="shared" si="0"/>
        <v>19806.649640750002</v>
      </c>
      <c r="H3" s="89">
        <f t="shared" si="0"/>
        <v>31124.735149749999</v>
      </c>
      <c r="I3" s="89">
        <f t="shared" si="0"/>
        <v>16977.128263499999</v>
      </c>
      <c r="J3" s="89">
        <f t="shared" si="0"/>
        <v>16977.128263499999</v>
      </c>
      <c r="K3" s="89">
        <f t="shared" si="0"/>
        <v>28295.213772499999</v>
      </c>
      <c r="L3" s="89">
        <f t="shared" si="0"/>
        <v>22636.171017999997</v>
      </c>
      <c r="M3" s="89">
        <f t="shared" si="0"/>
        <v>22636.171017999997</v>
      </c>
      <c r="N3" s="89">
        <f t="shared" si="0"/>
        <v>36783.777904249997</v>
      </c>
      <c r="O3" s="90">
        <f t="shared" ref="O3:O12" si="1">SUM(C3:N3)</f>
        <v>282952.13772499998</v>
      </c>
      <c r="Q3" s="88" t="s">
        <v>25</v>
      </c>
      <c r="R3" s="89">
        <f>SUM(C3:E3)</f>
        <v>67908.51305400001</v>
      </c>
      <c r="S3" s="89">
        <f>SUM(F3:H3)</f>
        <v>70738.034431250009</v>
      </c>
      <c r="T3" s="89">
        <f>SUM(I3:K3)</f>
        <v>62249.470299499997</v>
      </c>
      <c r="U3" s="89">
        <f>SUM(L3:N3)</f>
        <v>82056.119940249991</v>
      </c>
      <c r="V3" s="90">
        <f>SUM(R3:U3)</f>
        <v>282952.13772500004</v>
      </c>
    </row>
    <row r="4" spans="1:22" hidden="1" x14ac:dyDescent="0.2">
      <c r="A4" s="88" t="s">
        <v>27</v>
      </c>
      <c r="B4" s="89">
        <f>'2026 SatışHedefi - 671 (Yıllık)'!I22</f>
        <v>57709.133300000001</v>
      </c>
      <c r="C4" s="89">
        <f t="shared" si="0"/>
        <v>4039.6393310000003</v>
      </c>
      <c r="D4" s="89">
        <f t="shared" si="0"/>
        <v>4039.6393310000003</v>
      </c>
      <c r="E4" s="89">
        <f t="shared" si="0"/>
        <v>5770.9133300000003</v>
      </c>
      <c r="F4" s="89">
        <f t="shared" si="0"/>
        <v>4039.6393310000003</v>
      </c>
      <c r="G4" s="89">
        <f t="shared" si="0"/>
        <v>4039.6393310000003</v>
      </c>
      <c r="H4" s="89">
        <f t="shared" si="0"/>
        <v>6348.0046630000006</v>
      </c>
      <c r="I4" s="89">
        <f t="shared" si="0"/>
        <v>3462.547998</v>
      </c>
      <c r="J4" s="89">
        <f t="shared" si="0"/>
        <v>3462.547998</v>
      </c>
      <c r="K4" s="89">
        <f t="shared" si="0"/>
        <v>5770.9133300000003</v>
      </c>
      <c r="L4" s="89">
        <f t="shared" si="0"/>
        <v>4616.7306640000006</v>
      </c>
      <c r="M4" s="89">
        <f t="shared" si="0"/>
        <v>4616.7306640000006</v>
      </c>
      <c r="N4" s="89">
        <f t="shared" si="0"/>
        <v>7502.1873290000003</v>
      </c>
      <c r="O4" s="90">
        <f t="shared" si="1"/>
        <v>57709.133300000009</v>
      </c>
      <c r="Q4" s="88" t="s">
        <v>27</v>
      </c>
      <c r="R4" s="89">
        <f t="shared" ref="R4:R10" si="2">SUM(C4:E4)</f>
        <v>13850.191992</v>
      </c>
      <c r="S4" s="89">
        <f t="shared" ref="S4:S10" si="3">SUM(F4:H4)</f>
        <v>14427.283325</v>
      </c>
      <c r="T4" s="89">
        <f t="shared" ref="T4:T10" si="4">SUM(I4:K4)</f>
        <v>12696.009325999999</v>
      </c>
      <c r="U4" s="89">
        <f t="shared" ref="U4:U10" si="5">SUM(L4:N4)</f>
        <v>16735.648657000002</v>
      </c>
      <c r="V4" s="90">
        <f t="shared" ref="V4:V10" si="6">SUM(R4:U4)</f>
        <v>57709.133300000001</v>
      </c>
    </row>
    <row r="5" spans="1:22" hidden="1" x14ac:dyDescent="0.2">
      <c r="A5" s="88" t="s">
        <v>29</v>
      </c>
      <c r="B5" s="89">
        <f>'2026 SatışHedefi - 671 (Yıllık)'!I23</f>
        <v>59937.700624999998</v>
      </c>
      <c r="C5" s="89">
        <f t="shared" si="0"/>
        <v>4195.6390437500004</v>
      </c>
      <c r="D5" s="89">
        <f t="shared" si="0"/>
        <v>4195.6390437500004</v>
      </c>
      <c r="E5" s="89">
        <f t="shared" si="0"/>
        <v>5993.7700624999998</v>
      </c>
      <c r="F5" s="89">
        <f t="shared" si="0"/>
        <v>4195.6390437500004</v>
      </c>
      <c r="G5" s="89">
        <f t="shared" si="0"/>
        <v>4195.6390437500004</v>
      </c>
      <c r="H5" s="89">
        <f t="shared" si="0"/>
        <v>6593.1470687499996</v>
      </c>
      <c r="I5" s="89">
        <f t="shared" si="0"/>
        <v>3596.2620374999997</v>
      </c>
      <c r="J5" s="89">
        <f t="shared" si="0"/>
        <v>3596.2620374999997</v>
      </c>
      <c r="K5" s="89">
        <f t="shared" si="0"/>
        <v>5993.7700624999998</v>
      </c>
      <c r="L5" s="89">
        <f t="shared" si="0"/>
        <v>4795.0160500000002</v>
      </c>
      <c r="M5" s="89">
        <f t="shared" si="0"/>
        <v>4795.0160500000002</v>
      </c>
      <c r="N5" s="89">
        <f t="shared" si="0"/>
        <v>7791.9010812500001</v>
      </c>
      <c r="O5" s="90">
        <f t="shared" si="1"/>
        <v>59937.70062499999</v>
      </c>
      <c r="Q5" s="88" t="s">
        <v>29</v>
      </c>
      <c r="R5" s="89">
        <f t="shared" si="2"/>
        <v>14385.048150000001</v>
      </c>
      <c r="S5" s="89">
        <f t="shared" si="3"/>
        <v>14984.425156249999</v>
      </c>
      <c r="T5" s="89">
        <f t="shared" si="4"/>
        <v>13186.294137499999</v>
      </c>
      <c r="U5" s="89">
        <f t="shared" si="5"/>
        <v>17381.933181250002</v>
      </c>
      <c r="V5" s="90">
        <f t="shared" si="6"/>
        <v>59937.700625000005</v>
      </c>
    </row>
    <row r="6" spans="1:22" hidden="1" x14ac:dyDescent="0.2">
      <c r="A6" s="88" t="s">
        <v>31</v>
      </c>
      <c r="B6" s="89">
        <f>'2026 SatışHedefi - 671 (Yıllık)'!I24</f>
        <v>25610.179824999999</v>
      </c>
      <c r="C6" s="89">
        <f t="shared" si="0"/>
        <v>1792.71258775</v>
      </c>
      <c r="D6" s="89">
        <f t="shared" si="0"/>
        <v>1792.71258775</v>
      </c>
      <c r="E6" s="89">
        <f t="shared" si="0"/>
        <v>2561.0179825</v>
      </c>
      <c r="F6" s="89">
        <f t="shared" si="0"/>
        <v>1792.71258775</v>
      </c>
      <c r="G6" s="89">
        <f t="shared" si="0"/>
        <v>1792.71258775</v>
      </c>
      <c r="H6" s="89">
        <f t="shared" si="0"/>
        <v>2817.1197807499998</v>
      </c>
      <c r="I6" s="89">
        <f t="shared" si="0"/>
        <v>1536.6107895</v>
      </c>
      <c r="J6" s="89">
        <f t="shared" si="0"/>
        <v>1536.6107895</v>
      </c>
      <c r="K6" s="89">
        <f t="shared" si="0"/>
        <v>2561.0179825</v>
      </c>
      <c r="L6" s="89">
        <f t="shared" si="0"/>
        <v>2048.814386</v>
      </c>
      <c r="M6" s="89">
        <f t="shared" si="0"/>
        <v>2048.814386</v>
      </c>
      <c r="N6" s="89">
        <f t="shared" si="0"/>
        <v>3329.3233772499998</v>
      </c>
      <c r="O6" s="90">
        <f t="shared" si="1"/>
        <v>25610.179824999996</v>
      </c>
      <c r="Q6" s="88" t="s">
        <v>31</v>
      </c>
      <c r="R6" s="89">
        <f t="shared" si="2"/>
        <v>6146.443158</v>
      </c>
      <c r="S6" s="89">
        <f t="shared" si="3"/>
        <v>6402.5449562499998</v>
      </c>
      <c r="T6" s="89">
        <f t="shared" si="4"/>
        <v>5634.2395615000005</v>
      </c>
      <c r="U6" s="89">
        <f t="shared" si="5"/>
        <v>7426.9521492499998</v>
      </c>
      <c r="V6" s="90">
        <f t="shared" si="6"/>
        <v>25610.179824999999</v>
      </c>
    </row>
    <row r="7" spans="1:22" hidden="1" x14ac:dyDescent="0.2">
      <c r="A7" s="88" t="s">
        <v>32</v>
      </c>
      <c r="B7" s="89">
        <f>'2026 SatışHedefi - 671 (Yıllık)'!I25</f>
        <v>9535.1743749999987</v>
      </c>
      <c r="C7" s="89">
        <f t="shared" si="0"/>
        <v>667.46220625000001</v>
      </c>
      <c r="D7" s="89">
        <f t="shared" si="0"/>
        <v>667.46220625000001</v>
      </c>
      <c r="E7" s="89">
        <f t="shared" si="0"/>
        <v>953.51743749999991</v>
      </c>
      <c r="F7" s="89">
        <f t="shared" si="0"/>
        <v>667.46220625000001</v>
      </c>
      <c r="G7" s="89">
        <f t="shared" si="0"/>
        <v>667.46220625000001</v>
      </c>
      <c r="H7" s="89">
        <f t="shared" si="0"/>
        <v>1048.8691812499999</v>
      </c>
      <c r="I7" s="89">
        <f t="shared" si="0"/>
        <v>572.11046249999993</v>
      </c>
      <c r="J7" s="89">
        <f t="shared" si="0"/>
        <v>572.11046249999993</v>
      </c>
      <c r="K7" s="89">
        <f t="shared" si="0"/>
        <v>953.51743749999991</v>
      </c>
      <c r="L7" s="89">
        <f t="shared" si="0"/>
        <v>762.81394999999986</v>
      </c>
      <c r="M7" s="89">
        <f t="shared" si="0"/>
        <v>762.81394999999986</v>
      </c>
      <c r="N7" s="89">
        <f t="shared" si="0"/>
        <v>1239.5726687499998</v>
      </c>
      <c r="O7" s="90">
        <f t="shared" si="1"/>
        <v>9535.1743749999987</v>
      </c>
      <c r="Q7" s="88" t="s">
        <v>32</v>
      </c>
      <c r="R7" s="89">
        <f t="shared" si="2"/>
        <v>2288.4418500000002</v>
      </c>
      <c r="S7" s="89">
        <f t="shared" si="3"/>
        <v>2383.7935937499997</v>
      </c>
      <c r="T7" s="89">
        <f t="shared" si="4"/>
        <v>2097.7383624999998</v>
      </c>
      <c r="U7" s="89">
        <f t="shared" si="5"/>
        <v>2765.2005687499995</v>
      </c>
      <c r="V7" s="90">
        <f t="shared" si="6"/>
        <v>9535.1743749999987</v>
      </c>
    </row>
    <row r="8" spans="1:22" hidden="1" x14ac:dyDescent="0.2">
      <c r="A8" s="88" t="s">
        <v>33</v>
      </c>
      <c r="B8" s="89">
        <f>'2026 SatışHedefi - 671 (Yıllık)'!I26</f>
        <v>146979.39199999999</v>
      </c>
      <c r="C8" s="89">
        <f t="shared" si="0"/>
        <v>10288.55744</v>
      </c>
      <c r="D8" s="89">
        <f t="shared" si="0"/>
        <v>10288.55744</v>
      </c>
      <c r="E8" s="89">
        <f t="shared" si="0"/>
        <v>14697.939200000001</v>
      </c>
      <c r="F8" s="89">
        <f t="shared" si="0"/>
        <v>10288.55744</v>
      </c>
      <c r="G8" s="89">
        <f t="shared" si="0"/>
        <v>10288.55744</v>
      </c>
      <c r="H8" s="89">
        <f t="shared" si="0"/>
        <v>16167.733119999999</v>
      </c>
      <c r="I8" s="89">
        <f t="shared" si="0"/>
        <v>8818.7635199999986</v>
      </c>
      <c r="J8" s="89">
        <f t="shared" si="0"/>
        <v>8818.7635199999986</v>
      </c>
      <c r="K8" s="89">
        <f t="shared" si="0"/>
        <v>14697.939200000001</v>
      </c>
      <c r="L8" s="89">
        <f t="shared" si="0"/>
        <v>11758.351359999999</v>
      </c>
      <c r="M8" s="89">
        <f t="shared" si="0"/>
        <v>11758.351359999999</v>
      </c>
      <c r="N8" s="89">
        <f t="shared" si="0"/>
        <v>19107.320960000001</v>
      </c>
      <c r="O8" s="90">
        <f t="shared" si="1"/>
        <v>146979.39200000002</v>
      </c>
      <c r="Q8" s="88" t="s">
        <v>33</v>
      </c>
      <c r="R8" s="89">
        <f t="shared" si="2"/>
        <v>35275.054080000002</v>
      </c>
      <c r="S8" s="89">
        <f t="shared" si="3"/>
        <v>36744.847999999998</v>
      </c>
      <c r="T8" s="89">
        <f t="shared" si="4"/>
        <v>32335.466239999998</v>
      </c>
      <c r="U8" s="89">
        <f t="shared" si="5"/>
        <v>42624.023679999998</v>
      </c>
      <c r="V8" s="90">
        <f t="shared" si="6"/>
        <v>146979.39199999999</v>
      </c>
    </row>
    <row r="9" spans="1:22" hidden="1" x14ac:dyDescent="0.2">
      <c r="A9" s="88" t="s">
        <v>34</v>
      </c>
      <c r="B9" s="89">
        <f>'2026 SatışHedefi - 671 (Yıllık)'!I27</f>
        <v>71972.433875000002</v>
      </c>
      <c r="C9" s="89">
        <f t="shared" si="0"/>
        <v>5038.0703712500008</v>
      </c>
      <c r="D9" s="89">
        <f t="shared" si="0"/>
        <v>5038.0703712500008</v>
      </c>
      <c r="E9" s="89">
        <f t="shared" si="0"/>
        <v>7197.2433875000006</v>
      </c>
      <c r="F9" s="89">
        <f t="shared" si="0"/>
        <v>5038.0703712500008</v>
      </c>
      <c r="G9" s="89">
        <f t="shared" si="0"/>
        <v>5038.0703712500008</v>
      </c>
      <c r="H9" s="89">
        <f t="shared" si="0"/>
        <v>7916.9677262499999</v>
      </c>
      <c r="I9" s="89">
        <f t="shared" si="0"/>
        <v>4318.3460324999996</v>
      </c>
      <c r="J9" s="89">
        <f t="shared" si="0"/>
        <v>4318.3460324999996</v>
      </c>
      <c r="K9" s="89">
        <f t="shared" si="0"/>
        <v>7197.2433875000006</v>
      </c>
      <c r="L9" s="89">
        <f t="shared" si="0"/>
        <v>5757.7947100000001</v>
      </c>
      <c r="M9" s="89">
        <f t="shared" si="0"/>
        <v>5757.7947100000001</v>
      </c>
      <c r="N9" s="89">
        <f t="shared" si="0"/>
        <v>9356.4164037500013</v>
      </c>
      <c r="O9" s="90">
        <f t="shared" si="1"/>
        <v>71972.433875000002</v>
      </c>
      <c r="Q9" s="88" t="s">
        <v>34</v>
      </c>
      <c r="R9" s="89">
        <f t="shared" si="2"/>
        <v>17273.384130000002</v>
      </c>
      <c r="S9" s="89">
        <f t="shared" si="3"/>
        <v>17993.108468750001</v>
      </c>
      <c r="T9" s="89">
        <f t="shared" si="4"/>
        <v>15833.9354525</v>
      </c>
      <c r="U9" s="89">
        <f t="shared" si="5"/>
        <v>20872.005823750002</v>
      </c>
      <c r="V9" s="90">
        <f t="shared" si="6"/>
        <v>71972.433875000002</v>
      </c>
    </row>
    <row r="10" spans="1:22" hidden="1" x14ac:dyDescent="0.2">
      <c r="A10" s="88" t="s">
        <v>35</v>
      </c>
      <c r="B10" s="89">
        <f>'2026 SatışHedefi - 671 (Yıllık)'!I28</f>
        <v>16436.4519</v>
      </c>
      <c r="C10" s="89">
        <f t="shared" si="0"/>
        <v>1150.551633</v>
      </c>
      <c r="D10" s="89">
        <f t="shared" si="0"/>
        <v>1150.551633</v>
      </c>
      <c r="E10" s="89">
        <f t="shared" si="0"/>
        <v>1643.6451900000002</v>
      </c>
      <c r="F10" s="89">
        <f t="shared" si="0"/>
        <v>1150.551633</v>
      </c>
      <c r="G10" s="89">
        <f t="shared" si="0"/>
        <v>1150.551633</v>
      </c>
      <c r="H10" s="89">
        <f t="shared" si="0"/>
        <v>1808.0097089999999</v>
      </c>
      <c r="I10" s="89">
        <f t="shared" si="0"/>
        <v>986.18711399999995</v>
      </c>
      <c r="J10" s="89">
        <f t="shared" si="0"/>
        <v>986.18711399999995</v>
      </c>
      <c r="K10" s="89">
        <f t="shared" si="0"/>
        <v>1643.6451900000002</v>
      </c>
      <c r="L10" s="89">
        <f t="shared" si="0"/>
        <v>1314.916152</v>
      </c>
      <c r="M10" s="89">
        <f t="shared" si="0"/>
        <v>1314.916152</v>
      </c>
      <c r="N10" s="89">
        <f t="shared" si="0"/>
        <v>2136.7387469999999</v>
      </c>
      <c r="O10" s="90">
        <f t="shared" si="1"/>
        <v>16436.4519</v>
      </c>
      <c r="Q10" s="88" t="s">
        <v>35</v>
      </c>
      <c r="R10" s="89">
        <f t="shared" si="2"/>
        <v>3944.7484560000003</v>
      </c>
      <c r="S10" s="89">
        <f t="shared" si="3"/>
        <v>4109.112975</v>
      </c>
      <c r="T10" s="89">
        <f t="shared" si="4"/>
        <v>3616.0194179999999</v>
      </c>
      <c r="U10" s="89">
        <f t="shared" si="5"/>
        <v>4766.5710509999999</v>
      </c>
      <c r="V10" s="90">
        <f t="shared" si="6"/>
        <v>16436.4519</v>
      </c>
    </row>
    <row r="11" spans="1:22" ht="22" hidden="1" customHeight="1" x14ac:dyDescent="0.2">
      <c r="A11" s="91" t="s">
        <v>30</v>
      </c>
      <c r="B11" s="90">
        <f t="shared" ref="B11:N11" si="7">SUM(B3:B10)</f>
        <v>671132.60362499987</v>
      </c>
      <c r="C11" s="90">
        <f t="shared" si="7"/>
        <v>46979.282253750003</v>
      </c>
      <c r="D11" s="90">
        <f t="shared" si="7"/>
        <v>46979.282253750003</v>
      </c>
      <c r="E11" s="90">
        <f t="shared" si="7"/>
        <v>67113.260362500005</v>
      </c>
      <c r="F11" s="90">
        <f t="shared" si="7"/>
        <v>46979.282253750003</v>
      </c>
      <c r="G11" s="90">
        <f t="shared" si="7"/>
        <v>46979.282253750003</v>
      </c>
      <c r="H11" s="90">
        <f t="shared" si="7"/>
        <v>73824.586398749991</v>
      </c>
      <c r="I11" s="90">
        <f t="shared" si="7"/>
        <v>40267.956217499996</v>
      </c>
      <c r="J11" s="90">
        <f t="shared" si="7"/>
        <v>40267.956217499996</v>
      </c>
      <c r="K11" s="90">
        <f t="shared" si="7"/>
        <v>67113.260362500005</v>
      </c>
      <c r="L11" s="90">
        <f t="shared" si="7"/>
        <v>53690.608289999996</v>
      </c>
      <c r="M11" s="90">
        <f t="shared" si="7"/>
        <v>53690.608289999996</v>
      </c>
      <c r="N11" s="90">
        <f t="shared" si="7"/>
        <v>87247.238471249992</v>
      </c>
      <c r="O11" s="90">
        <f t="shared" si="1"/>
        <v>671132.60362499999</v>
      </c>
      <c r="Q11" s="91" t="s">
        <v>30</v>
      </c>
      <c r="R11" s="90">
        <f>SUM(R3:R10)</f>
        <v>161071.82487000001</v>
      </c>
      <c r="S11" s="90">
        <f t="shared" ref="S11:U11" si="8">SUM(S3:S10)</f>
        <v>167783.15090625</v>
      </c>
      <c r="T11" s="90">
        <f t="shared" si="8"/>
        <v>147649.17279749998</v>
      </c>
      <c r="U11" s="90">
        <f t="shared" si="8"/>
        <v>194628.45505125</v>
      </c>
      <c r="V11" s="90">
        <f>SUM(V3:V10)</f>
        <v>671132.60362499999</v>
      </c>
    </row>
    <row r="12" spans="1:22" hidden="1" x14ac:dyDescent="0.2">
      <c r="A12" s="92" t="s">
        <v>38</v>
      </c>
      <c r="B12" s="93">
        <f>SUM(B3:B10)</f>
        <v>671132.60362499987</v>
      </c>
      <c r="C12" s="94">
        <v>7.0000000000000007E-2</v>
      </c>
      <c r="D12" s="94">
        <v>7.0000000000000007E-2</v>
      </c>
      <c r="E12" s="94">
        <v>0.1</v>
      </c>
      <c r="F12" s="94">
        <v>7.0000000000000007E-2</v>
      </c>
      <c r="G12" s="94">
        <v>7.0000000000000007E-2</v>
      </c>
      <c r="H12" s="94">
        <v>0.11</v>
      </c>
      <c r="I12" s="94">
        <v>0.06</v>
      </c>
      <c r="J12" s="94">
        <v>0.06</v>
      </c>
      <c r="K12" s="94">
        <v>0.1</v>
      </c>
      <c r="L12" s="94">
        <v>0.08</v>
      </c>
      <c r="M12" s="94">
        <v>0.08</v>
      </c>
      <c r="N12" s="94">
        <v>0.13</v>
      </c>
      <c r="O12" s="95">
        <f t="shared" si="1"/>
        <v>1</v>
      </c>
      <c r="Q12" s="92" t="s">
        <v>38</v>
      </c>
      <c r="R12" s="94">
        <f>R11/$V$11</f>
        <v>0.24000000000000002</v>
      </c>
      <c r="S12" s="94">
        <f t="shared" ref="S12:U12" si="9">S11/$V$11</f>
        <v>0.25</v>
      </c>
      <c r="T12" s="94">
        <f t="shared" si="9"/>
        <v>0.21999999999999997</v>
      </c>
      <c r="U12" s="94">
        <f t="shared" si="9"/>
        <v>0.28999999999999998</v>
      </c>
      <c r="V12" s="95">
        <v>0.99999999999999989</v>
      </c>
    </row>
    <row r="13" spans="1:22" hidden="1" x14ac:dyDescent="0.2">
      <c r="A13" s="1"/>
      <c r="B13" s="40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1"/>
      <c r="Q13" s="1"/>
      <c r="R13" s="1"/>
      <c r="S13" s="1"/>
      <c r="T13" s="1"/>
      <c r="U13" s="1"/>
      <c r="V13" s="1"/>
    </row>
    <row r="14" spans="1:2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Q14" s="1"/>
      <c r="R14" s="1"/>
      <c r="S14" s="1"/>
      <c r="T14" s="1"/>
      <c r="U14" s="1"/>
      <c r="V14" s="1"/>
    </row>
    <row r="15" spans="1:22" x14ac:dyDescent="0.2">
      <c r="A15" s="387" t="s">
        <v>79</v>
      </c>
      <c r="B15" s="387"/>
      <c r="C15" s="387"/>
      <c r="D15" s="387"/>
      <c r="E15" s="387"/>
      <c r="F15" s="387"/>
      <c r="G15" s="387"/>
      <c r="H15" s="387"/>
      <c r="I15" s="387"/>
      <c r="J15" s="387"/>
      <c r="K15" s="387"/>
      <c r="L15" s="387"/>
      <c r="M15" s="387"/>
      <c r="N15" s="387"/>
      <c r="O15" s="387"/>
      <c r="Q15" s="387" t="s">
        <v>73</v>
      </c>
      <c r="R15" s="387"/>
      <c r="S15" s="387"/>
      <c r="T15" s="387"/>
      <c r="U15" s="387"/>
      <c r="V15" s="387"/>
    </row>
    <row r="16" spans="1:22" ht="51" x14ac:dyDescent="0.2">
      <c r="A16" s="96" t="s">
        <v>6</v>
      </c>
      <c r="B16" s="97" t="s">
        <v>39</v>
      </c>
      <c r="C16" s="86">
        <v>1</v>
      </c>
      <c r="D16" s="86">
        <v>2</v>
      </c>
      <c r="E16" s="86">
        <v>3</v>
      </c>
      <c r="F16" s="86">
        <v>4</v>
      </c>
      <c r="G16" s="86">
        <v>5</v>
      </c>
      <c r="H16" s="86">
        <v>6</v>
      </c>
      <c r="I16" s="86">
        <v>7</v>
      </c>
      <c r="J16" s="86">
        <v>8</v>
      </c>
      <c r="K16" s="86">
        <v>9</v>
      </c>
      <c r="L16" s="86">
        <v>10</v>
      </c>
      <c r="M16" s="86">
        <v>11</v>
      </c>
      <c r="N16" s="86">
        <v>12</v>
      </c>
      <c r="O16" s="86" t="s">
        <v>30</v>
      </c>
      <c r="Q16" s="96" t="s">
        <v>6</v>
      </c>
      <c r="R16" s="86" t="s">
        <v>154</v>
      </c>
      <c r="S16" s="86" t="s">
        <v>155</v>
      </c>
      <c r="T16" s="86" t="s">
        <v>156</v>
      </c>
      <c r="U16" s="86" t="s">
        <v>157</v>
      </c>
      <c r="V16" s="86" t="s">
        <v>30</v>
      </c>
    </row>
    <row r="17" spans="1:22" x14ac:dyDescent="0.2">
      <c r="A17" s="88" t="s">
        <v>25</v>
      </c>
      <c r="B17" s="89">
        <f>'2026 SatışHedefi - 671 (Yıllık)'!I21</f>
        <v>282952.13772499998</v>
      </c>
      <c r="C17" s="89">
        <v>19806.649640750002</v>
      </c>
      <c r="D17" s="89">
        <v>19806.649640750002</v>
      </c>
      <c r="E17" s="89">
        <v>22636.171017999997</v>
      </c>
      <c r="F17" s="89">
        <v>21221.410329374998</v>
      </c>
      <c r="G17" s="89">
        <v>21221.410329374998</v>
      </c>
      <c r="H17" s="89">
        <v>25465.692395249996</v>
      </c>
      <c r="I17" s="89">
        <v>21221.410329374998</v>
      </c>
      <c r="J17" s="89">
        <v>21221.410329374998</v>
      </c>
      <c r="K17" s="89">
        <v>22636.171017999997</v>
      </c>
      <c r="L17" s="89">
        <v>28295.213772499999</v>
      </c>
      <c r="M17" s="89">
        <v>28295.213772499999</v>
      </c>
      <c r="N17" s="89">
        <v>31124.735149749999</v>
      </c>
      <c r="O17" s="90">
        <f t="shared" ref="O17:O26" si="10">SUM(C17:N17)</f>
        <v>282952.13772499998</v>
      </c>
      <c r="Q17" s="88" t="s">
        <v>25</v>
      </c>
      <c r="R17" s="89">
        <f>SUM(C17:E17)</f>
        <v>62249.470299499997</v>
      </c>
      <c r="S17" s="89">
        <f>SUM(F17:H17)</f>
        <v>67908.513053999995</v>
      </c>
      <c r="T17" s="89">
        <f>SUM(I17:K17)</f>
        <v>65078.991676749996</v>
      </c>
      <c r="U17" s="89">
        <f>SUM(L17:N17)</f>
        <v>87715.162694750004</v>
      </c>
      <c r="V17" s="90">
        <f>SUM(R17:U17)</f>
        <v>282952.13772499998</v>
      </c>
    </row>
    <row r="18" spans="1:22" x14ac:dyDescent="0.2">
      <c r="A18" s="88" t="s">
        <v>27</v>
      </c>
      <c r="B18" s="89">
        <f>'2026 SatışHedefi - 671 (Yıllık)'!I22</f>
        <v>57709.133300000001</v>
      </c>
      <c r="C18" s="89">
        <v>4039.6393310000003</v>
      </c>
      <c r="D18" s="89">
        <v>4039.6393310000003</v>
      </c>
      <c r="E18" s="89">
        <v>4616.7306640000006</v>
      </c>
      <c r="F18" s="89">
        <v>4616.7306640000006</v>
      </c>
      <c r="G18" s="89">
        <v>4616.7306640000006</v>
      </c>
      <c r="H18" s="89">
        <v>5193.821997</v>
      </c>
      <c r="I18" s="89">
        <v>4328.1849974999996</v>
      </c>
      <c r="J18" s="89">
        <v>4328.1849974999996</v>
      </c>
      <c r="K18" s="89">
        <v>4616.7306640000006</v>
      </c>
      <c r="L18" s="89">
        <v>5482.3676635000002</v>
      </c>
      <c r="M18" s="89">
        <v>5482.3676635000002</v>
      </c>
      <c r="N18" s="89">
        <v>6348.0046630000006</v>
      </c>
      <c r="O18" s="90">
        <f t="shared" si="10"/>
        <v>57709.133300000009</v>
      </c>
      <c r="Q18" s="88" t="s">
        <v>27</v>
      </c>
      <c r="R18" s="89">
        <f t="shared" ref="R18:R24" si="11">SUM(C18:E18)</f>
        <v>12696.009326000001</v>
      </c>
      <c r="S18" s="89">
        <f t="shared" ref="S18:S24" si="12">SUM(F18:H18)</f>
        <v>14427.283325</v>
      </c>
      <c r="T18" s="89">
        <f t="shared" ref="T18:T24" si="13">SUM(I18:K18)</f>
        <v>13273.100659</v>
      </c>
      <c r="U18" s="89">
        <f t="shared" ref="U18:U24" si="14">SUM(L18:N18)</f>
        <v>17312.739990000002</v>
      </c>
      <c r="V18" s="90">
        <f t="shared" ref="V18:V24" si="15">SUM(R18:U18)</f>
        <v>57709.133300000001</v>
      </c>
    </row>
    <row r="19" spans="1:22" x14ac:dyDescent="0.2">
      <c r="A19" s="88" t="s">
        <v>29</v>
      </c>
      <c r="B19" s="89">
        <f>'2026 SatışHedefi - 671 (Yıllık)'!I23</f>
        <v>59937.700624999998</v>
      </c>
      <c r="C19" s="89">
        <v>4195.6390437500004</v>
      </c>
      <c r="D19" s="89">
        <v>4195.6390437500004</v>
      </c>
      <c r="E19" s="89">
        <v>4795.0160500000002</v>
      </c>
      <c r="F19" s="89">
        <v>4795.0160500000002</v>
      </c>
      <c r="G19" s="89">
        <v>4795.0160500000002</v>
      </c>
      <c r="H19" s="89">
        <v>5394.39305625</v>
      </c>
      <c r="I19" s="89">
        <v>4495.3275468749998</v>
      </c>
      <c r="J19" s="89">
        <v>4495.3275468749998</v>
      </c>
      <c r="K19" s="89">
        <v>4795.0160500000002</v>
      </c>
      <c r="L19" s="89">
        <v>5694.0815593749994</v>
      </c>
      <c r="M19" s="89">
        <v>5694.0815593749994</v>
      </c>
      <c r="N19" s="89">
        <v>6593.1470687499996</v>
      </c>
      <c r="O19" s="90">
        <f t="shared" si="10"/>
        <v>59937.70062499999</v>
      </c>
      <c r="Q19" s="88" t="s">
        <v>29</v>
      </c>
      <c r="R19" s="89">
        <f t="shared" si="11"/>
        <v>13186.294137500001</v>
      </c>
      <c r="S19" s="89">
        <f t="shared" si="12"/>
        <v>14984.425156249999</v>
      </c>
      <c r="T19" s="89">
        <f t="shared" si="13"/>
        <v>13785.67114375</v>
      </c>
      <c r="U19" s="89">
        <f t="shared" si="14"/>
        <v>17981.310187499999</v>
      </c>
      <c r="V19" s="90">
        <f t="shared" si="15"/>
        <v>59937.700624999998</v>
      </c>
    </row>
    <row r="20" spans="1:22" x14ac:dyDescent="0.2">
      <c r="A20" s="88" t="s">
        <v>31</v>
      </c>
      <c r="B20" s="89">
        <f>'2026 SatışHedefi - 671 (Yıllık)'!I24</f>
        <v>25610.179824999999</v>
      </c>
      <c r="C20" s="89">
        <v>1792.7125877500005</v>
      </c>
      <c r="D20" s="89">
        <v>1792.7125877500005</v>
      </c>
      <c r="E20" s="89">
        <v>2048.8143860000005</v>
      </c>
      <c r="F20" s="89">
        <v>2048.8143860000005</v>
      </c>
      <c r="G20" s="89">
        <v>2048.8143860000005</v>
      </c>
      <c r="H20" s="89">
        <v>2304.9161842500002</v>
      </c>
      <c r="I20" s="89">
        <v>1920.7634868750001</v>
      </c>
      <c r="J20" s="89">
        <v>1920.7634868750001</v>
      </c>
      <c r="K20" s="89">
        <v>2048.8143860000005</v>
      </c>
      <c r="L20" s="89">
        <v>2432.9670833750001</v>
      </c>
      <c r="M20" s="89">
        <v>2432.9670833750001</v>
      </c>
      <c r="N20" s="89">
        <v>2817.1197807500002</v>
      </c>
      <c r="O20" s="90">
        <f t="shared" si="10"/>
        <v>25610.179824999999</v>
      </c>
      <c r="Q20" s="88" t="s">
        <v>31</v>
      </c>
      <c r="R20" s="89">
        <f t="shared" si="11"/>
        <v>5634.2395615000014</v>
      </c>
      <c r="S20" s="89">
        <f t="shared" si="12"/>
        <v>6402.5449562500016</v>
      </c>
      <c r="T20" s="89">
        <f t="shared" si="13"/>
        <v>5890.3413597500003</v>
      </c>
      <c r="U20" s="89">
        <f t="shared" si="14"/>
        <v>7683.0539475000005</v>
      </c>
      <c r="V20" s="90">
        <f t="shared" si="15"/>
        <v>25610.179825000003</v>
      </c>
    </row>
    <row r="21" spans="1:22" x14ac:dyDescent="0.2">
      <c r="A21" s="88" t="s">
        <v>32</v>
      </c>
      <c r="B21" s="89">
        <f>'2026 SatışHedefi - 671 (Yıllık)'!I25</f>
        <v>9535.1743749999987</v>
      </c>
      <c r="C21" s="89">
        <v>667.46220625000012</v>
      </c>
      <c r="D21" s="89">
        <v>667.46220625000012</v>
      </c>
      <c r="E21" s="89">
        <v>762.81395000000009</v>
      </c>
      <c r="F21" s="89">
        <v>762.81395000000009</v>
      </c>
      <c r="G21" s="89">
        <v>762.81395000000009</v>
      </c>
      <c r="H21" s="89">
        <v>858.16569375000006</v>
      </c>
      <c r="I21" s="89">
        <v>715.13807812499999</v>
      </c>
      <c r="J21" s="89">
        <v>715.13807812499999</v>
      </c>
      <c r="K21" s="89">
        <v>762.81395000000009</v>
      </c>
      <c r="L21" s="89">
        <v>905.84156562500004</v>
      </c>
      <c r="M21" s="89">
        <v>905.84156562500004</v>
      </c>
      <c r="N21" s="89">
        <v>1048.8691812500001</v>
      </c>
      <c r="O21" s="90">
        <f t="shared" si="10"/>
        <v>9535.1743750000005</v>
      </c>
      <c r="Q21" s="88" t="s">
        <v>32</v>
      </c>
      <c r="R21" s="89">
        <f t="shared" si="11"/>
        <v>2097.7383625000002</v>
      </c>
      <c r="S21" s="89">
        <f t="shared" si="12"/>
        <v>2383.7935937500001</v>
      </c>
      <c r="T21" s="89">
        <f t="shared" si="13"/>
        <v>2193.0901062500002</v>
      </c>
      <c r="U21" s="89">
        <f t="shared" si="14"/>
        <v>2860.5523125</v>
      </c>
      <c r="V21" s="90">
        <f t="shared" si="15"/>
        <v>9535.1743750000005</v>
      </c>
    </row>
    <row r="22" spans="1:22" x14ac:dyDescent="0.2">
      <c r="A22" s="88" t="s">
        <v>33</v>
      </c>
      <c r="B22" s="89">
        <f>'2026 SatışHedefi - 671 (Yıllık)'!I26</f>
        <v>146979.39199999999</v>
      </c>
      <c r="C22" s="89">
        <f t="shared" ref="C22:N22" si="16">$B22*C36</f>
        <v>10288.55744</v>
      </c>
      <c r="D22" s="89">
        <f t="shared" si="16"/>
        <v>10288.55744</v>
      </c>
      <c r="E22" s="89">
        <f t="shared" si="16"/>
        <v>11758.351359999999</v>
      </c>
      <c r="F22" s="89">
        <f t="shared" si="16"/>
        <v>11758.351359999999</v>
      </c>
      <c r="G22" s="89">
        <f t="shared" si="16"/>
        <v>11758.351359999999</v>
      </c>
      <c r="H22" s="89">
        <f t="shared" si="16"/>
        <v>13228.145279999999</v>
      </c>
      <c r="I22" s="89">
        <f t="shared" si="16"/>
        <v>11023.454399999999</v>
      </c>
      <c r="J22" s="89">
        <f t="shared" si="16"/>
        <v>11023.454399999999</v>
      </c>
      <c r="K22" s="89">
        <f t="shared" si="16"/>
        <v>11758.351359999999</v>
      </c>
      <c r="L22" s="89">
        <f t="shared" si="16"/>
        <v>13963.042239999999</v>
      </c>
      <c r="M22" s="89">
        <f t="shared" si="16"/>
        <v>13963.042239999999</v>
      </c>
      <c r="N22" s="89">
        <f t="shared" si="16"/>
        <v>16167.733119999999</v>
      </c>
      <c r="O22" s="325">
        <f t="shared" si="10"/>
        <v>146979.39199999999</v>
      </c>
      <c r="Q22" s="88" t="s">
        <v>33</v>
      </c>
      <c r="R22" s="89">
        <f t="shared" si="11"/>
        <v>32335.466240000002</v>
      </c>
      <c r="S22" s="89">
        <f t="shared" si="12"/>
        <v>36744.847999999998</v>
      </c>
      <c r="T22" s="89">
        <f t="shared" si="13"/>
        <v>33805.260159999998</v>
      </c>
      <c r="U22" s="89">
        <f t="shared" si="14"/>
        <v>44093.817599999995</v>
      </c>
      <c r="V22" s="325">
        <f t="shared" si="15"/>
        <v>146979.39199999999</v>
      </c>
    </row>
    <row r="23" spans="1:22" x14ac:dyDescent="0.2">
      <c r="A23" s="88" t="s">
        <v>34</v>
      </c>
      <c r="B23" s="89">
        <f>'2026 SatışHedefi - 671 (Yıllık)'!I27</f>
        <v>71972.433875000002</v>
      </c>
      <c r="C23" s="89">
        <v>5038.0703712500008</v>
      </c>
      <c r="D23" s="89">
        <v>5038.0703712500008</v>
      </c>
      <c r="E23" s="89">
        <v>5757.7947100000001</v>
      </c>
      <c r="F23" s="89">
        <v>5757.7947100000001</v>
      </c>
      <c r="G23" s="89">
        <v>5757.7947100000001</v>
      </c>
      <c r="H23" s="89">
        <v>6477.5190487500004</v>
      </c>
      <c r="I23" s="89">
        <v>5397.932540625</v>
      </c>
      <c r="J23" s="89">
        <v>5397.932540625</v>
      </c>
      <c r="K23" s="89">
        <v>5757.7947100000001</v>
      </c>
      <c r="L23" s="89">
        <v>6837.3812181250005</v>
      </c>
      <c r="M23" s="89">
        <v>6837.3812181250005</v>
      </c>
      <c r="N23" s="89">
        <v>7916.9677262499999</v>
      </c>
      <c r="O23" s="90">
        <f t="shared" si="10"/>
        <v>71972.433875000017</v>
      </c>
      <c r="Q23" s="88" t="s">
        <v>34</v>
      </c>
      <c r="R23" s="89">
        <f t="shared" si="11"/>
        <v>15833.935452500002</v>
      </c>
      <c r="S23" s="89">
        <f t="shared" si="12"/>
        <v>17993.108468750001</v>
      </c>
      <c r="T23" s="89">
        <f t="shared" si="13"/>
        <v>16553.65979125</v>
      </c>
      <c r="U23" s="89">
        <f t="shared" si="14"/>
        <v>21591.7301625</v>
      </c>
      <c r="V23" s="90">
        <f t="shared" si="15"/>
        <v>71972.433875000002</v>
      </c>
    </row>
    <row r="24" spans="1:22" x14ac:dyDescent="0.2">
      <c r="A24" s="88" t="s">
        <v>35</v>
      </c>
      <c r="B24" s="89">
        <f>'2026 SatışHedefi - 671 (Yıllık)'!I28</f>
        <v>16436.4519</v>
      </c>
      <c r="C24" s="89">
        <v>1314.916152</v>
      </c>
      <c r="D24" s="89">
        <v>1314.916152</v>
      </c>
      <c r="E24" s="89">
        <v>1479.280671</v>
      </c>
      <c r="F24" s="89">
        <v>1314.916152</v>
      </c>
      <c r="G24" s="89">
        <v>1314.916152</v>
      </c>
      <c r="H24" s="89">
        <v>1479.280671</v>
      </c>
      <c r="I24" s="89">
        <v>1232.7338924999999</v>
      </c>
      <c r="J24" s="89">
        <v>1314.916152</v>
      </c>
      <c r="K24" s="89">
        <v>1314.916152</v>
      </c>
      <c r="L24" s="89">
        <v>1314.916152</v>
      </c>
      <c r="M24" s="89">
        <v>1479.280671</v>
      </c>
      <c r="N24" s="89">
        <v>1561.4629305000001</v>
      </c>
      <c r="O24" s="90">
        <f t="shared" si="10"/>
        <v>16436.4519</v>
      </c>
      <c r="Q24" s="88" t="s">
        <v>35</v>
      </c>
      <c r="R24" s="89">
        <f t="shared" si="11"/>
        <v>4109.112975</v>
      </c>
      <c r="S24" s="89">
        <f t="shared" si="12"/>
        <v>4109.112975</v>
      </c>
      <c r="T24" s="89">
        <f t="shared" si="13"/>
        <v>3862.5661964999999</v>
      </c>
      <c r="U24" s="89">
        <f t="shared" si="14"/>
        <v>4355.6597535000001</v>
      </c>
      <c r="V24" s="90">
        <f t="shared" si="15"/>
        <v>16436.4519</v>
      </c>
    </row>
    <row r="25" spans="1:22" ht="22" customHeight="1" x14ac:dyDescent="0.2">
      <c r="A25" s="91" t="s">
        <v>40</v>
      </c>
      <c r="B25" s="90">
        <f t="shared" ref="B25:N25" si="17">SUM(B17:B24)</f>
        <v>671132.60362499987</v>
      </c>
      <c r="C25" s="90">
        <f t="shared" si="17"/>
        <v>47143.646772749998</v>
      </c>
      <c r="D25" s="90">
        <f t="shared" si="17"/>
        <v>47143.646772749998</v>
      </c>
      <c r="E25" s="90">
        <f t="shared" si="17"/>
        <v>53854.972808999999</v>
      </c>
      <c r="F25" s="90">
        <f t="shared" si="17"/>
        <v>52275.847601374997</v>
      </c>
      <c r="G25" s="90">
        <f t="shared" si="17"/>
        <v>52275.847601374997</v>
      </c>
      <c r="H25" s="90">
        <f t="shared" si="17"/>
        <v>60401.934326249997</v>
      </c>
      <c r="I25" s="90">
        <f t="shared" si="17"/>
        <v>50334.945271874996</v>
      </c>
      <c r="J25" s="90">
        <f t="shared" si="17"/>
        <v>50417.127531374994</v>
      </c>
      <c r="K25" s="90">
        <f t="shared" si="17"/>
        <v>53690.608289999996</v>
      </c>
      <c r="L25" s="90">
        <f t="shared" si="17"/>
        <v>64925.811254500004</v>
      </c>
      <c r="M25" s="90">
        <f t="shared" si="17"/>
        <v>65090.175773500006</v>
      </c>
      <c r="N25" s="90">
        <f t="shared" si="17"/>
        <v>73578.039620249983</v>
      </c>
      <c r="O25" s="90">
        <f t="shared" si="10"/>
        <v>671132.60362499999</v>
      </c>
      <c r="Q25" s="91" t="s">
        <v>30</v>
      </c>
      <c r="R25" s="90">
        <f>SUM(R17:R24)</f>
        <v>148142.26635450003</v>
      </c>
      <c r="S25" s="90">
        <f t="shared" ref="S25" si="18">SUM(S17:S24)</f>
        <v>164953.629529</v>
      </c>
      <c r="T25" s="90">
        <f t="shared" ref="T25" si="19">SUM(T17:T24)</f>
        <v>154442.68109325002</v>
      </c>
      <c r="U25" s="90">
        <f t="shared" ref="U25" si="20">SUM(U17:U24)</f>
        <v>203594.02664824997</v>
      </c>
      <c r="V25" s="90">
        <f>SUM(V17:V24)</f>
        <v>671132.60362499987</v>
      </c>
    </row>
    <row r="26" spans="1:22" x14ac:dyDescent="0.2">
      <c r="A26" s="92" t="s">
        <v>41</v>
      </c>
      <c r="B26" s="93"/>
      <c r="C26" s="94">
        <f t="shared" ref="C26:N26" si="21">C39</f>
        <v>7.1250000000000008E-2</v>
      </c>
      <c r="D26" s="94">
        <f t="shared" si="21"/>
        <v>7.1250000000000008E-2</v>
      </c>
      <c r="E26" s="94">
        <f t="shared" si="21"/>
        <v>8.1250000000000003E-2</v>
      </c>
      <c r="F26" s="94">
        <f t="shared" si="21"/>
        <v>7.9375000000000001E-2</v>
      </c>
      <c r="G26" s="94">
        <f t="shared" si="21"/>
        <v>7.9375000000000001E-2</v>
      </c>
      <c r="H26" s="94">
        <f t="shared" si="21"/>
        <v>8.9999999999999983E-2</v>
      </c>
      <c r="I26" s="94">
        <f t="shared" si="21"/>
        <v>7.4999999999999997E-2</v>
      </c>
      <c r="J26" s="94">
        <f t="shared" si="21"/>
        <v>7.5624999999999998E-2</v>
      </c>
      <c r="K26" s="94">
        <f t="shared" si="21"/>
        <v>0.08</v>
      </c>
      <c r="L26" s="94">
        <f t="shared" si="21"/>
        <v>9.3749999999999986E-2</v>
      </c>
      <c r="M26" s="94">
        <f t="shared" si="21"/>
        <v>9.4999999999999987E-2</v>
      </c>
      <c r="N26" s="94">
        <f t="shared" si="21"/>
        <v>0.108125</v>
      </c>
      <c r="O26" s="95">
        <f t="shared" si="10"/>
        <v>0.99999999999999989</v>
      </c>
      <c r="Q26" s="92" t="s">
        <v>41</v>
      </c>
      <c r="R26" s="94">
        <f>R25/$V$25</f>
        <v>0.22073471852557408</v>
      </c>
      <c r="S26" s="94">
        <f t="shared" ref="S26:U26" si="22">S25/$V$25</f>
        <v>0.24578396078216611</v>
      </c>
      <c r="T26" s="94">
        <f t="shared" si="22"/>
        <v>0.23012245308759574</v>
      </c>
      <c r="U26" s="94">
        <f t="shared" si="22"/>
        <v>0.3033588676046643</v>
      </c>
      <c r="V26" s="95">
        <v>0.99999999999999989</v>
      </c>
    </row>
    <row r="27" spans="1:2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Q27" s="1"/>
      <c r="R27" s="1"/>
      <c r="S27" s="1"/>
      <c r="T27" s="1"/>
      <c r="U27" s="1"/>
      <c r="V27" s="1"/>
    </row>
    <row r="28" spans="1:2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Q28" s="1"/>
      <c r="R28" s="1"/>
      <c r="S28" s="1"/>
      <c r="T28" s="1"/>
      <c r="U28" s="1"/>
      <c r="V28" s="1"/>
    </row>
    <row r="29" spans="1:22" ht="19" customHeight="1" x14ac:dyDescent="0.2">
      <c r="A29" s="387" t="s">
        <v>79</v>
      </c>
      <c r="B29" s="387"/>
      <c r="C29" s="387"/>
      <c r="D29" s="387"/>
      <c r="E29" s="387"/>
      <c r="F29" s="387"/>
      <c r="G29" s="387"/>
      <c r="H29" s="387"/>
      <c r="I29" s="387"/>
      <c r="J29" s="387"/>
      <c r="K29" s="387"/>
      <c r="L29" s="387"/>
      <c r="M29" s="387"/>
      <c r="N29" s="387"/>
      <c r="O29" s="387"/>
      <c r="Q29" s="387" t="s">
        <v>72</v>
      </c>
      <c r="R29" s="387"/>
      <c r="S29" s="387"/>
      <c r="T29" s="387"/>
      <c r="U29" s="387"/>
      <c r="V29" s="387"/>
    </row>
    <row r="30" spans="1:22" ht="51" x14ac:dyDescent="0.2">
      <c r="A30" s="96" t="s">
        <v>6</v>
      </c>
      <c r="B30" s="97" t="s">
        <v>39</v>
      </c>
      <c r="C30" s="86">
        <v>1</v>
      </c>
      <c r="D30" s="86">
        <v>2</v>
      </c>
      <c r="E30" s="86">
        <v>3</v>
      </c>
      <c r="F30" s="86">
        <v>4</v>
      </c>
      <c r="G30" s="86">
        <v>5</v>
      </c>
      <c r="H30" s="86">
        <v>6</v>
      </c>
      <c r="I30" s="86">
        <v>7</v>
      </c>
      <c r="J30" s="86">
        <v>8</v>
      </c>
      <c r="K30" s="86">
        <v>9</v>
      </c>
      <c r="L30" s="86">
        <v>10</v>
      </c>
      <c r="M30" s="86">
        <v>11</v>
      </c>
      <c r="N30" s="86">
        <v>12</v>
      </c>
      <c r="O30" s="86" t="s">
        <v>30</v>
      </c>
      <c r="Q30" s="96" t="s">
        <v>6</v>
      </c>
      <c r="R30" s="86">
        <v>1</v>
      </c>
      <c r="S30" s="86">
        <v>2</v>
      </c>
      <c r="T30" s="86">
        <v>3</v>
      </c>
      <c r="U30" s="86">
        <v>4</v>
      </c>
      <c r="V30" s="86" t="s">
        <v>30</v>
      </c>
    </row>
    <row r="31" spans="1:22" x14ac:dyDescent="0.2">
      <c r="A31" s="98" t="s">
        <v>25</v>
      </c>
      <c r="B31" s="99">
        <f t="shared" ref="B31:B38" si="23">B17</f>
        <v>282952.13772499998</v>
      </c>
      <c r="C31" s="100">
        <v>7.0000000000000007E-2</v>
      </c>
      <c r="D31" s="100">
        <v>7.0000000000000007E-2</v>
      </c>
      <c r="E31" s="100">
        <v>0.08</v>
      </c>
      <c r="F31" s="100">
        <v>7.4999999999999997E-2</v>
      </c>
      <c r="G31" s="100">
        <v>7.4999999999999997E-2</v>
      </c>
      <c r="H31" s="100">
        <v>0.09</v>
      </c>
      <c r="I31" s="100">
        <v>7.4999999999999997E-2</v>
      </c>
      <c r="J31" s="100">
        <v>7.4999999999999997E-2</v>
      </c>
      <c r="K31" s="100">
        <v>0.08</v>
      </c>
      <c r="L31" s="100">
        <v>0.1</v>
      </c>
      <c r="M31" s="100">
        <v>0.1</v>
      </c>
      <c r="N31" s="100">
        <v>0.11</v>
      </c>
      <c r="O31" s="100">
        <f t="shared" ref="O31:O38" si="24">SUM(C31:N31)</f>
        <v>0.99999999999999989</v>
      </c>
      <c r="Q31" s="98" t="s">
        <v>25</v>
      </c>
      <c r="R31" s="105">
        <f>SUM(C31:E31)</f>
        <v>0.22000000000000003</v>
      </c>
      <c r="S31" s="105">
        <f>SUM(F31:H31)</f>
        <v>0.24</v>
      </c>
      <c r="T31" s="105">
        <f>SUM(I31:K31)</f>
        <v>0.22999999999999998</v>
      </c>
      <c r="U31" s="105">
        <f>SUM(L31:N31)</f>
        <v>0.31</v>
      </c>
      <c r="V31" s="100">
        <v>0.99999999999999989</v>
      </c>
    </row>
    <row r="32" spans="1:22" x14ac:dyDescent="0.2">
      <c r="A32" s="98" t="s">
        <v>27</v>
      </c>
      <c r="B32" s="99">
        <f t="shared" si="23"/>
        <v>57709.133300000001</v>
      </c>
      <c r="C32" s="100">
        <v>7.0000000000000007E-2</v>
      </c>
      <c r="D32" s="100">
        <v>7.0000000000000007E-2</v>
      </c>
      <c r="E32" s="100">
        <v>0.08</v>
      </c>
      <c r="F32" s="100">
        <v>0.08</v>
      </c>
      <c r="G32" s="100">
        <v>0.08</v>
      </c>
      <c r="H32" s="100">
        <v>0.09</v>
      </c>
      <c r="I32" s="100">
        <v>7.4999999999999997E-2</v>
      </c>
      <c r="J32" s="100">
        <v>7.4999999999999997E-2</v>
      </c>
      <c r="K32" s="100">
        <v>0.08</v>
      </c>
      <c r="L32" s="100">
        <v>9.5000000000000001E-2</v>
      </c>
      <c r="M32" s="100">
        <v>9.5000000000000001E-2</v>
      </c>
      <c r="N32" s="100">
        <v>0.11</v>
      </c>
      <c r="O32" s="100">
        <f t="shared" si="24"/>
        <v>0.99999999999999989</v>
      </c>
      <c r="Q32" s="98" t="s">
        <v>27</v>
      </c>
      <c r="R32" s="105">
        <f t="shared" ref="R32:R38" si="25">SUM(C32:E32)</f>
        <v>0.22000000000000003</v>
      </c>
      <c r="S32" s="105">
        <f t="shared" ref="S32:S38" si="26">SUM(F32:H32)</f>
        <v>0.25</v>
      </c>
      <c r="T32" s="105">
        <f t="shared" ref="T32:T38" si="27">SUM(I32:K32)</f>
        <v>0.22999999999999998</v>
      </c>
      <c r="U32" s="105">
        <f t="shared" ref="U32:U38" si="28">SUM(L32:N32)</f>
        <v>0.3</v>
      </c>
      <c r="V32" s="100">
        <v>0.99999999999999989</v>
      </c>
    </row>
    <row r="33" spans="1:22" x14ac:dyDescent="0.2">
      <c r="A33" s="98" t="s">
        <v>29</v>
      </c>
      <c r="B33" s="99">
        <f t="shared" si="23"/>
        <v>59937.700624999998</v>
      </c>
      <c r="C33" s="100">
        <v>7.0000000000000007E-2</v>
      </c>
      <c r="D33" s="100">
        <v>7.0000000000000007E-2</v>
      </c>
      <c r="E33" s="100">
        <v>0.08</v>
      </c>
      <c r="F33" s="100">
        <v>0.08</v>
      </c>
      <c r="G33" s="100">
        <v>0.08</v>
      </c>
      <c r="H33" s="100">
        <v>0.09</v>
      </c>
      <c r="I33" s="100">
        <v>7.4999999999999997E-2</v>
      </c>
      <c r="J33" s="100">
        <v>7.4999999999999997E-2</v>
      </c>
      <c r="K33" s="100">
        <v>0.08</v>
      </c>
      <c r="L33" s="100">
        <v>9.5000000000000001E-2</v>
      </c>
      <c r="M33" s="100">
        <v>9.5000000000000001E-2</v>
      </c>
      <c r="N33" s="100">
        <v>0.11</v>
      </c>
      <c r="O33" s="100">
        <f t="shared" si="24"/>
        <v>0.99999999999999989</v>
      </c>
      <c r="Q33" s="98" t="s">
        <v>29</v>
      </c>
      <c r="R33" s="105">
        <f t="shared" si="25"/>
        <v>0.22000000000000003</v>
      </c>
      <c r="S33" s="105">
        <f t="shared" si="26"/>
        <v>0.25</v>
      </c>
      <c r="T33" s="105">
        <f t="shared" si="27"/>
        <v>0.22999999999999998</v>
      </c>
      <c r="U33" s="105">
        <f t="shared" si="28"/>
        <v>0.3</v>
      </c>
      <c r="V33" s="100">
        <v>0.99999999999999989</v>
      </c>
    </row>
    <row r="34" spans="1:22" x14ac:dyDescent="0.2">
      <c r="A34" s="98" t="s">
        <v>31</v>
      </c>
      <c r="B34" s="99">
        <f t="shared" si="23"/>
        <v>25610.179824999999</v>
      </c>
      <c r="C34" s="100">
        <v>7.0000000000000007E-2</v>
      </c>
      <c r="D34" s="100">
        <v>7.0000000000000007E-2</v>
      </c>
      <c r="E34" s="100">
        <v>0.08</v>
      </c>
      <c r="F34" s="100">
        <v>0.08</v>
      </c>
      <c r="G34" s="100">
        <v>0.08</v>
      </c>
      <c r="H34" s="100">
        <v>0.09</v>
      </c>
      <c r="I34" s="100">
        <v>7.4999999999999997E-2</v>
      </c>
      <c r="J34" s="100">
        <v>7.4999999999999997E-2</v>
      </c>
      <c r="K34" s="100">
        <v>0.08</v>
      </c>
      <c r="L34" s="100">
        <v>9.5000000000000001E-2</v>
      </c>
      <c r="M34" s="100">
        <v>9.5000000000000001E-2</v>
      </c>
      <c r="N34" s="100">
        <v>0.11</v>
      </c>
      <c r="O34" s="100">
        <f t="shared" si="24"/>
        <v>0.99999999999999989</v>
      </c>
      <c r="Q34" s="98" t="s">
        <v>31</v>
      </c>
      <c r="R34" s="105">
        <f t="shared" si="25"/>
        <v>0.22000000000000003</v>
      </c>
      <c r="S34" s="105">
        <f t="shared" si="26"/>
        <v>0.25</v>
      </c>
      <c r="T34" s="105">
        <f t="shared" si="27"/>
        <v>0.22999999999999998</v>
      </c>
      <c r="U34" s="105">
        <f t="shared" si="28"/>
        <v>0.3</v>
      </c>
      <c r="V34" s="100">
        <v>0.99999999999999989</v>
      </c>
    </row>
    <row r="35" spans="1:22" x14ac:dyDescent="0.2">
      <c r="A35" s="98" t="s">
        <v>32</v>
      </c>
      <c r="B35" s="99">
        <f t="shared" si="23"/>
        <v>9535.1743749999987</v>
      </c>
      <c r="C35" s="100">
        <v>7.0000000000000007E-2</v>
      </c>
      <c r="D35" s="100">
        <v>7.0000000000000007E-2</v>
      </c>
      <c r="E35" s="100">
        <v>0.08</v>
      </c>
      <c r="F35" s="100">
        <v>0.08</v>
      </c>
      <c r="G35" s="100">
        <v>0.08</v>
      </c>
      <c r="H35" s="100">
        <v>0.09</v>
      </c>
      <c r="I35" s="100">
        <v>7.4999999999999997E-2</v>
      </c>
      <c r="J35" s="100">
        <v>7.4999999999999997E-2</v>
      </c>
      <c r="K35" s="100">
        <v>0.08</v>
      </c>
      <c r="L35" s="100">
        <v>9.5000000000000001E-2</v>
      </c>
      <c r="M35" s="100">
        <v>9.5000000000000001E-2</v>
      </c>
      <c r="N35" s="100">
        <v>0.11</v>
      </c>
      <c r="O35" s="100">
        <f t="shared" si="24"/>
        <v>0.99999999999999989</v>
      </c>
      <c r="Q35" s="98" t="s">
        <v>32</v>
      </c>
      <c r="R35" s="105">
        <f t="shared" si="25"/>
        <v>0.22000000000000003</v>
      </c>
      <c r="S35" s="105">
        <f t="shared" si="26"/>
        <v>0.25</v>
      </c>
      <c r="T35" s="105">
        <f t="shared" si="27"/>
        <v>0.22999999999999998</v>
      </c>
      <c r="U35" s="105">
        <f t="shared" si="28"/>
        <v>0.3</v>
      </c>
      <c r="V35" s="100">
        <v>0.99999999999999989</v>
      </c>
    </row>
    <row r="36" spans="1:22" x14ac:dyDescent="0.2">
      <c r="A36" s="98" t="s">
        <v>33</v>
      </c>
      <c r="B36" s="99">
        <f t="shared" si="23"/>
        <v>146979.39199999999</v>
      </c>
      <c r="C36" s="100">
        <v>7.0000000000000007E-2</v>
      </c>
      <c r="D36" s="100">
        <v>7.0000000000000007E-2</v>
      </c>
      <c r="E36" s="100">
        <v>0.08</v>
      </c>
      <c r="F36" s="100">
        <v>0.08</v>
      </c>
      <c r="G36" s="100">
        <v>0.08</v>
      </c>
      <c r="H36" s="100">
        <v>0.09</v>
      </c>
      <c r="I36" s="100">
        <v>7.4999999999999997E-2</v>
      </c>
      <c r="J36" s="100">
        <v>7.4999999999999997E-2</v>
      </c>
      <c r="K36" s="100">
        <v>0.08</v>
      </c>
      <c r="L36" s="100">
        <v>9.5000000000000001E-2</v>
      </c>
      <c r="M36" s="100">
        <v>9.5000000000000001E-2</v>
      </c>
      <c r="N36" s="100">
        <v>0.11</v>
      </c>
      <c r="O36" s="100">
        <f t="shared" si="24"/>
        <v>0.99999999999999989</v>
      </c>
      <c r="Q36" s="98" t="s">
        <v>33</v>
      </c>
      <c r="R36" s="105">
        <f t="shared" si="25"/>
        <v>0.22000000000000003</v>
      </c>
      <c r="S36" s="105">
        <f t="shared" si="26"/>
        <v>0.25</v>
      </c>
      <c r="T36" s="105">
        <f t="shared" si="27"/>
        <v>0.22999999999999998</v>
      </c>
      <c r="U36" s="105">
        <f t="shared" si="28"/>
        <v>0.3</v>
      </c>
      <c r="V36" s="100">
        <v>0.99999999999999989</v>
      </c>
    </row>
    <row r="37" spans="1:22" x14ac:dyDescent="0.2">
      <c r="A37" s="98" t="s">
        <v>34</v>
      </c>
      <c r="B37" s="99">
        <f t="shared" si="23"/>
        <v>71972.433875000002</v>
      </c>
      <c r="C37" s="100">
        <v>7.0000000000000007E-2</v>
      </c>
      <c r="D37" s="100">
        <v>7.0000000000000007E-2</v>
      </c>
      <c r="E37" s="100">
        <v>0.08</v>
      </c>
      <c r="F37" s="100">
        <v>0.08</v>
      </c>
      <c r="G37" s="100">
        <v>0.08</v>
      </c>
      <c r="H37" s="100">
        <v>0.09</v>
      </c>
      <c r="I37" s="100">
        <v>7.4999999999999997E-2</v>
      </c>
      <c r="J37" s="100">
        <v>7.4999999999999997E-2</v>
      </c>
      <c r="K37" s="100">
        <v>0.08</v>
      </c>
      <c r="L37" s="100">
        <v>9.5000000000000001E-2</v>
      </c>
      <c r="M37" s="100">
        <v>9.5000000000000001E-2</v>
      </c>
      <c r="N37" s="100">
        <v>0.11</v>
      </c>
      <c r="O37" s="100">
        <f t="shared" si="24"/>
        <v>0.99999999999999989</v>
      </c>
      <c r="Q37" s="98" t="s">
        <v>34</v>
      </c>
      <c r="R37" s="105">
        <f t="shared" si="25"/>
        <v>0.22000000000000003</v>
      </c>
      <c r="S37" s="105">
        <f t="shared" si="26"/>
        <v>0.25</v>
      </c>
      <c r="T37" s="105">
        <f t="shared" si="27"/>
        <v>0.22999999999999998</v>
      </c>
      <c r="U37" s="105">
        <f t="shared" si="28"/>
        <v>0.3</v>
      </c>
      <c r="V37" s="100">
        <v>0.99999999999999989</v>
      </c>
    </row>
    <row r="38" spans="1:22" x14ac:dyDescent="0.2">
      <c r="A38" s="98" t="s">
        <v>35</v>
      </c>
      <c r="B38" s="99">
        <f t="shared" si="23"/>
        <v>16436.4519</v>
      </c>
      <c r="C38" s="100">
        <v>0.08</v>
      </c>
      <c r="D38" s="100">
        <v>0.08</v>
      </c>
      <c r="E38" s="100">
        <v>0.09</v>
      </c>
      <c r="F38" s="100">
        <v>0.08</v>
      </c>
      <c r="G38" s="100">
        <v>0.08</v>
      </c>
      <c r="H38" s="100">
        <v>0.09</v>
      </c>
      <c r="I38" s="100">
        <v>7.4999999999999997E-2</v>
      </c>
      <c r="J38" s="100">
        <v>0.08</v>
      </c>
      <c r="K38" s="100">
        <v>0.08</v>
      </c>
      <c r="L38" s="100">
        <v>0.08</v>
      </c>
      <c r="M38" s="100">
        <v>0.09</v>
      </c>
      <c r="N38" s="100">
        <v>9.5000000000000001E-2</v>
      </c>
      <c r="O38" s="100">
        <f t="shared" si="24"/>
        <v>0.99999999999999978</v>
      </c>
      <c r="Q38" s="98" t="s">
        <v>35</v>
      </c>
      <c r="R38" s="105">
        <f t="shared" si="25"/>
        <v>0.25</v>
      </c>
      <c r="S38" s="105">
        <f t="shared" si="26"/>
        <v>0.25</v>
      </c>
      <c r="T38" s="105">
        <f t="shared" si="27"/>
        <v>0.23499999999999999</v>
      </c>
      <c r="U38" s="105">
        <f t="shared" si="28"/>
        <v>0.26500000000000001</v>
      </c>
      <c r="V38" s="100">
        <v>0.99999999999999978</v>
      </c>
    </row>
    <row r="39" spans="1:22" x14ac:dyDescent="0.2">
      <c r="A39" s="101" t="s">
        <v>42</v>
      </c>
      <c r="B39" s="102"/>
      <c r="C39" s="103">
        <f t="shared" ref="C39:N39" si="29">AVERAGE(C31:C38)</f>
        <v>7.1250000000000008E-2</v>
      </c>
      <c r="D39" s="103">
        <f t="shared" si="29"/>
        <v>7.1250000000000008E-2</v>
      </c>
      <c r="E39" s="103">
        <f t="shared" si="29"/>
        <v>8.1250000000000003E-2</v>
      </c>
      <c r="F39" s="103">
        <f t="shared" si="29"/>
        <v>7.9375000000000001E-2</v>
      </c>
      <c r="G39" s="103">
        <f t="shared" si="29"/>
        <v>7.9375000000000001E-2</v>
      </c>
      <c r="H39" s="103">
        <f t="shared" si="29"/>
        <v>8.9999999999999983E-2</v>
      </c>
      <c r="I39" s="103">
        <f t="shared" si="29"/>
        <v>7.4999999999999997E-2</v>
      </c>
      <c r="J39" s="103">
        <f t="shared" si="29"/>
        <v>7.5624999999999998E-2</v>
      </c>
      <c r="K39" s="103">
        <f t="shared" si="29"/>
        <v>0.08</v>
      </c>
      <c r="L39" s="103">
        <f t="shared" si="29"/>
        <v>9.3749999999999986E-2</v>
      </c>
      <c r="M39" s="103">
        <f t="shared" si="29"/>
        <v>9.4999999999999987E-2</v>
      </c>
      <c r="N39" s="103">
        <f t="shared" si="29"/>
        <v>0.108125</v>
      </c>
      <c r="O39" s="104">
        <f>SUM(C39:N39)</f>
        <v>0.99999999999999989</v>
      </c>
      <c r="Q39" s="101" t="s">
        <v>42</v>
      </c>
      <c r="R39" s="103">
        <v>7.1250000000000008E-2</v>
      </c>
      <c r="S39" s="103">
        <v>7.1250000000000008E-2</v>
      </c>
      <c r="T39" s="103">
        <v>8.1250000000000003E-2</v>
      </c>
      <c r="U39" s="103">
        <v>7.9375000000000001E-2</v>
      </c>
      <c r="V39" s="104">
        <v>0.99999999999999989</v>
      </c>
    </row>
  </sheetData>
  <mergeCells count="4">
    <mergeCell ref="A29:O29"/>
    <mergeCell ref="A15:O15"/>
    <mergeCell ref="Q29:V29"/>
    <mergeCell ref="Q15:V15"/>
  </mergeCells>
  <phoneticPr fontId="74" type="noConversion"/>
  <pageMargins left="0.7" right="0.7" top="0.75" bottom="0.75" header="0.3" footer="0.3"/>
  <ignoredErrors>
    <ignoredError sqref="C39:N39 R31:U38 R17:V24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9A2C-81B3-3B44-A3C0-DE8753B7A15E}">
  <dimension ref="A1:U54"/>
  <sheetViews>
    <sheetView showGridLines="0" workbookViewId="0">
      <selection activeCell="E40" sqref="E40"/>
    </sheetView>
  </sheetViews>
  <sheetFormatPr baseColWidth="10" defaultRowHeight="16" x14ac:dyDescent="0.2"/>
  <cols>
    <col min="1" max="1" width="18.83203125" bestFit="1" customWidth="1"/>
    <col min="2" max="10" width="11.1640625" customWidth="1"/>
    <col min="14" max="14" width="12" bestFit="1" customWidth="1"/>
    <col min="15" max="15" width="3.33203125" customWidth="1"/>
    <col min="16" max="16" width="18.83203125" bestFit="1" customWidth="1"/>
    <col min="21" max="21" width="12" bestFit="1" customWidth="1"/>
  </cols>
  <sheetData>
    <row r="1" spans="1:21" x14ac:dyDescent="0.2">
      <c r="A1" s="375" t="s">
        <v>78</v>
      </c>
      <c r="B1" s="375"/>
      <c r="C1" s="375"/>
      <c r="D1" s="375"/>
      <c r="E1" s="375"/>
      <c r="F1" s="375"/>
      <c r="G1" s="375"/>
      <c r="H1" s="375"/>
      <c r="I1" s="375"/>
      <c r="J1" s="375"/>
    </row>
    <row r="2" spans="1:21" x14ac:dyDescent="0.2">
      <c r="A2" s="107" t="s">
        <v>75</v>
      </c>
      <c r="B2" s="106" t="s">
        <v>25</v>
      </c>
      <c r="C2" s="106" t="s">
        <v>27</v>
      </c>
      <c r="D2" s="106" t="s">
        <v>29</v>
      </c>
      <c r="E2" s="106" t="s">
        <v>69</v>
      </c>
      <c r="F2" s="106" t="s">
        <v>32</v>
      </c>
      <c r="G2" s="106" t="s">
        <v>53</v>
      </c>
      <c r="H2" s="106" t="s">
        <v>34</v>
      </c>
      <c r="I2" s="106" t="s">
        <v>54</v>
      </c>
      <c r="J2" s="106" t="s">
        <v>30</v>
      </c>
    </row>
    <row r="3" spans="1:21" ht="34" x14ac:dyDescent="0.2">
      <c r="A3" s="122" t="s">
        <v>76</v>
      </c>
      <c r="B3" s="123">
        <f>'Ürün YS-YenilemeHedefleri - 600'!B3</f>
        <v>282952.13772499998</v>
      </c>
      <c r="C3" s="123">
        <f>'Ürün YS-YenilemeHedefleri - 600'!C3</f>
        <v>57709.133300000001</v>
      </c>
      <c r="D3" s="123">
        <f>'Ürün YS-YenilemeHedefleri - 600'!D3</f>
        <v>59937.700624999998</v>
      </c>
      <c r="E3" s="123">
        <f>'Ürün YS-YenilemeHedefleri - 600'!E3</f>
        <v>25610.179825000003</v>
      </c>
      <c r="F3" s="123">
        <f>'Ürün YS-YenilemeHedefleri - 600'!F3</f>
        <v>9535.1743750000005</v>
      </c>
      <c r="G3" s="123">
        <f>'[1]SatışYönHedef-Yıllık-2026 (L'!H$30/1000</f>
        <v>146979.39199999999</v>
      </c>
      <c r="H3" s="123">
        <f>'Ürün YS-YenilemeHedefleri - 600'!H3</f>
        <v>71972.433875000002</v>
      </c>
      <c r="I3" s="123">
        <f>'Ürün YS-YenilemeHedefleri - 600'!I3</f>
        <v>16436.4519</v>
      </c>
      <c r="J3" s="123">
        <f>SUM(B3:I3)</f>
        <v>671132.60362499987</v>
      </c>
    </row>
    <row r="4" spans="1:21" x14ac:dyDescent="0.2">
      <c r="A4" s="119" t="s">
        <v>26</v>
      </c>
      <c r="B4" s="120">
        <f>'2026 Bütçe - 600 (Yıllık)'!I6</f>
        <v>105080.4105</v>
      </c>
      <c r="C4" s="120">
        <f>'2026 Bütçe - 600 (Yıllık)'!I7</f>
        <v>41258.034</v>
      </c>
      <c r="D4" s="120">
        <f>'2026 Bütçe - 600 (Yıllık)'!I8</f>
        <v>37527.014999999999</v>
      </c>
      <c r="E4" s="120">
        <f>'2026 Bütçe - 600 (Yıllık)'!I9</f>
        <v>25247.208000000002</v>
      </c>
      <c r="F4" s="120">
        <f>'2026 Bütçe - 600 (Yıllık)'!I10</f>
        <v>5709.6675000000005</v>
      </c>
      <c r="G4" s="120">
        <f>'[1]SatışYönHedef-Yıllık-2026 (L'!H$31/1000</f>
        <v>111000</v>
      </c>
      <c r="H4" s="120">
        <f>'2026 Bütçe - 600 (Yıllık)'!I12</f>
        <v>7597.183</v>
      </c>
      <c r="I4" s="120">
        <f>'2026 Bütçe - 600 (Yıllık)'!I13</f>
        <v>16436.4519</v>
      </c>
      <c r="J4" s="120">
        <f>SUM(B4:I4)</f>
        <v>349855.96990000003</v>
      </c>
    </row>
    <row r="5" spans="1:21" x14ac:dyDescent="0.2">
      <c r="A5" s="119" t="s">
        <v>28</v>
      </c>
      <c r="B5" s="120">
        <f>'2026 Bütçe - 600 (Yıllık)'!M6</f>
        <v>177871.72722499998</v>
      </c>
      <c r="C5" s="120">
        <f>'2026 Bütçe - 600 (Yıllık)'!M7</f>
        <v>16451.099300000002</v>
      </c>
      <c r="D5" s="120">
        <f>'2026 Bütçe - 600 (Yıllık)'!M8</f>
        <v>22410.685624999998</v>
      </c>
      <c r="E5" s="120">
        <f>'2026 Bütçe - 600 (Yıllık)'!M9</f>
        <v>362.97182499999974</v>
      </c>
      <c r="F5" s="120">
        <f>'2026 Bütçe - 600 (Yıllık)'!M10</f>
        <v>3825.506875</v>
      </c>
      <c r="G5" s="120">
        <f>'[1]SatışYönHedef-Yıllık-2026 (L'!H$32/1000</f>
        <v>35979.392</v>
      </c>
      <c r="H5" s="120">
        <f>'2026 Bütçe - 600 (Yıllık)'!M12</f>
        <v>64375.250874999998</v>
      </c>
      <c r="I5" s="120">
        <f>'2026 Bütçe - 600 (Yıllık)'!M13</f>
        <v>0</v>
      </c>
      <c r="J5" s="120">
        <f>SUM(B5:I5)</f>
        <v>321276.63372499996</v>
      </c>
    </row>
    <row r="6" spans="1:21" x14ac:dyDescent="0.2">
      <c r="A6" t="s">
        <v>30</v>
      </c>
      <c r="B6" s="163">
        <f t="shared" ref="B6:I6" si="0">SUM(B4:B5)</f>
        <v>282952.13772499998</v>
      </c>
      <c r="C6" s="163">
        <f t="shared" si="0"/>
        <v>57709.133300000001</v>
      </c>
      <c r="D6" s="163">
        <f t="shared" si="0"/>
        <v>59937.700624999998</v>
      </c>
      <c r="E6" s="163">
        <f t="shared" si="0"/>
        <v>25610.179825000003</v>
      </c>
      <c r="F6" s="163">
        <f t="shared" si="0"/>
        <v>9535.1743750000005</v>
      </c>
      <c r="G6" s="163">
        <f t="shared" si="0"/>
        <v>146979.39199999999</v>
      </c>
      <c r="H6" s="163">
        <f t="shared" si="0"/>
        <v>71972.433875000002</v>
      </c>
      <c r="I6" s="163">
        <f t="shared" si="0"/>
        <v>16436.4519</v>
      </c>
      <c r="J6" s="163">
        <f>SUM(J4:J5)</f>
        <v>671132.60362499999</v>
      </c>
    </row>
    <row r="7" spans="1:21" x14ac:dyDescent="0.2">
      <c r="J7" s="163">
        <f>SUM(B6:I6)</f>
        <v>671132.60362499987</v>
      </c>
    </row>
    <row r="8" spans="1:21" x14ac:dyDescent="0.2">
      <c r="A8" s="119" t="s">
        <v>26</v>
      </c>
      <c r="B8" s="121">
        <f t="shared" ref="B8:J8" si="1">B4/B$3</f>
        <v>0.37137167912874092</v>
      </c>
      <c r="C8" s="121">
        <f t="shared" si="1"/>
        <v>0.71493075083142865</v>
      </c>
      <c r="D8" s="121">
        <f t="shared" si="1"/>
        <v>0.62610034433565664</v>
      </c>
      <c r="E8" s="121">
        <f t="shared" si="1"/>
        <v>0.98582704895161744</v>
      </c>
      <c r="F8" s="121">
        <f t="shared" si="1"/>
        <v>0.59880053320996551</v>
      </c>
      <c r="G8" s="121">
        <f t="shared" si="1"/>
        <v>0.75520791377338126</v>
      </c>
      <c r="H8" s="121">
        <f t="shared" si="1"/>
        <v>0.105556844349527</v>
      </c>
      <c r="I8" s="121">
        <f t="shared" si="1"/>
        <v>1</v>
      </c>
      <c r="J8" s="121">
        <f t="shared" si="1"/>
        <v>0.52129186990814791</v>
      </c>
    </row>
    <row r="9" spans="1:21" x14ac:dyDescent="0.2">
      <c r="A9" s="119" t="s">
        <v>28</v>
      </c>
      <c r="B9" s="121">
        <f t="shared" ref="B9:J9" si="2">B5/B$3</f>
        <v>0.62862832087125908</v>
      </c>
      <c r="C9" s="121">
        <f t="shared" si="2"/>
        <v>0.2850692491685714</v>
      </c>
      <c r="D9" s="121">
        <f t="shared" si="2"/>
        <v>0.37389965566434336</v>
      </c>
      <c r="E9" s="121">
        <f t="shared" si="2"/>
        <v>1.4172951048382563E-2</v>
      </c>
      <c r="F9" s="121">
        <f t="shared" si="2"/>
        <v>0.40119946679003443</v>
      </c>
      <c r="G9" s="121">
        <f t="shared" si="2"/>
        <v>0.24479208622661877</v>
      </c>
      <c r="H9" s="121">
        <f t="shared" si="2"/>
        <v>0.89444315565047294</v>
      </c>
      <c r="I9" s="121">
        <f t="shared" si="2"/>
        <v>0</v>
      </c>
      <c r="J9" s="121">
        <f t="shared" si="2"/>
        <v>0.47870813009185226</v>
      </c>
    </row>
    <row r="12" spans="1:21" x14ac:dyDescent="0.2">
      <c r="A12" s="374" t="s">
        <v>77</v>
      </c>
      <c r="B12" s="374"/>
      <c r="C12" s="374"/>
      <c r="D12" s="374"/>
      <c r="E12" s="374"/>
      <c r="F12" s="374"/>
      <c r="G12" s="374"/>
      <c r="H12" s="374"/>
      <c r="I12" s="374"/>
      <c r="J12" s="374"/>
      <c r="K12" s="374"/>
      <c r="L12" s="374"/>
      <c r="M12" s="374"/>
      <c r="N12" s="374"/>
      <c r="O12" s="83"/>
      <c r="P12" s="374" t="s">
        <v>73</v>
      </c>
      <c r="Q12" s="374"/>
      <c r="R12" s="374"/>
      <c r="S12" s="374"/>
      <c r="T12" s="374"/>
      <c r="U12" s="374"/>
    </row>
    <row r="13" spans="1:21" x14ac:dyDescent="0.2">
      <c r="A13" s="107" t="s">
        <v>6</v>
      </c>
      <c r="B13" s="106">
        <v>1</v>
      </c>
      <c r="C13" s="106">
        <v>2</v>
      </c>
      <c r="D13" s="106">
        <v>3</v>
      </c>
      <c r="E13" s="106">
        <v>4</v>
      </c>
      <c r="F13" s="106">
        <v>5</v>
      </c>
      <c r="G13" s="106">
        <v>6</v>
      </c>
      <c r="H13" s="106">
        <v>7</v>
      </c>
      <c r="I13" s="106">
        <v>8</v>
      </c>
      <c r="J13" s="106">
        <v>9</v>
      </c>
      <c r="K13" s="106">
        <v>10</v>
      </c>
      <c r="L13" s="106">
        <v>11</v>
      </c>
      <c r="M13" s="106">
        <v>12</v>
      </c>
      <c r="N13" s="106" t="s">
        <v>30</v>
      </c>
      <c r="O13" s="83"/>
      <c r="P13" s="107" t="s">
        <v>6</v>
      </c>
      <c r="Q13" s="106">
        <v>1</v>
      </c>
      <c r="R13" s="106">
        <v>2</v>
      </c>
      <c r="S13" s="106">
        <v>3</v>
      </c>
      <c r="T13" s="106">
        <v>4</v>
      </c>
      <c r="U13" s="106" t="s">
        <v>30</v>
      </c>
    </row>
    <row r="14" spans="1:21" s="129" customFormat="1" x14ac:dyDescent="0.2">
      <c r="A14" s="110" t="s">
        <v>25</v>
      </c>
      <c r="B14" s="109">
        <f>'Ürün YS-YenilemeHedefleri - 600'!B13</f>
        <v>19806.649640750002</v>
      </c>
      <c r="C14" s="109">
        <f>'2026 Bütçe - 600 (Aylık)'!F16</f>
        <v>19806.649640750002</v>
      </c>
      <c r="D14" s="109">
        <f>'2026 Bütçe - 600 (Aylık)'!G16</f>
        <v>22636.171017999997</v>
      </c>
      <c r="E14" s="109">
        <f>'2026 Bütçe - 600 (Aylık)'!H16</f>
        <v>21221.410329374998</v>
      </c>
      <c r="F14" s="109">
        <f>'2026 Bütçe - 600 (Aylık)'!I16</f>
        <v>21221.410329374998</v>
      </c>
      <c r="G14" s="109">
        <f>'2026 Bütçe - 600 (Aylık)'!J16</f>
        <v>25465.692395249996</v>
      </c>
      <c r="H14" s="109">
        <f>'2026 Bütçe - 600 (Aylık)'!K16</f>
        <v>21221.410329374998</v>
      </c>
      <c r="I14" s="109">
        <f>'2026 Bütçe - 600 (Aylık)'!L16</f>
        <v>21221.410329374998</v>
      </c>
      <c r="J14" s="109">
        <f>'2026 Bütçe - 600 (Aylık)'!M16</f>
        <v>22636.171017999997</v>
      </c>
      <c r="K14" s="109">
        <f>'2026 Bütçe - 600 (Aylık)'!N16</f>
        <v>28295.213772499999</v>
      </c>
      <c r="L14" s="109">
        <f>'2026 Bütçe - 600 (Aylık)'!O16</f>
        <v>28295.213772499999</v>
      </c>
      <c r="M14" s="109">
        <f>'2026 Bütçe - 600 (Aylık)'!P16</f>
        <v>31124.735149749999</v>
      </c>
      <c r="N14" s="109">
        <f>SUM(B14:M14)</f>
        <v>282952.13772499998</v>
      </c>
      <c r="O14" s="128"/>
      <c r="P14" s="110" t="s">
        <v>25</v>
      </c>
      <c r="Q14" s="109">
        <f t="shared" ref="Q14:Q37" si="3">SUM(B14:D14)</f>
        <v>62249.470299499997</v>
      </c>
      <c r="R14" s="109">
        <f t="shared" ref="R14:R37" si="4">SUM(E14:G14)</f>
        <v>67908.513053999995</v>
      </c>
      <c r="S14" s="109">
        <f t="shared" ref="S14:S37" si="5">SUM(H14:J14)</f>
        <v>65078.991676749996</v>
      </c>
      <c r="T14" s="109">
        <f t="shared" ref="T14:T37" si="6">SUM(K14:M14)</f>
        <v>87715.162694750004</v>
      </c>
      <c r="U14" s="109">
        <f t="shared" ref="U14:U37" si="7">SUM(Q14:T14)</f>
        <v>282952.13772499998</v>
      </c>
    </row>
    <row r="15" spans="1:21" s="127" customFormat="1" x14ac:dyDescent="0.2">
      <c r="A15" s="119" t="s">
        <v>26</v>
      </c>
      <c r="B15" s="124">
        <f>'Ürün YS-YenilemeHedefleri - 600'!B14</f>
        <v>7355.6287350000011</v>
      </c>
      <c r="C15" s="124">
        <f>'Ürün YS-YenilemeHedefleri - 600'!C14</f>
        <v>7355.6287350000011</v>
      </c>
      <c r="D15" s="124">
        <f>'Ürün YS-YenilemeHedefleri - 600'!D14</f>
        <v>8406.4328399999995</v>
      </c>
      <c r="E15" s="124">
        <f>'Ürün YS-YenilemeHedefleri - 600'!E14</f>
        <v>7881.0307874999999</v>
      </c>
      <c r="F15" s="124">
        <f>'Ürün YS-YenilemeHedefleri - 600'!F14</f>
        <v>7881.0307874999999</v>
      </c>
      <c r="G15" s="124">
        <f>'Ürün YS-YenilemeHedefleri - 600'!G14</f>
        <v>9457.2369449999987</v>
      </c>
      <c r="H15" s="124">
        <f>'Ürün YS-YenilemeHedefleri - 600'!H14</f>
        <v>7881.0307874999999</v>
      </c>
      <c r="I15" s="124">
        <f>'Ürün YS-YenilemeHedefleri - 600'!I14</f>
        <v>7881.0307874999999</v>
      </c>
      <c r="J15" s="124">
        <f>'Ürün YS-YenilemeHedefleri - 600'!J14</f>
        <v>8406.4328399999995</v>
      </c>
      <c r="K15" s="124">
        <f>'Ürün YS-YenilemeHedefleri - 600'!K14</f>
        <v>10508.04105</v>
      </c>
      <c r="L15" s="124">
        <f>'Ürün YS-YenilemeHedefleri - 600'!L14</f>
        <v>10508.04105</v>
      </c>
      <c r="M15" s="124">
        <f>'Ürün YS-YenilemeHedefleri - 600'!M14</f>
        <v>11558.845155000001</v>
      </c>
      <c r="N15" s="124">
        <f t="shared" ref="N15:N28" si="8">SUM(B15:M15)</f>
        <v>105080.4105</v>
      </c>
      <c r="O15" s="126"/>
      <c r="P15" s="119" t="s">
        <v>26</v>
      </c>
      <c r="Q15" s="124">
        <f t="shared" si="3"/>
        <v>23117.690310000002</v>
      </c>
      <c r="R15" s="124">
        <f t="shared" si="4"/>
        <v>25219.298519999997</v>
      </c>
      <c r="S15" s="124">
        <f t="shared" si="5"/>
        <v>24168.494415000001</v>
      </c>
      <c r="T15" s="124">
        <f t="shared" si="6"/>
        <v>32574.927255000002</v>
      </c>
      <c r="U15" s="124">
        <f t="shared" si="7"/>
        <v>105080.41050000001</v>
      </c>
    </row>
    <row r="16" spans="1:21" s="127" customFormat="1" x14ac:dyDescent="0.2">
      <c r="A16" s="119" t="s">
        <v>28</v>
      </c>
      <c r="B16" s="124">
        <f>'Ürün YS-YenilemeHedefleri - 600'!B15</f>
        <v>12451.02090575</v>
      </c>
      <c r="C16" s="124">
        <f>'Ürün YS-YenilemeHedefleri - 600'!C15</f>
        <v>12451.02090575</v>
      </c>
      <c r="D16" s="124">
        <f>'Ürün YS-YenilemeHedefleri - 600'!D15</f>
        <v>14229.738177999998</v>
      </c>
      <c r="E16" s="124">
        <f>'Ürün YS-YenilemeHedefleri - 600'!E15</f>
        <v>13340.379541874998</v>
      </c>
      <c r="F16" s="124">
        <f>'Ürün YS-YenilemeHedefleri - 600'!F15</f>
        <v>13340.379541874998</v>
      </c>
      <c r="G16" s="124">
        <f>'Ürün YS-YenilemeHedefleri - 600'!G15</f>
        <v>16008.455450249998</v>
      </c>
      <c r="H16" s="124">
        <f>'Ürün YS-YenilemeHedefleri - 600'!H15</f>
        <v>13340.379541874998</v>
      </c>
      <c r="I16" s="124">
        <f>'Ürün YS-YenilemeHedefleri - 600'!I15</f>
        <v>13340.379541874998</v>
      </c>
      <c r="J16" s="124">
        <f>'Ürün YS-YenilemeHedefleri - 600'!J15</f>
        <v>14229.738177999998</v>
      </c>
      <c r="K16" s="124">
        <f>'Ürün YS-YenilemeHedefleri - 600'!K15</f>
        <v>17787.1727225</v>
      </c>
      <c r="L16" s="124">
        <f>'Ürün YS-YenilemeHedefleri - 600'!L15</f>
        <v>17787.1727225</v>
      </c>
      <c r="M16" s="124">
        <f>'Ürün YS-YenilemeHedefleri - 600'!M15</f>
        <v>19565.889994749999</v>
      </c>
      <c r="N16" s="124">
        <f t="shared" si="8"/>
        <v>177871.72722499998</v>
      </c>
      <c r="O16" s="126"/>
      <c r="P16" s="119" t="s">
        <v>28</v>
      </c>
      <c r="Q16" s="124">
        <f t="shared" si="3"/>
        <v>39131.779989499999</v>
      </c>
      <c r="R16" s="124">
        <f t="shared" si="4"/>
        <v>42689.214533999992</v>
      </c>
      <c r="S16" s="124">
        <f t="shared" si="5"/>
        <v>40910.497261749995</v>
      </c>
      <c r="T16" s="124">
        <f t="shared" si="6"/>
        <v>55140.235439750002</v>
      </c>
      <c r="U16" s="124">
        <f t="shared" si="7"/>
        <v>177871.72722499998</v>
      </c>
    </row>
    <row r="17" spans="1:21" s="129" customFormat="1" x14ac:dyDescent="0.2">
      <c r="A17" s="110" t="s">
        <v>27</v>
      </c>
      <c r="B17" s="109">
        <f>'Ürün YS-YenilemeHedefleri - 600'!B16</f>
        <v>4039.6393310000003</v>
      </c>
      <c r="C17" s="109">
        <f>'Ürün YS-YenilemeHedefleri - 600'!C16</f>
        <v>4039.6393310000003</v>
      </c>
      <c r="D17" s="109">
        <f>'Ürün YS-YenilemeHedefleri - 600'!D16</f>
        <v>4616.7306640000006</v>
      </c>
      <c r="E17" s="109">
        <f>'Ürün YS-YenilemeHedefleri - 600'!E16</f>
        <v>4616.7306640000006</v>
      </c>
      <c r="F17" s="109">
        <f>'Ürün YS-YenilemeHedefleri - 600'!F16</f>
        <v>4616.7306640000006</v>
      </c>
      <c r="G17" s="109">
        <f>'Ürün YS-YenilemeHedefleri - 600'!G16</f>
        <v>5193.821997</v>
      </c>
      <c r="H17" s="109">
        <f>'Ürün YS-YenilemeHedefleri - 600'!H16</f>
        <v>4328.1849974999996</v>
      </c>
      <c r="I17" s="109">
        <f>'Ürün YS-YenilemeHedefleri - 600'!I16</f>
        <v>4328.1849974999996</v>
      </c>
      <c r="J17" s="109">
        <f>'Ürün YS-YenilemeHedefleri - 600'!J16</f>
        <v>4616.7306640000006</v>
      </c>
      <c r="K17" s="109">
        <f>'Ürün YS-YenilemeHedefleri - 600'!K16</f>
        <v>5482.3676635000002</v>
      </c>
      <c r="L17" s="109">
        <f>'Ürün YS-YenilemeHedefleri - 600'!L16</f>
        <v>5482.3676635000002</v>
      </c>
      <c r="M17" s="109">
        <f>'Ürün YS-YenilemeHedefleri - 600'!M16</f>
        <v>6348.0046630000006</v>
      </c>
      <c r="N17" s="109">
        <f>SUM(B17:M17)</f>
        <v>57709.133300000009</v>
      </c>
      <c r="O17" s="128"/>
      <c r="P17" s="110" t="s">
        <v>27</v>
      </c>
      <c r="Q17" s="109">
        <f t="shared" si="3"/>
        <v>12696.009326000001</v>
      </c>
      <c r="R17" s="109">
        <f t="shared" si="4"/>
        <v>14427.283325</v>
      </c>
      <c r="S17" s="109">
        <f t="shared" si="5"/>
        <v>13273.100659</v>
      </c>
      <c r="T17" s="109">
        <f t="shared" si="6"/>
        <v>17312.739990000002</v>
      </c>
      <c r="U17" s="109">
        <f t="shared" si="7"/>
        <v>57709.133300000001</v>
      </c>
    </row>
    <row r="18" spans="1:21" x14ac:dyDescent="0.2">
      <c r="A18" s="119" t="s">
        <v>26</v>
      </c>
      <c r="B18" s="124">
        <f>'Ürün YS-YenilemeHedefleri - 600'!B17</f>
        <v>2888.0623800000003</v>
      </c>
      <c r="C18" s="124">
        <f>'Ürün YS-YenilemeHedefleri - 600'!C17</f>
        <v>2888.0623800000003</v>
      </c>
      <c r="D18" s="124">
        <f>'Ürün YS-YenilemeHedefleri - 600'!D17</f>
        <v>3300.6427200000007</v>
      </c>
      <c r="E18" s="124">
        <f>'Ürün YS-YenilemeHedefleri - 600'!E17</f>
        <v>3300.6427200000007</v>
      </c>
      <c r="F18" s="124">
        <f>'Ürün YS-YenilemeHedefleri - 600'!F17</f>
        <v>3300.6427200000007</v>
      </c>
      <c r="G18" s="124">
        <f>'Ürün YS-YenilemeHedefleri - 600'!G17</f>
        <v>3713.2230600000003</v>
      </c>
      <c r="H18" s="124">
        <f>'Ürün YS-YenilemeHedefleri - 600'!H17</f>
        <v>3094.3525499999996</v>
      </c>
      <c r="I18" s="124">
        <f>'Ürün YS-YenilemeHedefleri - 600'!I17</f>
        <v>3094.3525499999996</v>
      </c>
      <c r="J18" s="124">
        <f>'Ürün YS-YenilemeHedefleri - 600'!J17</f>
        <v>3300.6427200000007</v>
      </c>
      <c r="K18" s="124">
        <f>'Ürün YS-YenilemeHedefleri - 600'!K17</f>
        <v>3919.5132300000005</v>
      </c>
      <c r="L18" s="124">
        <f>'Ürün YS-YenilemeHedefleri - 600'!L17</f>
        <v>3919.5132300000005</v>
      </c>
      <c r="M18" s="124">
        <f>'Ürün YS-YenilemeHedefleri - 600'!M17</f>
        <v>4538.3837400000002</v>
      </c>
      <c r="N18" s="124">
        <f t="shared" si="8"/>
        <v>41258.033999999992</v>
      </c>
      <c r="O18" s="83"/>
      <c r="P18" s="119" t="s">
        <v>26</v>
      </c>
      <c r="Q18" s="108">
        <f t="shared" si="3"/>
        <v>9076.7674800000023</v>
      </c>
      <c r="R18" s="108">
        <f t="shared" si="4"/>
        <v>10314.508500000002</v>
      </c>
      <c r="S18" s="108">
        <f t="shared" si="5"/>
        <v>9489.347819999999</v>
      </c>
      <c r="T18" s="108">
        <f t="shared" si="6"/>
        <v>12377.410200000002</v>
      </c>
      <c r="U18" s="124">
        <f t="shared" si="7"/>
        <v>41258.034000000007</v>
      </c>
    </row>
    <row r="19" spans="1:21" x14ac:dyDescent="0.2">
      <c r="A19" s="119" t="s">
        <v>28</v>
      </c>
      <c r="B19" s="124">
        <f>'Ürün YS-YenilemeHedefleri - 600'!B18</f>
        <v>1151.5769510000002</v>
      </c>
      <c r="C19" s="124">
        <f>'Ürün YS-YenilemeHedefleri - 600'!C18</f>
        <v>1151.5769510000002</v>
      </c>
      <c r="D19" s="124">
        <f>'Ürün YS-YenilemeHedefleri - 600'!D18</f>
        <v>1316.0879440000003</v>
      </c>
      <c r="E19" s="124">
        <f>'Ürün YS-YenilemeHedefleri - 600'!E18</f>
        <v>1316.0879440000003</v>
      </c>
      <c r="F19" s="124">
        <f>'Ürün YS-YenilemeHedefleri - 600'!F18</f>
        <v>1316.0879440000003</v>
      </c>
      <c r="G19" s="124">
        <f>'Ürün YS-YenilemeHedefleri - 600'!G18</f>
        <v>1480.5989370000002</v>
      </c>
      <c r="H19" s="124">
        <f>'Ürün YS-YenilemeHedefleri - 600'!H18</f>
        <v>1233.8324474999999</v>
      </c>
      <c r="I19" s="124">
        <f>'Ürün YS-YenilemeHedefleri - 600'!I18</f>
        <v>1233.8324474999999</v>
      </c>
      <c r="J19" s="124">
        <f>'Ürün YS-YenilemeHedefleri - 600'!J18</f>
        <v>1316.0879440000003</v>
      </c>
      <c r="K19" s="124">
        <f>'Ürün YS-YenilemeHedefleri - 600'!K18</f>
        <v>1562.8544335000001</v>
      </c>
      <c r="L19" s="124">
        <f>'Ürün YS-YenilemeHedefleri - 600'!L18</f>
        <v>1562.8544335000001</v>
      </c>
      <c r="M19" s="124">
        <f>'Ürün YS-YenilemeHedefleri - 600'!M18</f>
        <v>1809.6209230000004</v>
      </c>
      <c r="N19" s="124">
        <f t="shared" si="8"/>
        <v>16451.099300000005</v>
      </c>
      <c r="O19" s="83"/>
      <c r="P19" s="119" t="s">
        <v>28</v>
      </c>
      <c r="Q19" s="108">
        <f t="shared" si="3"/>
        <v>3619.2418460000008</v>
      </c>
      <c r="R19" s="108">
        <f t="shared" si="4"/>
        <v>4112.7748250000004</v>
      </c>
      <c r="S19" s="108">
        <f t="shared" si="5"/>
        <v>3783.7528390000002</v>
      </c>
      <c r="T19" s="108">
        <f t="shared" si="6"/>
        <v>4935.3297900000007</v>
      </c>
      <c r="U19" s="124">
        <f t="shared" si="7"/>
        <v>16451.099300000002</v>
      </c>
    </row>
    <row r="20" spans="1:21" s="129" customFormat="1" x14ac:dyDescent="0.2">
      <c r="A20" s="110" t="s">
        <v>29</v>
      </c>
      <c r="B20" s="109">
        <f>'Ürün YS-YenilemeHedefleri - 600'!B19</f>
        <v>4195.6390437500004</v>
      </c>
      <c r="C20" s="109">
        <f>'Ürün YS-YenilemeHedefleri - 600'!C19</f>
        <v>4195.6390437500004</v>
      </c>
      <c r="D20" s="109">
        <f>'Ürün YS-YenilemeHedefleri - 600'!D19</f>
        <v>4795.0160500000002</v>
      </c>
      <c r="E20" s="109">
        <f>'Ürün YS-YenilemeHedefleri - 600'!E19</f>
        <v>4795.0160500000002</v>
      </c>
      <c r="F20" s="109">
        <f>'Ürün YS-YenilemeHedefleri - 600'!F19</f>
        <v>4795.0160500000002</v>
      </c>
      <c r="G20" s="109">
        <f>'Ürün YS-YenilemeHedefleri - 600'!G19</f>
        <v>5394.39305625</v>
      </c>
      <c r="H20" s="109">
        <f>'Ürün YS-YenilemeHedefleri - 600'!H19</f>
        <v>4495.3275468749998</v>
      </c>
      <c r="I20" s="109">
        <f>'Ürün YS-YenilemeHedefleri - 600'!I19</f>
        <v>4495.3275468749998</v>
      </c>
      <c r="J20" s="109">
        <f>'Ürün YS-YenilemeHedefleri - 600'!J19</f>
        <v>4795.0160500000002</v>
      </c>
      <c r="K20" s="109">
        <f>'Ürün YS-YenilemeHedefleri - 600'!K19</f>
        <v>5694.0815593749994</v>
      </c>
      <c r="L20" s="109">
        <f>'Ürün YS-YenilemeHedefleri - 600'!L19</f>
        <v>5694.0815593749994</v>
      </c>
      <c r="M20" s="109">
        <f>'Ürün YS-YenilemeHedefleri - 600'!M19</f>
        <v>6593.1470687499996</v>
      </c>
      <c r="N20" s="109">
        <f>SUM(B20:M20)</f>
        <v>59937.70062499999</v>
      </c>
      <c r="O20" s="128"/>
      <c r="P20" s="110" t="s">
        <v>29</v>
      </c>
      <c r="Q20" s="109">
        <f t="shared" si="3"/>
        <v>13186.294137500001</v>
      </c>
      <c r="R20" s="109">
        <f t="shared" si="4"/>
        <v>14984.425156249999</v>
      </c>
      <c r="S20" s="109">
        <f t="shared" si="5"/>
        <v>13785.67114375</v>
      </c>
      <c r="T20" s="109">
        <f t="shared" si="6"/>
        <v>17981.310187499999</v>
      </c>
      <c r="U20" s="109">
        <f t="shared" si="7"/>
        <v>59937.700624999998</v>
      </c>
    </row>
    <row r="21" spans="1:21" x14ac:dyDescent="0.2">
      <c r="A21" s="119" t="s">
        <v>26</v>
      </c>
      <c r="B21" s="124">
        <f>'Ürün YS-YenilemeHedefleri - 600'!B20</f>
        <v>2626.8910500000006</v>
      </c>
      <c r="C21" s="124">
        <f>'Ürün YS-YenilemeHedefleri - 600'!C20</f>
        <v>2626.8910500000006</v>
      </c>
      <c r="D21" s="124">
        <f>'Ürün YS-YenilemeHedefleri - 600'!D20</f>
        <v>3002.1612000000005</v>
      </c>
      <c r="E21" s="124">
        <f>'Ürün YS-YenilemeHedefleri - 600'!E20</f>
        <v>3002.1612000000005</v>
      </c>
      <c r="F21" s="124">
        <f>'Ürün YS-YenilemeHedefleri - 600'!F20</f>
        <v>3002.1612000000005</v>
      </c>
      <c r="G21" s="124">
        <f>'Ürün YS-YenilemeHedefleri - 600'!G20</f>
        <v>3377.4313500000003</v>
      </c>
      <c r="H21" s="124">
        <f>'Ürün YS-YenilemeHedefleri - 600'!H20</f>
        <v>2814.5261249999999</v>
      </c>
      <c r="I21" s="124">
        <f>'Ürün YS-YenilemeHedefleri - 600'!I20</f>
        <v>2814.5261249999999</v>
      </c>
      <c r="J21" s="124">
        <f>'Ürün YS-YenilemeHedefleri - 600'!J20</f>
        <v>3002.1612000000005</v>
      </c>
      <c r="K21" s="124">
        <f>'Ürün YS-YenilemeHedefleri - 600'!K20</f>
        <v>3565.066425</v>
      </c>
      <c r="L21" s="124">
        <f>'Ürün YS-YenilemeHedefleri - 600'!L20</f>
        <v>3565.066425</v>
      </c>
      <c r="M21" s="124">
        <f>'Ürün YS-YenilemeHedefleri - 600'!M20</f>
        <v>4127.9716500000004</v>
      </c>
      <c r="N21" s="124">
        <f t="shared" si="8"/>
        <v>37527.015000000007</v>
      </c>
      <c r="O21" s="83"/>
      <c r="P21" s="119" t="s">
        <v>26</v>
      </c>
      <c r="Q21" s="108">
        <f t="shared" si="3"/>
        <v>8255.9433000000026</v>
      </c>
      <c r="R21" s="108">
        <f t="shared" si="4"/>
        <v>9381.7537500000017</v>
      </c>
      <c r="S21" s="108">
        <f t="shared" si="5"/>
        <v>8631.2134499999993</v>
      </c>
      <c r="T21" s="108">
        <f t="shared" si="6"/>
        <v>11258.104500000001</v>
      </c>
      <c r="U21" s="124">
        <f t="shared" si="7"/>
        <v>37527.014999999999</v>
      </c>
    </row>
    <row r="22" spans="1:21" x14ac:dyDescent="0.2">
      <c r="A22" s="119" t="s">
        <v>28</v>
      </c>
      <c r="B22" s="124">
        <f>'Ürün YS-YenilemeHedefleri - 600'!B21</f>
        <v>1568.74799375</v>
      </c>
      <c r="C22" s="124">
        <f>'Ürün YS-YenilemeHedefleri - 600'!C21</f>
        <v>1568.74799375</v>
      </c>
      <c r="D22" s="124">
        <f>'Ürün YS-YenilemeHedefleri - 600'!D21</f>
        <v>1792.8548499999999</v>
      </c>
      <c r="E22" s="124">
        <f>'Ürün YS-YenilemeHedefleri - 600'!E21</f>
        <v>1792.8548499999999</v>
      </c>
      <c r="F22" s="124">
        <f>'Ürün YS-YenilemeHedefleri - 600'!F21</f>
        <v>1792.8548499999999</v>
      </c>
      <c r="G22" s="124">
        <f>'Ürün YS-YenilemeHedefleri - 600'!G21</f>
        <v>2016.9617062499997</v>
      </c>
      <c r="H22" s="124">
        <f>'Ürün YS-YenilemeHedefleri - 600'!H21</f>
        <v>1680.8014218749997</v>
      </c>
      <c r="I22" s="124">
        <f>'Ürün YS-YenilemeHedefleri - 600'!I21</f>
        <v>1680.8014218749997</v>
      </c>
      <c r="J22" s="124">
        <f>'Ürün YS-YenilemeHedefleri - 600'!J21</f>
        <v>1792.8548499999999</v>
      </c>
      <c r="K22" s="124">
        <f>'Ürün YS-YenilemeHedefleri - 600'!K21</f>
        <v>2129.0151343749994</v>
      </c>
      <c r="L22" s="124">
        <f>'Ürün YS-YenilemeHedefleri - 600'!L21</f>
        <v>2129.0151343749994</v>
      </c>
      <c r="M22" s="124">
        <f>'Ürün YS-YenilemeHedefleri - 600'!M21</f>
        <v>2465.1754187499996</v>
      </c>
      <c r="N22" s="124">
        <f t="shared" si="8"/>
        <v>22410.685624999998</v>
      </c>
      <c r="O22" s="83"/>
      <c r="P22" s="119" t="s">
        <v>28</v>
      </c>
      <c r="Q22" s="108">
        <f t="shared" si="3"/>
        <v>4930.3508375000001</v>
      </c>
      <c r="R22" s="108">
        <f t="shared" si="4"/>
        <v>5602.6714062499996</v>
      </c>
      <c r="S22" s="108">
        <f t="shared" si="5"/>
        <v>5154.4576937499996</v>
      </c>
      <c r="T22" s="108">
        <f t="shared" si="6"/>
        <v>6723.205687499998</v>
      </c>
      <c r="U22" s="124">
        <f t="shared" si="7"/>
        <v>22410.685624999998</v>
      </c>
    </row>
    <row r="23" spans="1:21" s="129" customFormat="1" x14ac:dyDescent="0.2">
      <c r="A23" s="110" t="s">
        <v>69</v>
      </c>
      <c r="B23" s="109">
        <f>'Ürün YS-YenilemeHedefleri - 600'!B22</f>
        <v>1792.7125877500005</v>
      </c>
      <c r="C23" s="109">
        <f>'Ürün YS-YenilemeHedefleri - 600'!C22</f>
        <v>1792.7125877500005</v>
      </c>
      <c r="D23" s="109">
        <f>'Ürün YS-YenilemeHedefleri - 600'!D22</f>
        <v>2048.8143860000005</v>
      </c>
      <c r="E23" s="109">
        <f>'Ürün YS-YenilemeHedefleri - 600'!E22</f>
        <v>2048.8143860000005</v>
      </c>
      <c r="F23" s="109">
        <f>'Ürün YS-YenilemeHedefleri - 600'!F22</f>
        <v>2048.8143860000005</v>
      </c>
      <c r="G23" s="109">
        <f>'Ürün YS-YenilemeHedefleri - 600'!G22</f>
        <v>2304.9161842500002</v>
      </c>
      <c r="H23" s="109">
        <f>'Ürün YS-YenilemeHedefleri - 600'!H22</f>
        <v>1920.7634868750001</v>
      </c>
      <c r="I23" s="109">
        <f>'Ürün YS-YenilemeHedefleri - 600'!I22</f>
        <v>1920.7634868750001</v>
      </c>
      <c r="J23" s="109">
        <f>'Ürün YS-YenilemeHedefleri - 600'!J22</f>
        <v>2048.8143860000005</v>
      </c>
      <c r="K23" s="109">
        <f>'Ürün YS-YenilemeHedefleri - 600'!K22</f>
        <v>2432.9670833750001</v>
      </c>
      <c r="L23" s="109">
        <f>'Ürün YS-YenilemeHedefleri - 600'!L22</f>
        <v>2432.9670833750001</v>
      </c>
      <c r="M23" s="109">
        <f>'Ürün YS-YenilemeHedefleri - 600'!M22</f>
        <v>2817.1197807500002</v>
      </c>
      <c r="N23" s="109">
        <f>SUM(B23:M23)</f>
        <v>25610.179824999999</v>
      </c>
      <c r="O23" s="128"/>
      <c r="P23" s="110" t="s">
        <v>69</v>
      </c>
      <c r="Q23" s="109">
        <f t="shared" si="3"/>
        <v>5634.2395615000014</v>
      </c>
      <c r="R23" s="109">
        <f t="shared" si="4"/>
        <v>6402.5449562500016</v>
      </c>
      <c r="S23" s="109">
        <f t="shared" si="5"/>
        <v>5890.3413597500003</v>
      </c>
      <c r="T23" s="109">
        <f t="shared" si="6"/>
        <v>7683.0539475000005</v>
      </c>
      <c r="U23" s="109">
        <f t="shared" si="7"/>
        <v>25610.179825000003</v>
      </c>
    </row>
    <row r="24" spans="1:21" x14ac:dyDescent="0.2">
      <c r="A24" s="119" t="s">
        <v>26</v>
      </c>
      <c r="B24" s="124">
        <f>'Ürün YS-YenilemeHedefleri - 600'!B23</f>
        <v>1767.3045600000005</v>
      </c>
      <c r="C24" s="124">
        <f>'Ürün YS-YenilemeHedefleri - 600'!C23</f>
        <v>1767.3045600000005</v>
      </c>
      <c r="D24" s="124">
        <f>'Ürün YS-YenilemeHedefleri - 600'!D23</f>
        <v>2019.7766400000005</v>
      </c>
      <c r="E24" s="124">
        <f>'Ürün YS-YenilemeHedefleri - 600'!E23</f>
        <v>2019.7766400000005</v>
      </c>
      <c r="F24" s="124">
        <f>'Ürün YS-YenilemeHedefleri - 600'!F23</f>
        <v>2019.7766400000005</v>
      </c>
      <c r="G24" s="124">
        <f>'Ürün YS-YenilemeHedefleri - 600'!G23</f>
        <v>2272.24872</v>
      </c>
      <c r="H24" s="124">
        <f>'Ürün YS-YenilemeHedefleri - 600'!H23</f>
        <v>1893.5406</v>
      </c>
      <c r="I24" s="124">
        <f>'Ürün YS-YenilemeHedefleri - 600'!I23</f>
        <v>1893.5406</v>
      </c>
      <c r="J24" s="124">
        <f>'Ürün YS-YenilemeHedefleri - 600'!J23</f>
        <v>2019.7766400000005</v>
      </c>
      <c r="K24" s="124">
        <f>'Ürün YS-YenilemeHedefleri - 600'!K23</f>
        <v>2398.4847600000003</v>
      </c>
      <c r="L24" s="124">
        <f>'Ürün YS-YenilemeHedefleri - 600'!L23</f>
        <v>2398.4847600000003</v>
      </c>
      <c r="M24" s="124">
        <f>'Ürün YS-YenilemeHedefleri - 600'!M23</f>
        <v>2777.1928800000001</v>
      </c>
      <c r="N24" s="124">
        <f t="shared" si="8"/>
        <v>25247.207999999999</v>
      </c>
      <c r="O24" s="83"/>
      <c r="P24" s="119" t="s">
        <v>26</v>
      </c>
      <c r="Q24" s="108">
        <f t="shared" si="3"/>
        <v>5554.385760000001</v>
      </c>
      <c r="R24" s="108">
        <f t="shared" si="4"/>
        <v>6311.8020000000015</v>
      </c>
      <c r="S24" s="108">
        <f t="shared" si="5"/>
        <v>5806.8578400000006</v>
      </c>
      <c r="T24" s="108">
        <f t="shared" si="6"/>
        <v>7574.1624000000011</v>
      </c>
      <c r="U24" s="124">
        <f t="shared" si="7"/>
        <v>25247.208000000006</v>
      </c>
    </row>
    <row r="25" spans="1:21" x14ac:dyDescent="0.2">
      <c r="A25" s="119" t="s">
        <v>28</v>
      </c>
      <c r="B25" s="124">
        <f>'Ürün YS-YenilemeHedefleri - 600'!B24</f>
        <v>25.408027749999988</v>
      </c>
      <c r="C25" s="124">
        <f>'Ürün YS-YenilemeHedefleri - 600'!C24</f>
        <v>25.408027749999988</v>
      </c>
      <c r="D25" s="124">
        <f>'Ürün YS-YenilemeHedefleri - 600'!D24</f>
        <v>29.037745999999984</v>
      </c>
      <c r="E25" s="124">
        <f>'Ürün YS-YenilemeHedefleri - 600'!E24</f>
        <v>29.037745999999984</v>
      </c>
      <c r="F25" s="124">
        <f>'Ürün YS-YenilemeHedefleri - 600'!F24</f>
        <v>29.037745999999984</v>
      </c>
      <c r="G25" s="124">
        <f>'Ürün YS-YenilemeHedefleri - 600'!G24</f>
        <v>32.667464249999981</v>
      </c>
      <c r="H25" s="124">
        <f>'Ürün YS-YenilemeHedefleri - 600'!H24</f>
        <v>27.222886874999979</v>
      </c>
      <c r="I25" s="124">
        <f>'Ürün YS-YenilemeHedefleri - 600'!I24</f>
        <v>27.222886874999979</v>
      </c>
      <c r="J25" s="124">
        <f>'Ürün YS-YenilemeHedefleri - 600'!J24</f>
        <v>29.037745999999984</v>
      </c>
      <c r="K25" s="124">
        <f>'Ürün YS-YenilemeHedefleri - 600'!K24</f>
        <v>34.482323374999972</v>
      </c>
      <c r="L25" s="124">
        <f>'Ürün YS-YenilemeHedefleri - 600'!L24</f>
        <v>34.482323374999972</v>
      </c>
      <c r="M25" s="124">
        <f>'Ürün YS-YenilemeHedefleri - 600'!M24</f>
        <v>39.926900749999973</v>
      </c>
      <c r="N25" s="124">
        <f t="shared" si="8"/>
        <v>362.97182499999968</v>
      </c>
      <c r="O25" s="83"/>
      <c r="P25" s="119" t="s">
        <v>28</v>
      </c>
      <c r="Q25" s="108">
        <f t="shared" si="3"/>
        <v>79.85380149999996</v>
      </c>
      <c r="R25" s="108">
        <f t="shared" si="4"/>
        <v>90.742956249999949</v>
      </c>
      <c r="S25" s="108">
        <f t="shared" si="5"/>
        <v>83.483519749999942</v>
      </c>
      <c r="T25" s="108">
        <f t="shared" si="6"/>
        <v>108.89154749999992</v>
      </c>
      <c r="U25" s="124">
        <f t="shared" si="7"/>
        <v>362.97182499999974</v>
      </c>
    </row>
    <row r="26" spans="1:21" s="129" customFormat="1" x14ac:dyDescent="0.2">
      <c r="A26" s="110" t="s">
        <v>32</v>
      </c>
      <c r="B26" s="109">
        <f>'Ürün YS-YenilemeHedefleri - 600'!B25</f>
        <v>667.46220625000012</v>
      </c>
      <c r="C26" s="109">
        <f>'Ürün YS-YenilemeHedefleri - 600'!C25</f>
        <v>667.46220625000012</v>
      </c>
      <c r="D26" s="109">
        <f>'Ürün YS-YenilemeHedefleri - 600'!D25</f>
        <v>762.81395000000009</v>
      </c>
      <c r="E26" s="109">
        <f>'Ürün YS-YenilemeHedefleri - 600'!E25</f>
        <v>762.81395000000009</v>
      </c>
      <c r="F26" s="109">
        <f>'Ürün YS-YenilemeHedefleri - 600'!F25</f>
        <v>762.81395000000009</v>
      </c>
      <c r="G26" s="109">
        <f>'Ürün YS-YenilemeHedefleri - 600'!G25</f>
        <v>858.16569375000006</v>
      </c>
      <c r="H26" s="109">
        <f>'Ürün YS-YenilemeHedefleri - 600'!H25</f>
        <v>715.13807812499999</v>
      </c>
      <c r="I26" s="109">
        <f>'Ürün YS-YenilemeHedefleri - 600'!I25</f>
        <v>715.13807812499999</v>
      </c>
      <c r="J26" s="109">
        <f>'Ürün YS-YenilemeHedefleri - 600'!J25</f>
        <v>762.81395000000009</v>
      </c>
      <c r="K26" s="109">
        <f>'Ürün YS-YenilemeHedefleri - 600'!K25</f>
        <v>905.84156562500004</v>
      </c>
      <c r="L26" s="109">
        <f>'Ürün YS-YenilemeHedefleri - 600'!L25</f>
        <v>905.84156562500004</v>
      </c>
      <c r="M26" s="109">
        <f>'Ürün YS-YenilemeHedefleri - 600'!M25</f>
        <v>1048.8691812500001</v>
      </c>
      <c r="N26" s="109">
        <f>SUM(B26:M26)</f>
        <v>9535.1743750000005</v>
      </c>
      <c r="O26" s="128"/>
      <c r="P26" s="110" t="s">
        <v>32</v>
      </c>
      <c r="Q26" s="109">
        <f t="shared" si="3"/>
        <v>2097.7383625000002</v>
      </c>
      <c r="R26" s="109">
        <f t="shared" si="4"/>
        <v>2383.7935937500001</v>
      </c>
      <c r="S26" s="109">
        <f t="shared" si="5"/>
        <v>2193.0901062500002</v>
      </c>
      <c r="T26" s="109">
        <f t="shared" si="6"/>
        <v>2860.5523125</v>
      </c>
      <c r="U26" s="109">
        <f t="shared" si="7"/>
        <v>9535.1743750000005</v>
      </c>
    </row>
    <row r="27" spans="1:21" x14ac:dyDescent="0.2">
      <c r="A27" s="119" t="s">
        <v>26</v>
      </c>
      <c r="B27" s="124">
        <f>'Ürün YS-YenilemeHedefleri - 600'!B26</f>
        <v>399.67672500000003</v>
      </c>
      <c r="C27" s="124">
        <f>'Ürün YS-YenilemeHedefleri - 600'!C26</f>
        <v>399.67672500000003</v>
      </c>
      <c r="D27" s="124">
        <f>'Ürün YS-YenilemeHedefleri - 600'!D26</f>
        <v>456.77340000000004</v>
      </c>
      <c r="E27" s="124">
        <f>'Ürün YS-YenilemeHedefleri - 600'!E26</f>
        <v>456.77340000000004</v>
      </c>
      <c r="F27" s="124">
        <f>'Ürün YS-YenilemeHedefleri - 600'!F26</f>
        <v>456.77340000000004</v>
      </c>
      <c r="G27" s="124">
        <f>'Ürün YS-YenilemeHedefleri - 600'!G26</f>
        <v>513.87007500000004</v>
      </c>
      <c r="H27" s="124">
        <f>'Ürün YS-YenilemeHedefleri - 600'!H26</f>
        <v>428.22506249999998</v>
      </c>
      <c r="I27" s="124">
        <f>'Ürün YS-YenilemeHedefleri - 600'!I26</f>
        <v>428.22506249999998</v>
      </c>
      <c r="J27" s="124">
        <f>'Ürün YS-YenilemeHedefleri - 600'!J26</f>
        <v>456.77340000000004</v>
      </c>
      <c r="K27" s="124">
        <f>'Ürün YS-YenilemeHedefleri - 600'!K26</f>
        <v>542.41841250000004</v>
      </c>
      <c r="L27" s="124">
        <f>'Ürün YS-YenilemeHedefleri - 600'!L26</f>
        <v>542.41841250000004</v>
      </c>
      <c r="M27" s="124">
        <f>'Ürün YS-YenilemeHedefleri - 600'!M26</f>
        <v>628.06342500000005</v>
      </c>
      <c r="N27" s="124">
        <f t="shared" si="8"/>
        <v>5709.6675000000014</v>
      </c>
      <c r="O27" s="83"/>
      <c r="P27" s="119" t="s">
        <v>26</v>
      </c>
      <c r="Q27" s="108">
        <f t="shared" si="3"/>
        <v>1256.1268500000001</v>
      </c>
      <c r="R27" s="108">
        <f t="shared" si="4"/>
        <v>1427.4168750000001</v>
      </c>
      <c r="S27" s="108">
        <f t="shared" si="5"/>
        <v>1313.2235249999999</v>
      </c>
      <c r="T27" s="108">
        <f t="shared" si="6"/>
        <v>1712.9002500000001</v>
      </c>
      <c r="U27" s="124">
        <f t="shared" si="7"/>
        <v>5709.6675000000005</v>
      </c>
    </row>
    <row r="28" spans="1:21" x14ac:dyDescent="0.2">
      <c r="A28" s="119" t="s">
        <v>28</v>
      </c>
      <c r="B28" s="124">
        <f>'Ürün YS-YenilemeHedefleri - 600'!B27</f>
        <v>267.78548125000003</v>
      </c>
      <c r="C28" s="124">
        <f>'Ürün YS-YenilemeHedefleri - 600'!C27</f>
        <v>267.78548125000003</v>
      </c>
      <c r="D28" s="124">
        <f>'Ürün YS-YenilemeHedefleri - 600'!D27</f>
        <v>306.04055</v>
      </c>
      <c r="E28" s="124">
        <f>'Ürün YS-YenilemeHedefleri - 600'!E27</f>
        <v>306.04055</v>
      </c>
      <c r="F28" s="124">
        <f>'Ürün YS-YenilemeHedefleri - 600'!F27</f>
        <v>306.04055</v>
      </c>
      <c r="G28" s="124">
        <f>'Ürün YS-YenilemeHedefleri - 600'!G27</f>
        <v>344.29561875000002</v>
      </c>
      <c r="H28" s="124">
        <f>'Ürün YS-YenilemeHedefleri - 600'!H27</f>
        <v>286.91301562499996</v>
      </c>
      <c r="I28" s="124">
        <f>'Ürün YS-YenilemeHedefleri - 600'!I27</f>
        <v>286.91301562499996</v>
      </c>
      <c r="J28" s="124">
        <f>'Ürün YS-YenilemeHedefleri - 600'!J27</f>
        <v>306.04055</v>
      </c>
      <c r="K28" s="124">
        <f>'Ürün YS-YenilemeHedefleri - 600'!K27</f>
        <v>363.423153125</v>
      </c>
      <c r="L28" s="124">
        <f>'Ürün YS-YenilemeHedefleri - 600'!L27</f>
        <v>363.423153125</v>
      </c>
      <c r="M28" s="124">
        <f>'Ürün YS-YenilemeHedefleri - 600'!M27</f>
        <v>420.80575625</v>
      </c>
      <c r="N28" s="124">
        <f t="shared" si="8"/>
        <v>3825.5068749999991</v>
      </c>
      <c r="O28" s="83"/>
      <c r="P28" s="119" t="s">
        <v>28</v>
      </c>
      <c r="Q28" s="108">
        <f t="shared" si="3"/>
        <v>841.61151250000012</v>
      </c>
      <c r="R28" s="108">
        <f t="shared" si="4"/>
        <v>956.37671875000001</v>
      </c>
      <c r="S28" s="108">
        <f t="shared" si="5"/>
        <v>879.86658124999985</v>
      </c>
      <c r="T28" s="108">
        <f t="shared" si="6"/>
        <v>1147.6520625000001</v>
      </c>
      <c r="U28" s="124">
        <f t="shared" si="7"/>
        <v>3825.506875</v>
      </c>
    </row>
    <row r="29" spans="1:21" s="129" customFormat="1" x14ac:dyDescent="0.2">
      <c r="A29" s="110" t="s">
        <v>33</v>
      </c>
      <c r="B29" s="109">
        <f>'2026 SatışHedefi - 671 (Aylık)'!C22</f>
        <v>10288.55744</v>
      </c>
      <c r="C29" s="109">
        <f>'2026 SatışHedefi - 671 (Aylık)'!D22</f>
        <v>10288.55744</v>
      </c>
      <c r="D29" s="109">
        <f>'2026 SatışHedefi - 671 (Aylık)'!E22</f>
        <v>11758.351359999999</v>
      </c>
      <c r="E29" s="109">
        <f>'2026 SatışHedefi - 671 (Aylık)'!F22</f>
        <v>11758.351359999999</v>
      </c>
      <c r="F29" s="109">
        <f>'2026 SatışHedefi - 671 (Aylık)'!G22</f>
        <v>11758.351359999999</v>
      </c>
      <c r="G29" s="109">
        <f>'2026 SatışHedefi - 671 (Aylık)'!H22</f>
        <v>13228.145279999999</v>
      </c>
      <c r="H29" s="109">
        <f>'2026 SatışHedefi - 671 (Aylık)'!I22</f>
        <v>11023.454399999999</v>
      </c>
      <c r="I29" s="109">
        <f>'2026 SatışHedefi - 671 (Aylık)'!J22</f>
        <v>11023.454399999999</v>
      </c>
      <c r="J29" s="109">
        <f>'2026 SatışHedefi - 671 (Aylık)'!K22</f>
        <v>11758.351359999999</v>
      </c>
      <c r="K29" s="109">
        <f>'2026 SatışHedefi - 671 (Aylık)'!L22</f>
        <v>13963.042239999999</v>
      </c>
      <c r="L29" s="109">
        <f>'2026 SatışHedefi - 671 (Aylık)'!M22</f>
        <v>13963.042239999999</v>
      </c>
      <c r="M29" s="109">
        <f>'2026 SatışHedefi - 671 (Aylık)'!N22</f>
        <v>16167.733119999999</v>
      </c>
      <c r="N29" s="164">
        <f>SUM(B29:M29)</f>
        <v>146979.39199999999</v>
      </c>
      <c r="O29" s="128"/>
      <c r="P29" s="110" t="s">
        <v>33</v>
      </c>
      <c r="Q29" s="109">
        <f t="shared" si="3"/>
        <v>32335.466240000002</v>
      </c>
      <c r="R29" s="109">
        <f t="shared" si="4"/>
        <v>36744.847999999998</v>
      </c>
      <c r="S29" s="109">
        <f t="shared" si="5"/>
        <v>33805.260159999998</v>
      </c>
      <c r="T29" s="109">
        <f t="shared" si="6"/>
        <v>44093.817599999995</v>
      </c>
      <c r="U29" s="109">
        <f t="shared" si="7"/>
        <v>146979.39199999999</v>
      </c>
    </row>
    <row r="30" spans="1:21" x14ac:dyDescent="0.2">
      <c r="A30" s="119" t="s">
        <v>26</v>
      </c>
      <c r="B30" s="124">
        <f>B29*$G$8</f>
        <v>7770.0000000000009</v>
      </c>
      <c r="C30" s="124">
        <f t="shared" ref="C30:M30" si="9">C29*$G$8</f>
        <v>7770.0000000000009</v>
      </c>
      <c r="D30" s="124">
        <f t="shared" si="9"/>
        <v>8880</v>
      </c>
      <c r="E30" s="124">
        <f t="shared" si="9"/>
        <v>8880</v>
      </c>
      <c r="F30" s="124">
        <f t="shared" si="9"/>
        <v>8880</v>
      </c>
      <c r="G30" s="124">
        <f t="shared" si="9"/>
        <v>9990</v>
      </c>
      <c r="H30" s="124">
        <f t="shared" si="9"/>
        <v>8325</v>
      </c>
      <c r="I30" s="124">
        <f t="shared" si="9"/>
        <v>8325</v>
      </c>
      <c r="J30" s="124">
        <f t="shared" si="9"/>
        <v>8880</v>
      </c>
      <c r="K30" s="124">
        <f t="shared" si="9"/>
        <v>10545</v>
      </c>
      <c r="L30" s="124">
        <f t="shared" si="9"/>
        <v>10545</v>
      </c>
      <c r="M30" s="124">
        <f t="shared" si="9"/>
        <v>12210</v>
      </c>
      <c r="N30" s="124">
        <f t="shared" ref="N30:N37" si="10">SUM(B30:M30)</f>
        <v>111000</v>
      </c>
      <c r="O30" s="83"/>
      <c r="P30" s="119" t="s">
        <v>26</v>
      </c>
      <c r="Q30" s="108">
        <f t="shared" si="3"/>
        <v>24420</v>
      </c>
      <c r="R30" s="108">
        <f t="shared" si="4"/>
        <v>27750</v>
      </c>
      <c r="S30" s="108">
        <f t="shared" si="5"/>
        <v>25530</v>
      </c>
      <c r="T30" s="108">
        <f t="shared" si="6"/>
        <v>33300</v>
      </c>
      <c r="U30" s="124">
        <f t="shared" si="7"/>
        <v>111000</v>
      </c>
    </row>
    <row r="31" spans="1:21" x14ac:dyDescent="0.2">
      <c r="A31" s="119" t="s">
        <v>28</v>
      </c>
      <c r="B31" s="124">
        <f>B29*$G$9</f>
        <v>2518.55744</v>
      </c>
      <c r="C31" s="124">
        <f t="shared" ref="C31:M31" si="11">C29*$G$9</f>
        <v>2518.55744</v>
      </c>
      <c r="D31" s="124">
        <f t="shared" si="11"/>
        <v>2878.3513599999997</v>
      </c>
      <c r="E31" s="124">
        <f t="shared" si="11"/>
        <v>2878.3513599999997</v>
      </c>
      <c r="F31" s="124">
        <f t="shared" si="11"/>
        <v>2878.3513599999997</v>
      </c>
      <c r="G31" s="124">
        <f t="shared" si="11"/>
        <v>3238.1452799999997</v>
      </c>
      <c r="H31" s="124">
        <f t="shared" si="11"/>
        <v>2698.4543999999996</v>
      </c>
      <c r="I31" s="124">
        <f t="shared" si="11"/>
        <v>2698.4543999999996</v>
      </c>
      <c r="J31" s="124">
        <f t="shared" si="11"/>
        <v>2878.3513599999997</v>
      </c>
      <c r="K31" s="124">
        <f t="shared" si="11"/>
        <v>3418.0422399999998</v>
      </c>
      <c r="L31" s="124">
        <f t="shared" si="11"/>
        <v>3418.0422399999998</v>
      </c>
      <c r="M31" s="124">
        <f t="shared" si="11"/>
        <v>3957.7331199999999</v>
      </c>
      <c r="N31" s="124">
        <f t="shared" si="10"/>
        <v>35979.391999999993</v>
      </c>
      <c r="O31" s="83"/>
      <c r="P31" s="119" t="s">
        <v>28</v>
      </c>
      <c r="Q31" s="108">
        <f t="shared" si="3"/>
        <v>7915.4662399999997</v>
      </c>
      <c r="R31" s="108">
        <f t="shared" si="4"/>
        <v>8994.8479999999981</v>
      </c>
      <c r="S31" s="108">
        <f t="shared" si="5"/>
        <v>8275.260159999998</v>
      </c>
      <c r="T31" s="108">
        <f t="shared" si="6"/>
        <v>10793.817599999998</v>
      </c>
      <c r="U31" s="124">
        <f t="shared" si="7"/>
        <v>35979.391999999993</v>
      </c>
    </row>
    <row r="32" spans="1:21" s="129" customFormat="1" x14ac:dyDescent="0.2">
      <c r="A32" s="110" t="s">
        <v>34</v>
      </c>
      <c r="B32" s="109">
        <f>'Ürün YS-YenilemeHedefleri - 600'!B31</f>
        <v>5038.0703712500008</v>
      </c>
      <c r="C32" s="109">
        <f>'Ürün YS-YenilemeHedefleri - 600'!C31</f>
        <v>5038.0703712500008</v>
      </c>
      <c r="D32" s="109">
        <f>'Ürün YS-YenilemeHedefleri - 600'!D31</f>
        <v>5757.7947100000001</v>
      </c>
      <c r="E32" s="109">
        <f>'Ürün YS-YenilemeHedefleri - 600'!E31</f>
        <v>5757.7947100000001</v>
      </c>
      <c r="F32" s="109">
        <f>'Ürün YS-YenilemeHedefleri - 600'!F31</f>
        <v>5757.7947100000001</v>
      </c>
      <c r="G32" s="109">
        <f>'Ürün YS-YenilemeHedefleri - 600'!G31</f>
        <v>6477.5190487500004</v>
      </c>
      <c r="H32" s="109">
        <f>'Ürün YS-YenilemeHedefleri - 600'!H31</f>
        <v>5397.932540625</v>
      </c>
      <c r="I32" s="109">
        <f>'Ürün YS-YenilemeHedefleri - 600'!I31</f>
        <v>5397.932540625</v>
      </c>
      <c r="J32" s="109">
        <f>'Ürün YS-YenilemeHedefleri - 600'!J31</f>
        <v>5757.7947100000001</v>
      </c>
      <c r="K32" s="109">
        <f>'Ürün YS-YenilemeHedefleri - 600'!K31</f>
        <v>6837.3812181250005</v>
      </c>
      <c r="L32" s="109">
        <f>'Ürün YS-YenilemeHedefleri - 600'!L31</f>
        <v>6837.3812181250005</v>
      </c>
      <c r="M32" s="109">
        <f>'Ürün YS-YenilemeHedefleri - 600'!M31</f>
        <v>7916.9677262499999</v>
      </c>
      <c r="N32" s="109">
        <f>SUM(B32:M32)</f>
        <v>71972.433875000017</v>
      </c>
      <c r="O32" s="128"/>
      <c r="P32" s="110" t="s">
        <v>34</v>
      </c>
      <c r="Q32" s="109">
        <f t="shared" si="3"/>
        <v>15833.935452500002</v>
      </c>
      <c r="R32" s="109">
        <f t="shared" si="4"/>
        <v>17993.108468750001</v>
      </c>
      <c r="S32" s="109">
        <f t="shared" si="5"/>
        <v>16553.65979125</v>
      </c>
      <c r="T32" s="109">
        <f t="shared" si="6"/>
        <v>21591.7301625</v>
      </c>
      <c r="U32" s="109">
        <f t="shared" si="7"/>
        <v>71972.433875000002</v>
      </c>
    </row>
    <row r="33" spans="1:21" x14ac:dyDescent="0.2">
      <c r="A33" s="119" t="s">
        <v>26</v>
      </c>
      <c r="B33" s="124">
        <f>'Ürün YS-YenilemeHedefleri - 600'!B32</f>
        <v>531.80281000000002</v>
      </c>
      <c r="C33" s="124">
        <f>'Ürün YS-YenilemeHedefleri - 600'!C32</f>
        <v>531.80281000000002</v>
      </c>
      <c r="D33" s="124">
        <f>'Ürün YS-YenilemeHedefleri - 600'!D32</f>
        <v>607.77463999999998</v>
      </c>
      <c r="E33" s="124">
        <f>'Ürün YS-YenilemeHedefleri - 600'!E32</f>
        <v>607.77463999999998</v>
      </c>
      <c r="F33" s="124">
        <f>'Ürün YS-YenilemeHedefleri - 600'!F32</f>
        <v>607.77463999999998</v>
      </c>
      <c r="G33" s="124">
        <f>'Ürün YS-YenilemeHedefleri - 600'!G32</f>
        <v>683.74647000000004</v>
      </c>
      <c r="H33" s="124">
        <f>'Ürün YS-YenilemeHedefleri - 600'!H32</f>
        <v>569.788725</v>
      </c>
      <c r="I33" s="124">
        <f>'Ürün YS-YenilemeHedefleri - 600'!I32</f>
        <v>569.788725</v>
      </c>
      <c r="J33" s="124">
        <f>'Ürün YS-YenilemeHedefleri - 600'!J32</f>
        <v>607.77463999999998</v>
      </c>
      <c r="K33" s="124">
        <f>'Ürün YS-YenilemeHedefleri - 600'!K32</f>
        <v>721.73238500000002</v>
      </c>
      <c r="L33" s="124">
        <f>'Ürün YS-YenilemeHedefleri - 600'!L32</f>
        <v>721.73238500000002</v>
      </c>
      <c r="M33" s="124">
        <f>'Ürün YS-YenilemeHedefleri - 600'!M32</f>
        <v>835.69012999999995</v>
      </c>
      <c r="N33" s="124">
        <f t="shared" si="10"/>
        <v>7597.1830000000009</v>
      </c>
      <c r="O33" s="83"/>
      <c r="P33" s="119" t="s">
        <v>26</v>
      </c>
      <c r="Q33" s="108">
        <f t="shared" si="3"/>
        <v>1671.3802599999999</v>
      </c>
      <c r="R33" s="108">
        <f t="shared" si="4"/>
        <v>1899.29575</v>
      </c>
      <c r="S33" s="108">
        <f t="shared" si="5"/>
        <v>1747.3520899999999</v>
      </c>
      <c r="T33" s="108">
        <f t="shared" si="6"/>
        <v>2279.1549</v>
      </c>
      <c r="U33" s="124">
        <f t="shared" si="7"/>
        <v>7597.1829999999991</v>
      </c>
    </row>
    <row r="34" spans="1:21" x14ac:dyDescent="0.2">
      <c r="A34" s="119" t="s">
        <v>28</v>
      </c>
      <c r="B34" s="124">
        <f>'Ürün YS-YenilemeHedefleri - 600'!B33</f>
        <v>4506.2675612500007</v>
      </c>
      <c r="C34" s="124">
        <f>'Ürün YS-YenilemeHedefleri - 600'!C33</f>
        <v>4506.2675612500007</v>
      </c>
      <c r="D34" s="124">
        <f>'Ürün YS-YenilemeHedefleri - 600'!D33</f>
        <v>5150.0200699999996</v>
      </c>
      <c r="E34" s="124">
        <f>'Ürün YS-YenilemeHedefleri - 600'!E33</f>
        <v>5150.0200699999996</v>
      </c>
      <c r="F34" s="124">
        <f>'Ürün YS-YenilemeHedefleri - 600'!F33</f>
        <v>5150.0200699999996</v>
      </c>
      <c r="G34" s="124">
        <f>'Ürün YS-YenilemeHedefleri - 600'!G33</f>
        <v>5793.7725787500003</v>
      </c>
      <c r="H34" s="124">
        <f>'Ürün YS-YenilemeHedefleri - 600'!H33</f>
        <v>4828.1438156249997</v>
      </c>
      <c r="I34" s="124">
        <f>'Ürün YS-YenilemeHedefleri - 600'!I33</f>
        <v>4828.1438156249997</v>
      </c>
      <c r="J34" s="124">
        <f>'Ürün YS-YenilemeHedefleri - 600'!J33</f>
        <v>5150.0200699999996</v>
      </c>
      <c r="K34" s="124">
        <f>'Ürün YS-YenilemeHedefleri - 600'!K33</f>
        <v>6115.6488331250002</v>
      </c>
      <c r="L34" s="124">
        <f>'Ürün YS-YenilemeHedefleri - 600'!L33</f>
        <v>6115.6488331250002</v>
      </c>
      <c r="M34" s="124">
        <f>'Ürün YS-YenilemeHedefleri - 600'!M33</f>
        <v>7081.27759625</v>
      </c>
      <c r="N34" s="124">
        <f t="shared" si="10"/>
        <v>64375.250874999998</v>
      </c>
      <c r="O34" s="83"/>
      <c r="P34" s="119" t="s">
        <v>28</v>
      </c>
      <c r="Q34" s="108">
        <f t="shared" si="3"/>
        <v>14162.5551925</v>
      </c>
      <c r="R34" s="108">
        <f t="shared" si="4"/>
        <v>16093.812718749999</v>
      </c>
      <c r="S34" s="108">
        <f t="shared" si="5"/>
        <v>14806.30770125</v>
      </c>
      <c r="T34" s="108">
        <f t="shared" si="6"/>
        <v>19312.575262500002</v>
      </c>
      <c r="U34" s="124">
        <f t="shared" si="7"/>
        <v>64375.250874999998</v>
      </c>
    </row>
    <row r="35" spans="1:21" s="129" customFormat="1" x14ac:dyDescent="0.2">
      <c r="A35" s="110" t="s">
        <v>35</v>
      </c>
      <c r="B35" s="109">
        <f>'Ürün YS-YenilemeHedefleri - 600'!B34</f>
        <v>1314.916152</v>
      </c>
      <c r="C35" s="109">
        <f>'Ürün YS-YenilemeHedefleri - 600'!C34</f>
        <v>1314.916152</v>
      </c>
      <c r="D35" s="109">
        <f>'Ürün YS-YenilemeHedefleri - 600'!D34</f>
        <v>1479.280671</v>
      </c>
      <c r="E35" s="109">
        <f>'Ürün YS-YenilemeHedefleri - 600'!E34</f>
        <v>1314.916152</v>
      </c>
      <c r="F35" s="109">
        <f>'Ürün YS-YenilemeHedefleri - 600'!F34</f>
        <v>1314.916152</v>
      </c>
      <c r="G35" s="109">
        <f>'Ürün YS-YenilemeHedefleri - 600'!G34</f>
        <v>1479.280671</v>
      </c>
      <c r="H35" s="109">
        <f>'Ürün YS-YenilemeHedefleri - 600'!H34</f>
        <v>1232.7338924999999</v>
      </c>
      <c r="I35" s="109">
        <f>'Ürün YS-YenilemeHedefleri - 600'!I34</f>
        <v>1314.916152</v>
      </c>
      <c r="J35" s="109">
        <f>'Ürün YS-YenilemeHedefleri - 600'!J34</f>
        <v>1314.916152</v>
      </c>
      <c r="K35" s="109">
        <f>'Ürün YS-YenilemeHedefleri - 600'!K34</f>
        <v>1314.916152</v>
      </c>
      <c r="L35" s="109">
        <f>'Ürün YS-YenilemeHedefleri - 600'!L34</f>
        <v>1479.280671</v>
      </c>
      <c r="M35" s="109">
        <f>'Ürün YS-YenilemeHedefleri - 600'!M34</f>
        <v>1561.4629305000001</v>
      </c>
      <c r="N35" s="109">
        <f>SUM(B35:M35)</f>
        <v>16436.4519</v>
      </c>
      <c r="O35" s="128"/>
      <c r="P35" s="110" t="s">
        <v>35</v>
      </c>
      <c r="Q35" s="109">
        <f t="shared" si="3"/>
        <v>4109.112975</v>
      </c>
      <c r="R35" s="109">
        <f t="shared" si="4"/>
        <v>4109.112975</v>
      </c>
      <c r="S35" s="109">
        <f t="shared" si="5"/>
        <v>3862.5661964999999</v>
      </c>
      <c r="T35" s="109">
        <f t="shared" si="6"/>
        <v>4355.6597535000001</v>
      </c>
      <c r="U35" s="109">
        <f t="shared" si="7"/>
        <v>16436.4519</v>
      </c>
    </row>
    <row r="36" spans="1:21" x14ac:dyDescent="0.2">
      <c r="A36" s="119" t="s">
        <v>26</v>
      </c>
      <c r="B36" s="124">
        <f>'Ürün YS-YenilemeHedefleri - 600'!B35</f>
        <v>1314.916152</v>
      </c>
      <c r="C36" s="124">
        <f>'Ürün YS-YenilemeHedefleri - 600'!C35</f>
        <v>1314.916152</v>
      </c>
      <c r="D36" s="124">
        <f>'Ürün YS-YenilemeHedefleri - 600'!D35</f>
        <v>1479.280671</v>
      </c>
      <c r="E36" s="124">
        <f>'Ürün YS-YenilemeHedefleri - 600'!E35</f>
        <v>1314.916152</v>
      </c>
      <c r="F36" s="124">
        <f>'Ürün YS-YenilemeHedefleri - 600'!F35</f>
        <v>1314.916152</v>
      </c>
      <c r="G36" s="124">
        <f>'Ürün YS-YenilemeHedefleri - 600'!G35</f>
        <v>1479.280671</v>
      </c>
      <c r="H36" s="124">
        <f>'Ürün YS-YenilemeHedefleri - 600'!H35</f>
        <v>1232.7338924999999</v>
      </c>
      <c r="I36" s="124">
        <f>'Ürün YS-YenilemeHedefleri - 600'!I35</f>
        <v>1314.916152</v>
      </c>
      <c r="J36" s="124">
        <f>'Ürün YS-YenilemeHedefleri - 600'!J35</f>
        <v>1314.916152</v>
      </c>
      <c r="K36" s="124">
        <f>'Ürün YS-YenilemeHedefleri - 600'!K35</f>
        <v>1314.916152</v>
      </c>
      <c r="L36" s="124">
        <f>'Ürün YS-YenilemeHedefleri - 600'!L35</f>
        <v>1479.280671</v>
      </c>
      <c r="M36" s="124">
        <f>'Ürün YS-YenilemeHedefleri - 600'!M35</f>
        <v>1561.4629305000001</v>
      </c>
      <c r="N36" s="124">
        <f t="shared" si="10"/>
        <v>16436.4519</v>
      </c>
      <c r="O36" s="83"/>
      <c r="P36" s="119" t="s">
        <v>26</v>
      </c>
      <c r="Q36" s="108">
        <f t="shared" si="3"/>
        <v>4109.112975</v>
      </c>
      <c r="R36" s="108">
        <f t="shared" si="4"/>
        <v>4109.112975</v>
      </c>
      <c r="S36" s="108">
        <f t="shared" si="5"/>
        <v>3862.5661964999999</v>
      </c>
      <c r="T36" s="108">
        <f t="shared" si="6"/>
        <v>4355.6597535000001</v>
      </c>
      <c r="U36" s="124">
        <f t="shared" si="7"/>
        <v>16436.4519</v>
      </c>
    </row>
    <row r="37" spans="1:21" x14ac:dyDescent="0.2">
      <c r="A37" s="119" t="s">
        <v>28</v>
      </c>
      <c r="B37" s="124">
        <f>'Ürün YS-YenilemeHedefleri - 600'!B36</f>
        <v>0</v>
      </c>
      <c r="C37" s="124">
        <f>'Ürün YS-YenilemeHedefleri - 600'!C36</f>
        <v>0</v>
      </c>
      <c r="D37" s="124">
        <f>'Ürün YS-YenilemeHedefleri - 600'!D36</f>
        <v>0</v>
      </c>
      <c r="E37" s="124">
        <f>'Ürün YS-YenilemeHedefleri - 600'!E36</f>
        <v>0</v>
      </c>
      <c r="F37" s="124">
        <f>'Ürün YS-YenilemeHedefleri - 600'!F36</f>
        <v>0</v>
      </c>
      <c r="G37" s="124">
        <f>'Ürün YS-YenilemeHedefleri - 600'!G36</f>
        <v>0</v>
      </c>
      <c r="H37" s="124">
        <f>'Ürün YS-YenilemeHedefleri - 600'!H36</f>
        <v>0</v>
      </c>
      <c r="I37" s="124">
        <f>'Ürün YS-YenilemeHedefleri - 600'!I36</f>
        <v>0</v>
      </c>
      <c r="J37" s="124">
        <f>'Ürün YS-YenilemeHedefleri - 600'!J36</f>
        <v>0</v>
      </c>
      <c r="K37" s="124">
        <f>'Ürün YS-YenilemeHedefleri - 600'!K36</f>
        <v>0</v>
      </c>
      <c r="L37" s="124">
        <f>'Ürün YS-YenilemeHedefleri - 600'!L36</f>
        <v>0</v>
      </c>
      <c r="M37" s="124">
        <f>'Ürün YS-YenilemeHedefleri - 600'!M36</f>
        <v>0</v>
      </c>
      <c r="N37" s="124">
        <f t="shared" si="10"/>
        <v>0</v>
      </c>
      <c r="O37" s="83"/>
      <c r="P37" s="119" t="s">
        <v>28</v>
      </c>
      <c r="Q37" s="108">
        <f t="shared" si="3"/>
        <v>0</v>
      </c>
      <c r="R37" s="108">
        <f t="shared" si="4"/>
        <v>0</v>
      </c>
      <c r="S37" s="108">
        <f t="shared" si="5"/>
        <v>0</v>
      </c>
      <c r="T37" s="108">
        <f t="shared" si="6"/>
        <v>0</v>
      </c>
      <c r="U37" s="124">
        <f t="shared" si="7"/>
        <v>0</v>
      </c>
    </row>
    <row r="38" spans="1:21" x14ac:dyDescent="0.2">
      <c r="A38" s="110" t="s">
        <v>163</v>
      </c>
      <c r="B38" s="109">
        <f>SUMIF($A$14:$A$37,"Yeni Satış",B14:B37)</f>
        <v>24654.282412000004</v>
      </c>
      <c r="C38" s="109">
        <f t="shared" ref="C38:N38" si="12">SUMIF($A$14:$A$37,"Yeni Satış",C14:C37)</f>
        <v>24654.282412000004</v>
      </c>
      <c r="D38" s="109">
        <f t="shared" si="12"/>
        <v>28152.842111000002</v>
      </c>
      <c r="E38" s="109">
        <f t="shared" si="12"/>
        <v>27463.075539500001</v>
      </c>
      <c r="F38" s="109">
        <f t="shared" si="12"/>
        <v>27463.075539500001</v>
      </c>
      <c r="G38" s="109">
        <f t="shared" si="12"/>
        <v>31487.037291000001</v>
      </c>
      <c r="H38" s="109">
        <f t="shared" si="12"/>
        <v>26239.1977425</v>
      </c>
      <c r="I38" s="109">
        <f t="shared" si="12"/>
        <v>26321.380002000002</v>
      </c>
      <c r="J38" s="109">
        <f t="shared" si="12"/>
        <v>27988.477592000003</v>
      </c>
      <c r="K38" s="109">
        <f t="shared" si="12"/>
        <v>33515.172414499997</v>
      </c>
      <c r="L38" s="109">
        <f t="shared" si="12"/>
        <v>33679.5369335</v>
      </c>
      <c r="M38" s="109">
        <f t="shared" si="12"/>
        <v>38237.609910500003</v>
      </c>
      <c r="N38" s="109">
        <f t="shared" si="12"/>
        <v>349855.96989999997</v>
      </c>
      <c r="O38" s="83"/>
      <c r="P38" s="110" t="s">
        <v>163</v>
      </c>
      <c r="Q38" s="109">
        <f>SUMIF($A$14:$A$37,"Yeni Satış",Q14:Q37)</f>
        <v>77461.406935000006</v>
      </c>
      <c r="R38" s="109">
        <f t="shared" ref="R38" si="13">SUMIF($A$14:$A$37,"Yeni Satış",R14:R37)</f>
        <v>86413.188370000003</v>
      </c>
      <c r="S38" s="109">
        <f t="shared" ref="S38" si="14">SUMIF($A$14:$A$37,"Yeni Satış",S14:S37)</f>
        <v>80549.055336499994</v>
      </c>
      <c r="T38" s="109">
        <f t="shared" ref="T38" si="15">SUMIF($A$14:$A$37,"Yeni Satış",T14:T37)</f>
        <v>105432.31925849999</v>
      </c>
      <c r="U38" s="109">
        <f t="shared" ref="U38" si="16">SUMIF($A$14:$A$37,"Yeni Satış",U14:U37)</f>
        <v>349855.96990000003</v>
      </c>
    </row>
    <row r="39" spans="1:21" x14ac:dyDescent="0.2">
      <c r="A39" s="110" t="s">
        <v>164</v>
      </c>
      <c r="B39" s="109">
        <f>SUMIF($A$14:$A$37,"Yenileme",B14:B37)</f>
        <v>22489.364360749998</v>
      </c>
      <c r="C39" s="109">
        <f t="shared" ref="C39:N39" si="17">SUMIF($A$14:$A$37,"Yenileme",C14:C37)</f>
        <v>22489.364360749998</v>
      </c>
      <c r="D39" s="109">
        <f t="shared" si="17"/>
        <v>25702.130698000001</v>
      </c>
      <c r="E39" s="109">
        <f t="shared" si="17"/>
        <v>24812.772061875003</v>
      </c>
      <c r="F39" s="109">
        <f t="shared" si="17"/>
        <v>24812.772061875003</v>
      </c>
      <c r="G39" s="109">
        <f t="shared" si="17"/>
        <v>28914.897035249996</v>
      </c>
      <c r="H39" s="109">
        <f t="shared" si="17"/>
        <v>24095.747529374999</v>
      </c>
      <c r="I39" s="109">
        <f t="shared" si="17"/>
        <v>24095.747529374999</v>
      </c>
      <c r="J39" s="109">
        <f t="shared" si="17"/>
        <v>25702.130698000001</v>
      </c>
      <c r="K39" s="109">
        <f t="shared" si="17"/>
        <v>31410.63884</v>
      </c>
      <c r="L39" s="109">
        <f t="shared" si="17"/>
        <v>31410.63884</v>
      </c>
      <c r="M39" s="109">
        <f t="shared" si="17"/>
        <v>35340.429709750002</v>
      </c>
      <c r="N39" s="109">
        <f t="shared" si="17"/>
        <v>321276.63372499996</v>
      </c>
      <c r="O39" s="83"/>
      <c r="P39" s="110" t="s">
        <v>164</v>
      </c>
      <c r="Q39" s="109">
        <f>SUMIF($A$14:$A$37,"Yenileme",Q14:Q37)</f>
        <v>70680.859419500004</v>
      </c>
      <c r="R39" s="109">
        <f t="shared" ref="R39:U39" si="18">SUMIF($A$14:$A$37,"Yenileme",R14:R37)</f>
        <v>78540.44115899998</v>
      </c>
      <c r="S39" s="109">
        <f t="shared" si="18"/>
        <v>73893.62575675</v>
      </c>
      <c r="T39" s="109">
        <f t="shared" si="18"/>
        <v>98161.707389749994</v>
      </c>
      <c r="U39" s="109">
        <f t="shared" si="18"/>
        <v>321276.63372499996</v>
      </c>
    </row>
    <row r="40" spans="1:21" x14ac:dyDescent="0.2">
      <c r="A40" s="110" t="s">
        <v>40</v>
      </c>
      <c r="B40" s="109">
        <f>SUM(B38:B39)</f>
        <v>47143.646772749998</v>
      </c>
      <c r="C40" s="109">
        <f t="shared" ref="C40:N40" si="19">SUM(C38:C39)</f>
        <v>47143.646772749998</v>
      </c>
      <c r="D40" s="109">
        <f t="shared" si="19"/>
        <v>53854.972808999999</v>
      </c>
      <c r="E40" s="109">
        <f t="shared" si="19"/>
        <v>52275.847601375004</v>
      </c>
      <c r="F40" s="109">
        <f t="shared" si="19"/>
        <v>52275.847601375004</v>
      </c>
      <c r="G40" s="109">
        <f t="shared" si="19"/>
        <v>60401.934326249997</v>
      </c>
      <c r="H40" s="109">
        <f t="shared" si="19"/>
        <v>50334.945271874996</v>
      </c>
      <c r="I40" s="109">
        <f t="shared" si="19"/>
        <v>50417.127531375001</v>
      </c>
      <c r="J40" s="109">
        <f t="shared" si="19"/>
        <v>53690.608290000004</v>
      </c>
      <c r="K40" s="109">
        <f t="shared" si="19"/>
        <v>64925.811254499997</v>
      </c>
      <c r="L40" s="109">
        <f t="shared" si="19"/>
        <v>65090.175773499999</v>
      </c>
      <c r="M40" s="109">
        <f t="shared" si="19"/>
        <v>73578.039620249998</v>
      </c>
      <c r="N40" s="164">
        <f t="shared" si="19"/>
        <v>671132.60362499999</v>
      </c>
      <c r="O40" s="83"/>
      <c r="P40" s="110" t="s">
        <v>30</v>
      </c>
      <c r="Q40" s="109">
        <f>SUM(Q38:Q39)</f>
        <v>148142.26635450003</v>
      </c>
      <c r="R40" s="109">
        <f t="shared" ref="R40" si="20">SUM(R38:R39)</f>
        <v>164953.62952899997</v>
      </c>
      <c r="S40" s="109">
        <f t="shared" ref="S40" si="21">SUM(S38:S39)</f>
        <v>154442.68109324999</v>
      </c>
      <c r="T40" s="109">
        <f t="shared" ref="T40" si="22">SUM(T38:T39)</f>
        <v>203594.02664825</v>
      </c>
      <c r="U40" s="164">
        <f t="shared" ref="U40" si="23">SUM(U38:U39)</f>
        <v>671132.60362499999</v>
      </c>
    </row>
    <row r="41" spans="1:21" x14ac:dyDescent="0.2">
      <c r="A41" s="111" t="s">
        <v>41</v>
      </c>
      <c r="B41" s="112">
        <v>7.0999999999999994E-2</v>
      </c>
      <c r="C41" s="112">
        <v>7.0999999999999994E-2</v>
      </c>
      <c r="D41" s="112">
        <v>8.1000000000000003E-2</v>
      </c>
      <c r="E41" s="112">
        <v>7.9000000000000001E-2</v>
      </c>
      <c r="F41" s="112">
        <v>7.9000000000000001E-2</v>
      </c>
      <c r="G41" s="112">
        <v>0.09</v>
      </c>
      <c r="H41" s="112">
        <v>7.4999999999999997E-2</v>
      </c>
      <c r="I41" s="112">
        <v>7.5999999999999998E-2</v>
      </c>
      <c r="J41" s="112">
        <v>0.08</v>
      </c>
      <c r="K41" s="112">
        <v>9.4E-2</v>
      </c>
      <c r="L41" s="112">
        <v>9.5000000000000001E-2</v>
      </c>
      <c r="M41" s="112">
        <v>0.108</v>
      </c>
      <c r="N41" s="113">
        <v>1</v>
      </c>
      <c r="O41" s="83"/>
      <c r="P41" s="111" t="s">
        <v>41</v>
      </c>
      <c r="Q41" s="112">
        <f>SUM(B41:D41)</f>
        <v>0.22299999999999998</v>
      </c>
      <c r="R41" s="112">
        <f>SUM(E41:G41)</f>
        <v>0.248</v>
      </c>
      <c r="S41" s="112">
        <f>SUM(H41:J41)</f>
        <v>0.23099999999999998</v>
      </c>
      <c r="T41" s="112">
        <f>SUM(K41:M41)</f>
        <v>0.29699999999999999</v>
      </c>
      <c r="U41" s="113">
        <f>SUM(Q41:T41)</f>
        <v>0.99899999999999989</v>
      </c>
    </row>
    <row r="42" spans="1:21" x14ac:dyDescent="0.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3"/>
      <c r="P42" s="84"/>
      <c r="Q42" s="84"/>
      <c r="R42" s="84"/>
      <c r="S42" s="84"/>
      <c r="T42" s="84"/>
      <c r="U42" s="84"/>
    </row>
    <row r="43" spans="1:21" x14ac:dyDescent="0.2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3"/>
      <c r="P43" s="84"/>
      <c r="Q43" s="84"/>
      <c r="R43" s="84"/>
      <c r="S43" s="84"/>
      <c r="T43" s="84"/>
      <c r="U43" s="84"/>
    </row>
    <row r="44" spans="1:21" x14ac:dyDescent="0.2">
      <c r="A44" s="374" t="s">
        <v>71</v>
      </c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83"/>
      <c r="P44" s="374" t="s">
        <v>72</v>
      </c>
      <c r="Q44" s="374"/>
      <c r="R44" s="374"/>
      <c r="S44" s="374"/>
      <c r="T44" s="374"/>
      <c r="U44" s="374"/>
    </row>
    <row r="45" spans="1:21" x14ac:dyDescent="0.2">
      <c r="A45" s="107" t="s">
        <v>6</v>
      </c>
      <c r="B45" s="106">
        <v>1</v>
      </c>
      <c r="C45" s="106">
        <v>2</v>
      </c>
      <c r="D45" s="106">
        <v>3</v>
      </c>
      <c r="E45" s="106">
        <v>4</v>
      </c>
      <c r="F45" s="106">
        <v>5</v>
      </c>
      <c r="G45" s="106">
        <v>6</v>
      </c>
      <c r="H45" s="106">
        <v>7</v>
      </c>
      <c r="I45" s="106">
        <v>8</v>
      </c>
      <c r="J45" s="106">
        <v>9</v>
      </c>
      <c r="K45" s="106">
        <v>10</v>
      </c>
      <c r="L45" s="106">
        <v>11</v>
      </c>
      <c r="M45" s="106">
        <v>12</v>
      </c>
      <c r="N45" s="106" t="s">
        <v>30</v>
      </c>
      <c r="O45" s="83"/>
      <c r="P45" s="107" t="s">
        <v>6</v>
      </c>
      <c r="Q45" s="106">
        <v>1</v>
      </c>
      <c r="R45" s="106">
        <v>2</v>
      </c>
      <c r="S45" s="106">
        <v>3</v>
      </c>
      <c r="T45" s="106">
        <v>4</v>
      </c>
      <c r="U45" s="106" t="s">
        <v>30</v>
      </c>
    </row>
    <row r="46" spans="1:21" x14ac:dyDescent="0.2">
      <c r="A46" s="98" t="s">
        <v>25</v>
      </c>
      <c r="B46" s="114">
        <v>7.0000000000000007E-2</v>
      </c>
      <c r="C46" s="114">
        <v>7.0000000000000007E-2</v>
      </c>
      <c r="D46" s="114">
        <v>0.08</v>
      </c>
      <c r="E46" s="114">
        <v>0.08</v>
      </c>
      <c r="F46" s="114">
        <v>0.08</v>
      </c>
      <c r="G46" s="114">
        <v>0.09</v>
      </c>
      <c r="H46" s="114">
        <v>0.08</v>
      </c>
      <c r="I46" s="114">
        <v>0.08</v>
      </c>
      <c r="J46" s="114">
        <v>0.08</v>
      </c>
      <c r="K46" s="114">
        <v>0.1</v>
      </c>
      <c r="L46" s="114">
        <v>0.1</v>
      </c>
      <c r="M46" s="114">
        <v>0.11</v>
      </c>
      <c r="N46" s="114">
        <v>1</v>
      </c>
      <c r="O46" s="83"/>
      <c r="P46" s="98" t="s">
        <v>25</v>
      </c>
      <c r="Q46" s="115">
        <v>0.22</v>
      </c>
      <c r="R46" s="115">
        <v>0.24</v>
      </c>
      <c r="S46" s="115">
        <v>0.23</v>
      </c>
      <c r="T46" s="115">
        <v>0.31</v>
      </c>
      <c r="U46" s="114">
        <v>1</v>
      </c>
    </row>
    <row r="47" spans="1:21" x14ac:dyDescent="0.2">
      <c r="A47" s="98" t="s">
        <v>27</v>
      </c>
      <c r="B47" s="114">
        <v>7.0000000000000007E-2</v>
      </c>
      <c r="C47" s="114">
        <v>7.0000000000000007E-2</v>
      </c>
      <c r="D47" s="114">
        <v>0.08</v>
      </c>
      <c r="E47" s="114">
        <v>0.08</v>
      </c>
      <c r="F47" s="114">
        <v>0.08</v>
      </c>
      <c r="G47" s="114">
        <v>0.09</v>
      </c>
      <c r="H47" s="114">
        <v>0.08</v>
      </c>
      <c r="I47" s="114">
        <v>0.08</v>
      </c>
      <c r="J47" s="114">
        <v>0.08</v>
      </c>
      <c r="K47" s="114">
        <v>0.1</v>
      </c>
      <c r="L47" s="114">
        <v>0.1</v>
      </c>
      <c r="M47" s="114">
        <v>0.11</v>
      </c>
      <c r="N47" s="114">
        <v>1</v>
      </c>
      <c r="O47" s="83"/>
      <c r="P47" s="98" t="s">
        <v>27</v>
      </c>
      <c r="Q47" s="115">
        <v>0.22</v>
      </c>
      <c r="R47" s="115">
        <v>0.25</v>
      </c>
      <c r="S47" s="115">
        <v>0.23</v>
      </c>
      <c r="T47" s="115">
        <v>0.3</v>
      </c>
      <c r="U47" s="114">
        <v>1</v>
      </c>
    </row>
    <row r="48" spans="1:21" x14ac:dyDescent="0.2">
      <c r="A48" s="98" t="s">
        <v>29</v>
      </c>
      <c r="B48" s="114">
        <v>7.0000000000000007E-2</v>
      </c>
      <c r="C48" s="114">
        <v>7.0000000000000007E-2</v>
      </c>
      <c r="D48" s="114">
        <v>0.08</v>
      </c>
      <c r="E48" s="114">
        <v>0.08</v>
      </c>
      <c r="F48" s="114">
        <v>0.08</v>
      </c>
      <c r="G48" s="114">
        <v>0.09</v>
      </c>
      <c r="H48" s="114">
        <v>0.08</v>
      </c>
      <c r="I48" s="114">
        <v>0.08</v>
      </c>
      <c r="J48" s="114">
        <v>0.08</v>
      </c>
      <c r="K48" s="114">
        <v>0.1</v>
      </c>
      <c r="L48" s="114">
        <v>0.1</v>
      </c>
      <c r="M48" s="114">
        <v>0.11</v>
      </c>
      <c r="N48" s="114">
        <v>1</v>
      </c>
      <c r="O48" s="83"/>
      <c r="P48" s="98" t="s">
        <v>29</v>
      </c>
      <c r="Q48" s="115">
        <v>0.22</v>
      </c>
      <c r="R48" s="115">
        <v>0.25</v>
      </c>
      <c r="S48" s="115">
        <v>0.23</v>
      </c>
      <c r="T48" s="115">
        <v>0.3</v>
      </c>
      <c r="U48" s="114">
        <v>1</v>
      </c>
    </row>
    <row r="49" spans="1:21" x14ac:dyDescent="0.2">
      <c r="A49" s="98" t="s">
        <v>31</v>
      </c>
      <c r="B49" s="114">
        <v>7.0000000000000007E-2</v>
      </c>
      <c r="C49" s="114">
        <v>7.0000000000000007E-2</v>
      </c>
      <c r="D49" s="114">
        <v>0.08</v>
      </c>
      <c r="E49" s="114">
        <v>0.08</v>
      </c>
      <c r="F49" s="114">
        <v>0.08</v>
      </c>
      <c r="G49" s="114">
        <v>0.09</v>
      </c>
      <c r="H49" s="114">
        <v>0.08</v>
      </c>
      <c r="I49" s="114">
        <v>0.08</v>
      </c>
      <c r="J49" s="114">
        <v>0.08</v>
      </c>
      <c r="K49" s="114">
        <v>0.1</v>
      </c>
      <c r="L49" s="114">
        <v>0.1</v>
      </c>
      <c r="M49" s="114">
        <v>0.11</v>
      </c>
      <c r="N49" s="114">
        <v>1</v>
      </c>
      <c r="O49" s="83"/>
      <c r="P49" s="98" t="s">
        <v>31</v>
      </c>
      <c r="Q49" s="115">
        <v>0.22</v>
      </c>
      <c r="R49" s="115">
        <v>0.25</v>
      </c>
      <c r="S49" s="115">
        <v>0.23</v>
      </c>
      <c r="T49" s="115">
        <v>0.3</v>
      </c>
      <c r="U49" s="114">
        <v>1</v>
      </c>
    </row>
    <row r="50" spans="1:21" x14ac:dyDescent="0.2">
      <c r="A50" s="98" t="s">
        <v>32</v>
      </c>
      <c r="B50" s="114">
        <v>7.0000000000000007E-2</v>
      </c>
      <c r="C50" s="114">
        <v>7.0000000000000007E-2</v>
      </c>
      <c r="D50" s="114">
        <v>0.08</v>
      </c>
      <c r="E50" s="114">
        <v>0.08</v>
      </c>
      <c r="F50" s="114">
        <v>0.08</v>
      </c>
      <c r="G50" s="114">
        <v>0.09</v>
      </c>
      <c r="H50" s="114">
        <v>0.08</v>
      </c>
      <c r="I50" s="114">
        <v>0.08</v>
      </c>
      <c r="J50" s="114">
        <v>0.08</v>
      </c>
      <c r="K50" s="114">
        <v>0.1</v>
      </c>
      <c r="L50" s="114">
        <v>0.1</v>
      </c>
      <c r="M50" s="114">
        <v>0.11</v>
      </c>
      <c r="N50" s="114">
        <v>1</v>
      </c>
      <c r="O50" s="83"/>
      <c r="P50" s="98" t="s">
        <v>32</v>
      </c>
      <c r="Q50" s="115">
        <v>0.22</v>
      </c>
      <c r="R50" s="115">
        <v>0.25</v>
      </c>
      <c r="S50" s="115">
        <v>0.23</v>
      </c>
      <c r="T50" s="115">
        <v>0.3</v>
      </c>
      <c r="U50" s="114">
        <v>1</v>
      </c>
    </row>
    <row r="51" spans="1:21" x14ac:dyDescent="0.2">
      <c r="A51" s="98" t="s">
        <v>33</v>
      </c>
      <c r="B51" s="114">
        <v>7.0000000000000007E-2</v>
      </c>
      <c r="C51" s="114">
        <v>7.0000000000000007E-2</v>
      </c>
      <c r="D51" s="114">
        <v>0.08</v>
      </c>
      <c r="E51" s="114">
        <v>0.08</v>
      </c>
      <c r="F51" s="114">
        <v>0.08</v>
      </c>
      <c r="G51" s="114">
        <v>0.09</v>
      </c>
      <c r="H51" s="114">
        <v>0.08</v>
      </c>
      <c r="I51" s="114">
        <v>0.08</v>
      </c>
      <c r="J51" s="114">
        <v>0.08</v>
      </c>
      <c r="K51" s="114">
        <v>0.1</v>
      </c>
      <c r="L51" s="114">
        <v>0.1</v>
      </c>
      <c r="M51" s="114">
        <v>0.11</v>
      </c>
      <c r="N51" s="114">
        <v>1</v>
      </c>
      <c r="O51" s="83"/>
      <c r="P51" s="98" t="s">
        <v>33</v>
      </c>
      <c r="Q51" s="115">
        <v>0.22</v>
      </c>
      <c r="R51" s="115">
        <v>0.25</v>
      </c>
      <c r="S51" s="115">
        <v>0.23</v>
      </c>
      <c r="T51" s="115">
        <v>0.3</v>
      </c>
      <c r="U51" s="114">
        <v>1</v>
      </c>
    </row>
    <row r="52" spans="1:21" x14ac:dyDescent="0.2">
      <c r="A52" s="98" t="s">
        <v>34</v>
      </c>
      <c r="B52" s="114">
        <v>7.0000000000000007E-2</v>
      </c>
      <c r="C52" s="114">
        <v>7.0000000000000007E-2</v>
      </c>
      <c r="D52" s="114">
        <v>0.08</v>
      </c>
      <c r="E52" s="114">
        <v>0.08</v>
      </c>
      <c r="F52" s="114">
        <v>0.08</v>
      </c>
      <c r="G52" s="114">
        <v>0.09</v>
      </c>
      <c r="H52" s="114">
        <v>0.08</v>
      </c>
      <c r="I52" s="114">
        <v>0.08</v>
      </c>
      <c r="J52" s="114">
        <v>0.08</v>
      </c>
      <c r="K52" s="114">
        <v>0.1</v>
      </c>
      <c r="L52" s="114">
        <v>0.1</v>
      </c>
      <c r="M52" s="114">
        <v>0.11</v>
      </c>
      <c r="N52" s="114">
        <v>1</v>
      </c>
      <c r="O52" s="83"/>
      <c r="P52" s="98" t="s">
        <v>34</v>
      </c>
      <c r="Q52" s="115">
        <v>0.22</v>
      </c>
      <c r="R52" s="115">
        <v>0.25</v>
      </c>
      <c r="S52" s="115">
        <v>0.23</v>
      </c>
      <c r="T52" s="115">
        <v>0.3</v>
      </c>
      <c r="U52" s="114">
        <v>1</v>
      </c>
    </row>
    <row r="53" spans="1:21" x14ac:dyDescent="0.2">
      <c r="A53" s="98" t="s">
        <v>35</v>
      </c>
      <c r="B53" s="114">
        <v>0.08</v>
      </c>
      <c r="C53" s="114">
        <v>0.08</v>
      </c>
      <c r="D53" s="114">
        <v>0.09</v>
      </c>
      <c r="E53" s="114">
        <v>0.08</v>
      </c>
      <c r="F53" s="114">
        <v>0.08</v>
      </c>
      <c r="G53" s="114">
        <v>0.09</v>
      </c>
      <c r="H53" s="114">
        <v>0.08</v>
      </c>
      <c r="I53" s="114">
        <v>0.08</v>
      </c>
      <c r="J53" s="114">
        <v>0.08</v>
      </c>
      <c r="K53" s="114">
        <v>0.08</v>
      </c>
      <c r="L53" s="114">
        <v>0.09</v>
      </c>
      <c r="M53" s="114">
        <v>0.1</v>
      </c>
      <c r="N53" s="114">
        <v>1</v>
      </c>
      <c r="O53" s="83"/>
      <c r="P53" s="98" t="s">
        <v>35</v>
      </c>
      <c r="Q53" s="115">
        <v>0.25</v>
      </c>
      <c r="R53" s="115">
        <v>0.25</v>
      </c>
      <c r="S53" s="115">
        <v>0.24</v>
      </c>
      <c r="T53" s="115">
        <v>0.27</v>
      </c>
      <c r="U53" s="114">
        <v>1</v>
      </c>
    </row>
    <row r="54" spans="1:21" x14ac:dyDescent="0.2">
      <c r="A54" s="116" t="s">
        <v>42</v>
      </c>
      <c r="B54" s="117">
        <v>7.0999999999999994E-2</v>
      </c>
      <c r="C54" s="117">
        <v>7.0999999999999994E-2</v>
      </c>
      <c r="D54" s="117">
        <v>8.1000000000000003E-2</v>
      </c>
      <c r="E54" s="117">
        <v>7.9000000000000001E-2</v>
      </c>
      <c r="F54" s="117">
        <v>7.9000000000000001E-2</v>
      </c>
      <c r="G54" s="117">
        <v>0.09</v>
      </c>
      <c r="H54" s="117">
        <v>7.4999999999999997E-2</v>
      </c>
      <c r="I54" s="117">
        <v>7.5999999999999998E-2</v>
      </c>
      <c r="J54" s="117">
        <v>0.08</v>
      </c>
      <c r="K54" s="117">
        <v>9.4E-2</v>
      </c>
      <c r="L54" s="117">
        <v>9.5000000000000001E-2</v>
      </c>
      <c r="M54" s="117">
        <v>0.108</v>
      </c>
      <c r="N54" s="118">
        <v>1</v>
      </c>
      <c r="O54" s="83"/>
      <c r="P54" s="116" t="s">
        <v>42</v>
      </c>
      <c r="Q54" s="117">
        <v>7.0999999999999994E-2</v>
      </c>
      <c r="R54" s="117">
        <v>7.0999999999999994E-2</v>
      </c>
      <c r="S54" s="117">
        <v>8.1000000000000003E-2</v>
      </c>
      <c r="T54" s="117">
        <v>7.9000000000000001E-2</v>
      </c>
      <c r="U54" s="118">
        <v>1</v>
      </c>
    </row>
  </sheetData>
  <mergeCells count="5">
    <mergeCell ref="A1:J1"/>
    <mergeCell ref="A12:N12"/>
    <mergeCell ref="P12:U12"/>
    <mergeCell ref="A44:N44"/>
    <mergeCell ref="P44:U44"/>
  </mergeCells>
  <pageMargins left="0.7" right="0.7" top="0.75" bottom="0.75" header="0.3" footer="0.3"/>
  <ignoredErrors>
    <ignoredError sqref="Q40:U4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D3A5-CE0A-DC40-AEE4-7392BF6815CE}">
  <dimension ref="A1:T127"/>
  <sheetViews>
    <sheetView showGridLines="0" topLeftCell="A32" zoomScale="120" zoomScaleNormal="120" workbookViewId="0">
      <selection activeCell="H45" sqref="H45"/>
    </sheetView>
  </sheetViews>
  <sheetFormatPr baseColWidth="10" defaultColWidth="11.5" defaultRowHeight="14" x14ac:dyDescent="0.2"/>
  <cols>
    <col min="1" max="1" width="26.5" style="178" customWidth="1"/>
    <col min="2" max="10" width="9.1640625" style="178" customWidth="1"/>
    <col min="11" max="11" width="2.83203125" style="178" customWidth="1"/>
    <col min="12" max="12" width="22.33203125" style="178" bestFit="1" customWidth="1"/>
    <col min="13" max="13" width="7.5" style="178" bestFit="1" customWidth="1"/>
    <col min="14" max="14" width="11.1640625" style="178" bestFit="1" customWidth="1"/>
    <col min="15" max="15" width="10.1640625" style="178" bestFit="1" customWidth="1"/>
    <col min="16" max="16" width="11.1640625" style="178" bestFit="1" customWidth="1"/>
    <col min="17" max="20" width="10.1640625" style="178" bestFit="1" customWidth="1"/>
    <col min="21" max="21" width="11.1640625" style="178" bestFit="1" customWidth="1"/>
    <col min="22" max="22" width="10.1640625" style="178" bestFit="1" customWidth="1"/>
    <col min="23" max="23" width="11.1640625" style="178" bestFit="1" customWidth="1"/>
    <col min="24" max="16384" width="11.5" style="178"/>
  </cols>
  <sheetData>
    <row r="1" spans="1:10" x14ac:dyDescent="0.2">
      <c r="A1" s="176" t="s">
        <v>93</v>
      </c>
      <c r="B1" s="177">
        <v>0.3</v>
      </c>
    </row>
    <row r="2" spans="1:10" x14ac:dyDescent="0.2">
      <c r="G2" s="174"/>
    </row>
    <row r="3" spans="1:10" x14ac:dyDescent="0.2">
      <c r="B3" s="174"/>
      <c r="C3" s="174"/>
      <c r="D3" s="174"/>
      <c r="E3" s="174"/>
      <c r="F3" s="174"/>
    </row>
    <row r="4" spans="1:10" x14ac:dyDescent="0.2">
      <c r="A4" s="388" t="s">
        <v>94</v>
      </c>
      <c r="B4" s="388"/>
      <c r="C4" s="388"/>
      <c r="D4" s="388"/>
      <c r="E4" s="388"/>
      <c r="F4" s="388"/>
      <c r="G4" s="388"/>
      <c r="H4" s="388"/>
      <c r="I4" s="388"/>
      <c r="J4" s="388"/>
    </row>
    <row r="5" spans="1:10" ht="45" x14ac:dyDescent="0.2">
      <c r="A5" s="179" t="s">
        <v>75</v>
      </c>
      <c r="B5" s="179" t="s">
        <v>95</v>
      </c>
      <c r="C5" s="179" t="s">
        <v>96</v>
      </c>
      <c r="D5" s="179" t="s">
        <v>97</v>
      </c>
      <c r="E5" s="179" t="s">
        <v>98</v>
      </c>
      <c r="F5" s="179" t="s">
        <v>99</v>
      </c>
      <c r="G5" s="179" t="s">
        <v>93</v>
      </c>
      <c r="H5" s="180" t="s">
        <v>100</v>
      </c>
      <c r="I5" s="180" t="s">
        <v>101</v>
      </c>
      <c r="J5" s="179" t="s">
        <v>102</v>
      </c>
    </row>
    <row r="6" spans="1:10" x14ac:dyDescent="0.2">
      <c r="A6" s="178" t="s">
        <v>25</v>
      </c>
      <c r="B6" s="174">
        <v>70053607</v>
      </c>
      <c r="C6" s="174">
        <v>143242813</v>
      </c>
      <c r="D6" s="174">
        <f t="shared" ref="D6:D12" si="0">B6+C6</f>
        <v>213296420</v>
      </c>
      <c r="E6" s="181">
        <v>0.4</v>
      </c>
      <c r="F6" s="174">
        <f t="shared" ref="F6:F13" si="1">B6*(1+E6)</f>
        <v>98075049.799999997</v>
      </c>
      <c r="G6" s="174">
        <f t="shared" ref="G6:G11" si="2">C6*(1+$B$1)</f>
        <v>186215656.90000001</v>
      </c>
      <c r="H6" s="172">
        <f t="shared" ref="H6:H13" si="3">F6+G6</f>
        <v>284290706.69999999</v>
      </c>
      <c r="I6" s="182">
        <f>H6/D6-1</f>
        <v>0.33284331120044119</v>
      </c>
      <c r="J6" s="183">
        <f t="shared" ref="J6:J14" si="4">H6/$H$14</f>
        <v>0.4236821263707764</v>
      </c>
    </row>
    <row r="7" spans="1:10" x14ac:dyDescent="0.2">
      <c r="A7" s="178" t="s">
        <v>29</v>
      </c>
      <c r="B7" s="174">
        <v>25018010.299999997</v>
      </c>
      <c r="C7" s="174">
        <v>19223724.843200002</v>
      </c>
      <c r="D7" s="174">
        <f t="shared" si="0"/>
        <v>44241735.143199995</v>
      </c>
      <c r="E7" s="181">
        <v>0.4</v>
      </c>
      <c r="F7" s="174">
        <f t="shared" si="1"/>
        <v>35025214.419999994</v>
      </c>
      <c r="G7" s="174">
        <f t="shared" si="2"/>
        <v>24990842.296160005</v>
      </c>
      <c r="H7" s="172">
        <f t="shared" si="3"/>
        <v>60016056.716159999</v>
      </c>
      <c r="I7" s="182">
        <f t="shared" ref="I7:I13" si="5">H7/D7-1</f>
        <v>0.35654843829931782</v>
      </c>
      <c r="J7" s="183">
        <f t="shared" si="4"/>
        <v>8.9442707505471147E-2</v>
      </c>
    </row>
    <row r="8" spans="1:10" x14ac:dyDescent="0.2">
      <c r="A8" s="178" t="s">
        <v>27</v>
      </c>
      <c r="B8" s="174">
        <v>13752678</v>
      </c>
      <c r="C8" s="174">
        <v>13930924</v>
      </c>
      <c r="D8" s="174">
        <f t="shared" si="0"/>
        <v>27683602</v>
      </c>
      <c r="E8" s="181">
        <v>2</v>
      </c>
      <c r="F8" s="174">
        <f t="shared" si="1"/>
        <v>41258034</v>
      </c>
      <c r="G8" s="174">
        <f t="shared" si="2"/>
        <v>18110201.199999999</v>
      </c>
      <c r="H8" s="172">
        <f t="shared" si="3"/>
        <v>59368235.200000003</v>
      </c>
      <c r="I8" s="182">
        <f t="shared" si="5"/>
        <v>1.1445271175333325</v>
      </c>
      <c r="J8" s="183">
        <f t="shared" si="4"/>
        <v>8.8477250700141785E-2</v>
      </c>
    </row>
    <row r="9" spans="1:10" x14ac:dyDescent="0.2">
      <c r="A9" s="178" t="s">
        <v>69</v>
      </c>
      <c r="B9" s="174">
        <v>8415735.7799999993</v>
      </c>
      <c r="C9" s="174">
        <v>4773940.58</v>
      </c>
      <c r="D9" s="174">
        <f t="shared" si="0"/>
        <v>13189676.359999999</v>
      </c>
      <c r="E9" s="181">
        <v>1.5</v>
      </c>
      <c r="F9" s="174">
        <f>B9*(1+E9)-3687107</f>
        <v>17352232.449999999</v>
      </c>
      <c r="G9" s="174">
        <f t="shared" si="2"/>
        <v>6206122.7540000007</v>
      </c>
      <c r="H9" s="172">
        <f t="shared" si="3"/>
        <v>23558355.204</v>
      </c>
      <c r="I9" s="182">
        <f t="shared" si="5"/>
        <v>0.78612079333840468</v>
      </c>
      <c r="J9" s="183">
        <f t="shared" si="4"/>
        <v>3.5109322223330935E-2</v>
      </c>
    </row>
    <row r="10" spans="1:10" x14ac:dyDescent="0.2">
      <c r="A10" s="178" t="s">
        <v>32</v>
      </c>
      <c r="B10" s="174">
        <v>3806445</v>
      </c>
      <c r="C10" s="174">
        <v>2987175.04</v>
      </c>
      <c r="D10" s="174">
        <f t="shared" si="0"/>
        <v>6793620.04</v>
      </c>
      <c r="E10" s="181">
        <v>0.5</v>
      </c>
      <c r="F10" s="174">
        <f t="shared" si="1"/>
        <v>5709667.5</v>
      </c>
      <c r="G10" s="174">
        <f t="shared" si="2"/>
        <v>3883327.5520000001</v>
      </c>
      <c r="H10" s="172">
        <f t="shared" si="3"/>
        <v>9592995.0520000011</v>
      </c>
      <c r="I10" s="182">
        <f t="shared" si="5"/>
        <v>0.41205940213282832</v>
      </c>
      <c r="J10" s="183">
        <f t="shared" si="4"/>
        <v>1.4296564910877186E-2</v>
      </c>
    </row>
    <row r="11" spans="1:10" x14ac:dyDescent="0.2">
      <c r="A11" s="178" t="s">
        <v>34</v>
      </c>
      <c r="B11" s="174">
        <v>690653.09318800026</v>
      </c>
      <c r="C11" s="174">
        <v>48585094.599262007</v>
      </c>
      <c r="D11" s="174">
        <f t="shared" si="0"/>
        <v>49275747.692450009</v>
      </c>
      <c r="E11" s="181">
        <v>10</v>
      </c>
      <c r="F11" s="174">
        <f t="shared" si="1"/>
        <v>7597184.0250680028</v>
      </c>
      <c r="G11" s="174">
        <f t="shared" si="2"/>
        <v>63160622.979040608</v>
      </c>
      <c r="H11" s="172">
        <f t="shared" si="3"/>
        <v>70757807.004108608</v>
      </c>
      <c r="I11" s="182">
        <f t="shared" si="5"/>
        <v>0.43595602943940848</v>
      </c>
      <c r="J11" s="183">
        <f t="shared" si="4"/>
        <v>0.10545127723949534</v>
      </c>
    </row>
    <row r="12" spans="1:10" x14ac:dyDescent="0.2">
      <c r="A12" s="178" t="s">
        <v>53</v>
      </c>
      <c r="B12" s="174">
        <v>25326464</v>
      </c>
      <c r="C12" s="174"/>
      <c r="D12" s="174">
        <f t="shared" si="0"/>
        <v>25326464</v>
      </c>
      <c r="E12" s="181">
        <v>2</v>
      </c>
      <c r="F12" s="174">
        <f>B12*(1+E12)+71000000</f>
        <v>146979392</v>
      </c>
      <c r="G12" s="174">
        <f>C12*(1+40%)</f>
        <v>0</v>
      </c>
      <c r="H12" s="172">
        <f t="shared" si="3"/>
        <v>146979392</v>
      </c>
      <c r="I12" s="182">
        <f t="shared" si="5"/>
        <v>4.8033917407499125</v>
      </c>
      <c r="J12" s="183">
        <f t="shared" si="4"/>
        <v>0.21904529366469047</v>
      </c>
    </row>
    <row r="13" spans="1:10" x14ac:dyDescent="0.2">
      <c r="A13" s="178" t="s">
        <v>54</v>
      </c>
      <c r="B13" s="174">
        <v>4980743</v>
      </c>
      <c r="C13" s="174"/>
      <c r="D13" s="174">
        <v>4980743</v>
      </c>
      <c r="E13" s="181">
        <v>2.2999999999999998</v>
      </c>
      <c r="F13" s="174">
        <f t="shared" si="1"/>
        <v>16436451.899999999</v>
      </c>
      <c r="G13" s="174">
        <f>C13*(1+40%)</f>
        <v>0</v>
      </c>
      <c r="H13" s="172">
        <f t="shared" si="3"/>
        <v>16436451.899999999</v>
      </c>
      <c r="I13" s="182">
        <f t="shared" si="5"/>
        <v>2.2999999999999998</v>
      </c>
      <c r="J13" s="183">
        <f t="shared" si="4"/>
        <v>2.4495457385216694E-2</v>
      </c>
    </row>
    <row r="14" spans="1:10" x14ac:dyDescent="0.2">
      <c r="A14" s="184" t="s">
        <v>56</v>
      </c>
      <c r="B14" s="185">
        <f>SUM(B6:B13)</f>
        <v>152044336.173188</v>
      </c>
      <c r="C14" s="185">
        <f>SUM(C6:C13)</f>
        <v>232743672.062462</v>
      </c>
      <c r="D14" s="185">
        <f>SUM(D6:D13)</f>
        <v>384788008.23565</v>
      </c>
      <c r="E14" s="185"/>
      <c r="F14" s="185">
        <f>SUM(F6:F13)</f>
        <v>368433226.09506798</v>
      </c>
      <c r="G14" s="185">
        <f>SUM(G6:G13)</f>
        <v>302566773.68120062</v>
      </c>
      <c r="H14" s="168">
        <f>SUM(H6:H13)</f>
        <v>670999999.7762686</v>
      </c>
      <c r="I14" s="186">
        <f>H14/D14-1</f>
        <v>0.74381733685769658</v>
      </c>
      <c r="J14" s="187">
        <f t="shared" si="4"/>
        <v>1</v>
      </c>
    </row>
    <row r="15" spans="1:10" x14ac:dyDescent="0.2">
      <c r="H15" s="171"/>
      <c r="J15" s="174"/>
    </row>
    <row r="16" spans="1:10" x14ac:dyDescent="0.2">
      <c r="A16" s="388" t="s">
        <v>103</v>
      </c>
      <c r="B16" s="388"/>
      <c r="C16" s="388"/>
      <c r="D16" s="388"/>
      <c r="E16" s="388"/>
      <c r="F16" s="388"/>
      <c r="G16" s="388"/>
      <c r="H16" s="388"/>
      <c r="I16" s="388"/>
      <c r="J16" s="388"/>
    </row>
    <row r="17" spans="1:20" ht="15" x14ac:dyDescent="0.2">
      <c r="A17" s="188" t="s">
        <v>75</v>
      </c>
      <c r="B17" s="189" t="s">
        <v>25</v>
      </c>
      <c r="C17" s="189" t="s">
        <v>29</v>
      </c>
      <c r="D17" s="189" t="s">
        <v>27</v>
      </c>
      <c r="E17" s="189" t="s">
        <v>69</v>
      </c>
      <c r="F17" s="189" t="s">
        <v>32</v>
      </c>
      <c r="G17" s="189" t="s">
        <v>34</v>
      </c>
      <c r="H17" s="189" t="s">
        <v>53</v>
      </c>
      <c r="I17" s="189" t="s">
        <v>54</v>
      </c>
      <c r="J17" s="189" t="s">
        <v>56</v>
      </c>
    </row>
    <row r="18" spans="1:20" ht="15" x14ac:dyDescent="0.2">
      <c r="A18" s="190" t="s">
        <v>95</v>
      </c>
      <c r="B18" s="191">
        <v>70053.607000000004</v>
      </c>
      <c r="C18" s="191">
        <v>25018.010299999998</v>
      </c>
      <c r="D18" s="191">
        <v>13752.678</v>
      </c>
      <c r="E18" s="191">
        <v>8415.7357799999991</v>
      </c>
      <c r="F18" s="191">
        <v>3806.4450000000002</v>
      </c>
      <c r="G18" s="191">
        <v>690.6530931880003</v>
      </c>
      <c r="H18" s="191">
        <v>25326.464</v>
      </c>
      <c r="I18" s="191">
        <v>4980.7430000000004</v>
      </c>
      <c r="J18" s="191">
        <f>SUM(B18:I18)</f>
        <v>152044.336173188</v>
      </c>
    </row>
    <row r="19" spans="1:20" ht="15" x14ac:dyDescent="0.2">
      <c r="A19" s="190" t="s">
        <v>96</v>
      </c>
      <c r="B19" s="191">
        <v>143242.81299999999</v>
      </c>
      <c r="C19" s="191">
        <v>19223.724843200001</v>
      </c>
      <c r="D19" s="191">
        <v>13930.924000000001</v>
      </c>
      <c r="E19" s="191">
        <v>4773.9405800000004</v>
      </c>
      <c r="F19" s="191">
        <v>2987.1750400000001</v>
      </c>
      <c r="G19" s="191">
        <v>48585.094599262004</v>
      </c>
      <c r="H19" s="191">
        <v>0</v>
      </c>
      <c r="I19" s="191">
        <v>0</v>
      </c>
      <c r="J19" s="191">
        <f>SUM(B19:I19)</f>
        <v>232743.67206246199</v>
      </c>
    </row>
    <row r="20" spans="1:20" ht="15" x14ac:dyDescent="0.2">
      <c r="A20" s="190" t="s">
        <v>97</v>
      </c>
      <c r="B20" s="191">
        <f>(B18+B19)</f>
        <v>213296.41999999998</v>
      </c>
      <c r="C20" s="191">
        <f t="shared" ref="C20:I20" si="6">(C18+C19)</f>
        <v>44241.7351432</v>
      </c>
      <c r="D20" s="191">
        <f t="shared" si="6"/>
        <v>27683.601999999999</v>
      </c>
      <c r="E20" s="191">
        <f t="shared" si="6"/>
        <v>13189.676359999999</v>
      </c>
      <c r="F20" s="191">
        <f t="shared" si="6"/>
        <v>6793.6200399999998</v>
      </c>
      <c r="G20" s="191">
        <f t="shared" si="6"/>
        <v>49275.747692450001</v>
      </c>
      <c r="H20" s="191">
        <f t="shared" si="6"/>
        <v>25326.464</v>
      </c>
      <c r="I20" s="191">
        <f t="shared" si="6"/>
        <v>4980.7430000000004</v>
      </c>
      <c r="J20" s="191">
        <f>SUM(B20:I20)</f>
        <v>384788.00823564996</v>
      </c>
    </row>
    <row r="21" spans="1:20" x14ac:dyDescent="0.2">
      <c r="A21" s="174"/>
      <c r="B21" s="174"/>
      <c r="C21" s="174"/>
      <c r="D21" s="174"/>
      <c r="E21" s="174"/>
      <c r="F21" s="174"/>
      <c r="G21" s="174"/>
      <c r="H21" s="174"/>
      <c r="I21" s="174"/>
      <c r="J21" s="174"/>
      <c r="K21" s="174"/>
    </row>
    <row r="22" spans="1:20" ht="15" x14ac:dyDescent="0.2">
      <c r="A22" s="188" t="s">
        <v>98</v>
      </c>
      <c r="B22" s="192">
        <v>0.4</v>
      </c>
      <c r="C22" s="192">
        <v>0.4</v>
      </c>
      <c r="D22" s="192">
        <v>2</v>
      </c>
      <c r="E22" s="192">
        <v>1.5</v>
      </c>
      <c r="F22" s="192">
        <v>0.5</v>
      </c>
      <c r="G22" s="192">
        <v>10</v>
      </c>
      <c r="H22" s="192">
        <v>2</v>
      </c>
      <c r="I22" s="192">
        <v>2.2999999999999998</v>
      </c>
      <c r="J22" s="185"/>
    </row>
    <row r="23" spans="1:20" ht="15" x14ac:dyDescent="0.2">
      <c r="A23" s="188" t="s">
        <v>104</v>
      </c>
      <c r="B23" s="192">
        <v>0.3</v>
      </c>
      <c r="C23" s="192">
        <f>B23</f>
        <v>0.3</v>
      </c>
      <c r="D23" s="192">
        <f t="shared" ref="D23:I23" si="7">C23</f>
        <v>0.3</v>
      </c>
      <c r="E23" s="192">
        <f t="shared" si="7"/>
        <v>0.3</v>
      </c>
      <c r="F23" s="192">
        <f t="shared" si="7"/>
        <v>0.3</v>
      </c>
      <c r="G23" s="192">
        <f t="shared" si="7"/>
        <v>0.3</v>
      </c>
      <c r="H23" s="192">
        <f t="shared" si="7"/>
        <v>0.3</v>
      </c>
      <c r="I23" s="192">
        <f t="shared" si="7"/>
        <v>0.3</v>
      </c>
      <c r="J23" s="185"/>
    </row>
    <row r="24" spans="1:20" ht="15" x14ac:dyDescent="0.2">
      <c r="A24" s="188" t="s">
        <v>99</v>
      </c>
      <c r="B24" s="185">
        <f t="shared" ref="B24:D25" si="8">(B18*(1+B22))*1000</f>
        <v>98075049.799999997</v>
      </c>
      <c r="C24" s="185">
        <f t="shared" si="8"/>
        <v>35025214.419999994</v>
      </c>
      <c r="D24" s="185">
        <f t="shared" si="8"/>
        <v>41258034</v>
      </c>
      <c r="E24" s="185">
        <f>(E18*(1+E22)-3687)*1000</f>
        <v>17352339.449999999</v>
      </c>
      <c r="F24" s="185">
        <f>(F18*(1+F22))*1000</f>
        <v>5709667.5000000009</v>
      </c>
      <c r="G24" s="185">
        <f>(G18*(1+G22))*1000</f>
        <v>7597184.0250680037</v>
      </c>
      <c r="H24" s="185">
        <f>(H18*(1+H22)+71000)*1000</f>
        <v>146979392</v>
      </c>
      <c r="I24" s="185">
        <f>(I18*(1+I22))*1000</f>
        <v>16436451.9</v>
      </c>
      <c r="J24" s="185">
        <f>SUM(B24:I24)</f>
        <v>368433333.09506798</v>
      </c>
    </row>
    <row r="25" spans="1:20" ht="15" x14ac:dyDescent="0.2">
      <c r="A25" s="188" t="s">
        <v>93</v>
      </c>
      <c r="B25" s="185">
        <f t="shared" si="8"/>
        <v>186215656.90000001</v>
      </c>
      <c r="C25" s="185">
        <f t="shared" si="8"/>
        <v>24990842.296160005</v>
      </c>
      <c r="D25" s="185">
        <f t="shared" si="8"/>
        <v>18110201.200000003</v>
      </c>
      <c r="E25" s="185">
        <f>(E19*(1+E23))*1000</f>
        <v>6206122.7540000007</v>
      </c>
      <c r="F25" s="185">
        <f>(F19*(1+F23))*1000</f>
        <v>3883327.5520000001</v>
      </c>
      <c r="G25" s="185">
        <f>(G19*(1+G23))*1000</f>
        <v>63160622.979040608</v>
      </c>
      <c r="H25" s="185">
        <f>(H19*(1+H23))*1000</f>
        <v>0</v>
      </c>
      <c r="I25" s="185">
        <f>(I19*(1+I23))*1000</f>
        <v>0</v>
      </c>
      <c r="J25" s="185">
        <f>SUM(B25:I25)</f>
        <v>302566773.68120062</v>
      </c>
    </row>
    <row r="26" spans="1:20" ht="15" x14ac:dyDescent="0.2">
      <c r="A26" s="193" t="s">
        <v>100</v>
      </c>
      <c r="B26" s="194">
        <f t="shared" ref="B26:I26" si="9">B24+B25</f>
        <v>284290706.69999999</v>
      </c>
      <c r="C26" s="194">
        <f t="shared" si="9"/>
        <v>60016056.716159999</v>
      </c>
      <c r="D26" s="194">
        <f t="shared" si="9"/>
        <v>59368235.200000003</v>
      </c>
      <c r="E26" s="194">
        <f t="shared" si="9"/>
        <v>23558462.204</v>
      </c>
      <c r="F26" s="194">
        <f t="shared" si="9"/>
        <v>9592995.0520000011</v>
      </c>
      <c r="G26" s="194">
        <f t="shared" si="9"/>
        <v>70757807.004108608</v>
      </c>
      <c r="H26" s="194">
        <f t="shared" si="9"/>
        <v>146979392</v>
      </c>
      <c r="I26" s="194">
        <f t="shared" si="9"/>
        <v>16436451.9</v>
      </c>
      <c r="J26" s="194">
        <f>SUM(B26:I26)</f>
        <v>671000106.7762686</v>
      </c>
    </row>
    <row r="27" spans="1:20" ht="15" x14ac:dyDescent="0.2">
      <c r="A27" s="167" t="s">
        <v>105</v>
      </c>
      <c r="B27" s="195">
        <f>B26/$J$26</f>
        <v>0.42368205880895776</v>
      </c>
      <c r="C27" s="195">
        <f t="shared" ref="C27:I27" si="10">C26/$J$26</f>
        <v>8.9442693242627366E-2</v>
      </c>
      <c r="D27" s="195">
        <f t="shared" si="10"/>
        <v>8.8477236591253089E-2</v>
      </c>
      <c r="E27" s="195">
        <f t="shared" si="10"/>
        <v>3.5109476088138823E-2</v>
      </c>
      <c r="F27" s="195">
        <f t="shared" si="10"/>
        <v>1.4296562631097451E-2</v>
      </c>
      <c r="G27" s="195">
        <f t="shared" si="10"/>
        <v>0.1054512604238696</v>
      </c>
      <c r="H27" s="195">
        <f t="shared" si="10"/>
        <v>0.21904525873496963</v>
      </c>
      <c r="I27" s="195">
        <f t="shared" si="10"/>
        <v>2.4495453479086261E-2</v>
      </c>
      <c r="J27" s="168"/>
    </row>
    <row r="29" spans="1:20" ht="16" x14ac:dyDescent="0.2">
      <c r="A29" s="389" t="s">
        <v>74</v>
      </c>
      <c r="B29" s="389"/>
      <c r="C29" s="389"/>
      <c r="D29" s="389"/>
      <c r="E29" s="389"/>
      <c r="F29" s="389"/>
      <c r="G29" s="389"/>
      <c r="H29" s="389"/>
      <c r="I29" s="389"/>
      <c r="J29" s="389"/>
      <c r="L29" s="376" t="s">
        <v>74</v>
      </c>
      <c r="M29" s="376"/>
      <c r="N29" s="376"/>
      <c r="O29" s="376"/>
      <c r="P29" s="376"/>
      <c r="Q29" s="376"/>
      <c r="R29" s="376"/>
      <c r="S29" s="376"/>
      <c r="T29" s="376"/>
    </row>
    <row r="30" spans="1:20" ht="17" x14ac:dyDescent="0.2">
      <c r="A30" s="165" t="s">
        <v>75</v>
      </c>
      <c r="B30" s="166" t="s">
        <v>25</v>
      </c>
      <c r="C30" s="166" t="s">
        <v>29</v>
      </c>
      <c r="D30" s="166" t="s">
        <v>27</v>
      </c>
      <c r="E30" s="166" t="s">
        <v>69</v>
      </c>
      <c r="F30" s="166" t="s">
        <v>32</v>
      </c>
      <c r="G30" s="166" t="s">
        <v>34</v>
      </c>
      <c r="H30" s="166" t="s">
        <v>53</v>
      </c>
      <c r="I30" s="166" t="s">
        <v>54</v>
      </c>
      <c r="J30" s="166" t="s">
        <v>56</v>
      </c>
      <c r="L30" s="236" t="s">
        <v>75</v>
      </c>
      <c r="M30" s="237" t="s">
        <v>25</v>
      </c>
      <c r="N30" s="237" t="s">
        <v>29</v>
      </c>
      <c r="O30" s="237" t="s">
        <v>27</v>
      </c>
      <c r="P30" s="237" t="s">
        <v>69</v>
      </c>
      <c r="Q30" s="237" t="s">
        <v>32</v>
      </c>
      <c r="R30" s="237" t="s">
        <v>34</v>
      </c>
      <c r="S30" s="237" t="s">
        <v>53</v>
      </c>
      <c r="T30" s="237" t="s">
        <v>54</v>
      </c>
    </row>
    <row r="31" spans="1:20" s="171" customFormat="1" ht="34" x14ac:dyDescent="0.2">
      <c r="A31" s="167" t="s">
        <v>76</v>
      </c>
      <c r="B31" s="168">
        <f t="shared" ref="B31:J31" si="11">B35+B59</f>
        <v>282952.25079999998</v>
      </c>
      <c r="C31" s="168">
        <f t="shared" si="11"/>
        <v>57709.2448</v>
      </c>
      <c r="D31" s="168">
        <f t="shared" si="11"/>
        <v>59936.679362505973</v>
      </c>
      <c r="E31" s="168">
        <f t="shared" si="11"/>
        <v>25610.179825000003</v>
      </c>
      <c r="F31" s="168">
        <f t="shared" si="11"/>
        <v>5710</v>
      </c>
      <c r="G31" s="168">
        <f t="shared" si="11"/>
        <v>71971.589000000007</v>
      </c>
      <c r="H31" s="168">
        <f t="shared" si="11"/>
        <v>146979.39199999999</v>
      </c>
      <c r="I31" s="168">
        <f t="shared" si="11"/>
        <v>16436</v>
      </c>
      <c r="J31" s="168">
        <f t="shared" si="11"/>
        <v>667305.33578750608</v>
      </c>
      <c r="L31" s="234" t="s">
        <v>76</v>
      </c>
      <c r="M31" s="235">
        <f t="shared" ref="M31:T31" si="12">SUM(M32:M33)</f>
        <v>1</v>
      </c>
      <c r="N31" s="235">
        <f t="shared" si="12"/>
        <v>1</v>
      </c>
      <c r="O31" s="235">
        <f t="shared" si="12"/>
        <v>1</v>
      </c>
      <c r="P31" s="235">
        <f t="shared" si="12"/>
        <v>1</v>
      </c>
      <c r="Q31" s="235">
        <f t="shared" si="12"/>
        <v>1</v>
      </c>
      <c r="R31" s="235">
        <f t="shared" si="12"/>
        <v>0.99999999999999989</v>
      </c>
      <c r="S31" s="235">
        <f t="shared" si="12"/>
        <v>1</v>
      </c>
      <c r="T31" s="235">
        <f t="shared" si="12"/>
        <v>1</v>
      </c>
    </row>
    <row r="32" spans="1:20" s="173" customFormat="1" ht="16" x14ac:dyDescent="0.2">
      <c r="A32" s="169" t="s">
        <v>26</v>
      </c>
      <c r="B32" s="170">
        <f t="shared" ref="B32:I33" si="13">B37+B40+B43+B46+B49+B52+B67+B61+B64</f>
        <v>105080</v>
      </c>
      <c r="C32" s="170">
        <f t="shared" si="13"/>
        <v>41258.081599999998</v>
      </c>
      <c r="D32" s="170">
        <f t="shared" si="13"/>
        <v>37527</v>
      </c>
      <c r="E32" s="170">
        <f t="shared" si="13"/>
        <v>25247.208000000002</v>
      </c>
      <c r="F32" s="170">
        <f t="shared" si="13"/>
        <v>5710</v>
      </c>
      <c r="G32" s="170">
        <f t="shared" si="13"/>
        <v>7597</v>
      </c>
      <c r="H32" s="170">
        <f t="shared" si="13"/>
        <v>111000</v>
      </c>
      <c r="I32" s="170">
        <f t="shared" si="13"/>
        <v>16436</v>
      </c>
      <c r="J32" s="170">
        <f>SUM(B32:I32)</f>
        <v>349855.28960000002</v>
      </c>
      <c r="K32" s="390"/>
      <c r="L32" s="238" t="s">
        <v>26</v>
      </c>
      <c r="M32" s="329">
        <f>B32/$B$31</f>
        <v>0.37137007994424481</v>
      </c>
      <c r="N32" s="329">
        <f>C32/$C$31</f>
        <v>0.71493019433863736</v>
      </c>
      <c r="O32" s="329">
        <f>D32/$D$31</f>
        <v>0.62611076221008355</v>
      </c>
      <c r="P32" s="329">
        <f>E32/$E$31</f>
        <v>0.98582704895161744</v>
      </c>
      <c r="Q32" s="329">
        <f>F32/$F$31</f>
        <v>1</v>
      </c>
      <c r="R32" s="329">
        <f>G32/$G$31</f>
        <v>0.10555554081208349</v>
      </c>
      <c r="S32" s="329">
        <f>H32/$H$31</f>
        <v>0.75520791377338126</v>
      </c>
      <c r="T32" s="329">
        <f>I32/$I$31</f>
        <v>1</v>
      </c>
    </row>
    <row r="33" spans="1:20" s="173" customFormat="1" ht="16" x14ac:dyDescent="0.2">
      <c r="A33" s="169" t="s">
        <v>28</v>
      </c>
      <c r="B33" s="170">
        <f t="shared" si="13"/>
        <v>177872.25079999998</v>
      </c>
      <c r="C33" s="170">
        <f t="shared" si="13"/>
        <v>16451.163199999999</v>
      </c>
      <c r="D33" s="170">
        <f t="shared" si="13"/>
        <v>22409.679362505973</v>
      </c>
      <c r="E33" s="170">
        <f t="shared" si="13"/>
        <v>362.97182499999974</v>
      </c>
      <c r="F33" s="170">
        <f t="shared" si="13"/>
        <v>0</v>
      </c>
      <c r="G33" s="170">
        <f t="shared" si="13"/>
        <v>64374.589</v>
      </c>
      <c r="H33" s="170">
        <f t="shared" si="13"/>
        <v>35979.392</v>
      </c>
      <c r="I33" s="170">
        <f t="shared" si="13"/>
        <v>0</v>
      </c>
      <c r="J33" s="170">
        <f>SUM(B33:I33)</f>
        <v>317450.04618750594</v>
      </c>
      <c r="K33" s="390"/>
      <c r="L33" s="238" t="s">
        <v>28</v>
      </c>
      <c r="M33" s="329">
        <f>B33/$B$31</f>
        <v>0.62862992005575524</v>
      </c>
      <c r="N33" s="329">
        <f>C33/$C$31</f>
        <v>0.28506980566136259</v>
      </c>
      <c r="O33" s="329">
        <f>D33/$D$31</f>
        <v>0.37388923778991645</v>
      </c>
      <c r="P33" s="329">
        <f>E33/$E$31</f>
        <v>1.4172951048382563E-2</v>
      </c>
      <c r="Q33" s="329">
        <f>F33/$F$31</f>
        <v>0</v>
      </c>
      <c r="R33" s="329">
        <f>G33/$G$31</f>
        <v>0.89444445918791637</v>
      </c>
      <c r="S33" s="329">
        <f>H33/$H$31</f>
        <v>0.24479208622661877</v>
      </c>
      <c r="T33" s="329">
        <f>I33/$I$31</f>
        <v>0</v>
      </c>
    </row>
    <row r="34" spans="1:20" s="171" customFormat="1" ht="16" x14ac:dyDescent="0.2">
      <c r="B34" s="172"/>
      <c r="C34" s="172"/>
      <c r="D34" s="172"/>
      <c r="E34" s="172"/>
      <c r="F34" s="172"/>
      <c r="G34" s="172"/>
      <c r="H34" s="172"/>
      <c r="I34" s="172"/>
      <c r="L34" s="226"/>
      <c r="M34" s="218"/>
      <c r="N34" s="218"/>
      <c r="O34" s="218"/>
      <c r="P34" s="218"/>
      <c r="Q34" s="218"/>
      <c r="R34" s="218"/>
      <c r="S34" s="218"/>
      <c r="T34" s="218"/>
    </row>
    <row r="35" spans="1:20" s="171" customFormat="1" ht="17" x14ac:dyDescent="0.2">
      <c r="A35" s="167" t="s">
        <v>80</v>
      </c>
      <c r="B35" s="168">
        <f t="shared" ref="B35:I35" si="14">B36+B39+B42+B45+B48+B51</f>
        <v>264917</v>
      </c>
      <c r="C35" s="168">
        <f t="shared" si="14"/>
        <v>53391</v>
      </c>
      <c r="D35" s="168">
        <f t="shared" si="14"/>
        <v>59590.338562505975</v>
      </c>
      <c r="E35" s="168">
        <f t="shared" si="14"/>
        <v>25610.179825000003</v>
      </c>
      <c r="F35" s="168">
        <f t="shared" si="14"/>
        <v>5710</v>
      </c>
      <c r="G35" s="168">
        <f t="shared" si="14"/>
        <v>69326</v>
      </c>
      <c r="H35" s="168">
        <f t="shared" si="14"/>
        <v>71000</v>
      </c>
      <c r="I35" s="168">
        <f t="shared" si="14"/>
        <v>15936</v>
      </c>
      <c r="J35" s="168">
        <f>SUM(B35:I35)</f>
        <v>565480.51838750602</v>
      </c>
      <c r="L35" s="234" t="s">
        <v>80</v>
      </c>
      <c r="M35" s="235">
        <f t="shared" ref="M35:T35" si="15">B35/B31</f>
        <v>0.9362604441243767</v>
      </c>
      <c r="N35" s="235">
        <f t="shared" si="15"/>
        <v>0.92517239109668614</v>
      </c>
      <c r="O35" s="235">
        <f t="shared" si="15"/>
        <v>0.99422155508640586</v>
      </c>
      <c r="P35" s="235">
        <f t="shared" si="15"/>
        <v>1</v>
      </c>
      <c r="Q35" s="235">
        <f t="shared" si="15"/>
        <v>1</v>
      </c>
      <c r="R35" s="235">
        <f t="shared" si="15"/>
        <v>0.9632412034143083</v>
      </c>
      <c r="S35" s="332">
        <f t="shared" si="15"/>
        <v>0.48306091781900967</v>
      </c>
      <c r="T35" s="235">
        <f t="shared" si="15"/>
        <v>0.96957897298612805</v>
      </c>
    </row>
    <row r="36" spans="1:20" s="171" customFormat="1" ht="16" x14ac:dyDescent="0.2">
      <c r="A36" s="171" t="s">
        <v>62</v>
      </c>
      <c r="B36" s="172">
        <f t="shared" ref="B36:J36" si="16">SUM(B37:B38)</f>
        <v>98500</v>
      </c>
      <c r="C36" s="172">
        <f t="shared" si="16"/>
        <v>10000</v>
      </c>
      <c r="D36" s="172">
        <f t="shared" si="16"/>
        <v>20400</v>
      </c>
      <c r="E36" s="172">
        <f t="shared" si="16"/>
        <v>0</v>
      </c>
      <c r="F36" s="172">
        <f t="shared" si="16"/>
        <v>1010</v>
      </c>
      <c r="G36" s="172">
        <f t="shared" si="16"/>
        <v>35468</v>
      </c>
      <c r="H36" s="172">
        <f t="shared" si="16"/>
        <v>20000</v>
      </c>
      <c r="I36" s="172">
        <f t="shared" si="16"/>
        <v>4000</v>
      </c>
      <c r="J36" s="172">
        <f t="shared" si="16"/>
        <v>189378</v>
      </c>
      <c r="L36" s="226" t="s">
        <v>62</v>
      </c>
      <c r="M36" s="331">
        <f t="shared" ref="M36:T36" si="17">SUM(M37:M38)</f>
        <v>0.34811527288264288</v>
      </c>
      <c r="N36" s="331">
        <f t="shared" si="17"/>
        <v>0.17328246166894909</v>
      </c>
      <c r="O36" s="331">
        <f t="shared" si="17"/>
        <v>0.34035919602115022</v>
      </c>
      <c r="P36" s="331">
        <f t="shared" si="17"/>
        <v>0</v>
      </c>
      <c r="Q36" s="331">
        <f t="shared" si="17"/>
        <v>0.17688266199649738</v>
      </c>
      <c r="R36" s="331">
        <f t="shared" si="17"/>
        <v>0.49280557082045245</v>
      </c>
      <c r="S36" s="331">
        <f t="shared" si="17"/>
        <v>0.13607349797718582</v>
      </c>
      <c r="T36" s="331">
        <f t="shared" si="17"/>
        <v>0.24336821611097589</v>
      </c>
    </row>
    <row r="37" spans="1:20" s="173" customFormat="1" ht="16" x14ac:dyDescent="0.2">
      <c r="A37" s="169" t="s">
        <v>26</v>
      </c>
      <c r="B37" s="170">
        <f>'SatışEkibi YS-Yen. Hed - 600'!B37</f>
        <v>35000</v>
      </c>
      <c r="C37" s="170">
        <f>'SatışEkibi YS-Yen. Hed - 600'!C37</f>
        <v>10000</v>
      </c>
      <c r="D37" s="170">
        <f>'SatışEkibi YS-Yen. Hed - 600'!D37</f>
        <v>12000</v>
      </c>
      <c r="E37" s="170">
        <f>'SatışEkibi YS-Yen. Hed - 600'!E37</f>
        <v>0</v>
      </c>
      <c r="F37" s="170">
        <f>'SatışEkibi YS-Yen. Hed - 600'!F37</f>
        <v>1010</v>
      </c>
      <c r="G37" s="170">
        <f>'SatışEkibi YS-Yen. Hed - 600'!G37</f>
        <v>1000</v>
      </c>
      <c r="H37" s="170">
        <v>20000</v>
      </c>
      <c r="I37" s="170">
        <f>'SatışEkibi YS-Yen. Hed - 600'!I37</f>
        <v>4000</v>
      </c>
      <c r="J37" s="170">
        <f>SUM(B37:I37)</f>
        <v>83010</v>
      </c>
      <c r="L37" s="238" t="s">
        <v>26</v>
      </c>
      <c r="M37" s="330">
        <f>B37/$B$31</f>
        <v>0.12369578224256346</v>
      </c>
      <c r="N37" s="329">
        <f>C37/$C$31</f>
        <v>0.17328246166894909</v>
      </c>
      <c r="O37" s="330">
        <f>D37/$D$31</f>
        <v>0.20021129177714719</v>
      </c>
      <c r="P37" s="329">
        <f>E37/$E$31</f>
        <v>0</v>
      </c>
      <c r="Q37" s="329">
        <f>F37/$F$31</f>
        <v>0.17688266199649738</v>
      </c>
      <c r="R37" s="329">
        <f>G37/$G$31</f>
        <v>1.3894371569314662E-2</v>
      </c>
      <c r="S37" s="329">
        <f>H37/$H$31</f>
        <v>0.13607349797718582</v>
      </c>
      <c r="T37" s="329">
        <f>I37/$I$31</f>
        <v>0.24336821611097589</v>
      </c>
    </row>
    <row r="38" spans="1:20" s="173" customFormat="1" ht="16" x14ac:dyDescent="0.2">
      <c r="A38" s="169" t="s">
        <v>28</v>
      </c>
      <c r="B38" s="170">
        <f>'SatışEkibi YS-Yen. Hed - 600'!B38</f>
        <v>63500</v>
      </c>
      <c r="C38" s="170">
        <f>'SatışEkibi YS-Yen. Hed - 600'!C38</f>
        <v>0</v>
      </c>
      <c r="D38" s="170">
        <f>'SatışEkibi YS-Yen. Hed - 600'!D38</f>
        <v>8400</v>
      </c>
      <c r="E38" s="170">
        <f>'SatışEkibi YS-Yen. Hed - 600'!E38</f>
        <v>0</v>
      </c>
      <c r="F38" s="170">
        <f>'SatışEkibi YS-Yen. Hed - 600'!F38</f>
        <v>0</v>
      </c>
      <c r="G38" s="170">
        <f>'SatışEkibi YS-Yen. Hed - 600'!G38</f>
        <v>34468</v>
      </c>
      <c r="I38" s="170">
        <f>'SatışEkibi YS-Yen. Hed - 600'!I38</f>
        <v>0</v>
      </c>
      <c r="J38" s="170">
        <f>SUM(B38:I38)</f>
        <v>106368</v>
      </c>
      <c r="L38" s="238" t="s">
        <v>28</v>
      </c>
      <c r="M38" s="330">
        <f>B38/$B$31</f>
        <v>0.22441949064007943</v>
      </c>
      <c r="N38" s="329">
        <f>C38/$C$31</f>
        <v>0</v>
      </c>
      <c r="O38" s="330">
        <f>D38/$D$31</f>
        <v>0.14014790424400303</v>
      </c>
      <c r="P38" s="329">
        <f>E38/$E$31</f>
        <v>0</v>
      </c>
      <c r="Q38" s="329">
        <f>F38/$F$31</f>
        <v>0</v>
      </c>
      <c r="R38" s="329">
        <f>G38/$G$31</f>
        <v>0.47891119925113779</v>
      </c>
      <c r="S38" s="329">
        <f>H38/$H$31</f>
        <v>0</v>
      </c>
      <c r="T38" s="329">
        <f>I38/$I$31</f>
        <v>0</v>
      </c>
    </row>
    <row r="39" spans="1:20" s="171" customFormat="1" ht="16" x14ac:dyDescent="0.2">
      <c r="A39" s="171" t="s">
        <v>57</v>
      </c>
      <c r="B39" s="172">
        <f t="shared" ref="B39:J39" si="18">SUM(B40:B41)</f>
        <v>76000</v>
      </c>
      <c r="C39" s="172">
        <f t="shared" si="18"/>
        <v>14699</v>
      </c>
      <c r="D39" s="172">
        <f t="shared" si="18"/>
        <v>15800</v>
      </c>
      <c r="E39" s="172">
        <f t="shared" si="18"/>
        <v>0</v>
      </c>
      <c r="F39" s="172">
        <f t="shared" si="18"/>
        <v>1100</v>
      </c>
      <c r="G39" s="172">
        <f t="shared" si="18"/>
        <v>16610</v>
      </c>
      <c r="H39" s="172">
        <f t="shared" si="18"/>
        <v>20000</v>
      </c>
      <c r="I39" s="172">
        <f t="shared" si="18"/>
        <v>4000</v>
      </c>
      <c r="J39" s="172">
        <f t="shared" si="18"/>
        <v>148209</v>
      </c>
      <c r="L39" s="226" t="s">
        <v>57</v>
      </c>
      <c r="M39" s="331">
        <f t="shared" ref="M39:T39" si="19">SUM(M40:M41)</f>
        <v>0.26859655572670921</v>
      </c>
      <c r="N39" s="331">
        <f t="shared" si="19"/>
        <v>0.25470789040718828</v>
      </c>
      <c r="O39" s="331">
        <f t="shared" si="19"/>
        <v>0.26361153417324379</v>
      </c>
      <c r="P39" s="331">
        <f t="shared" si="19"/>
        <v>0</v>
      </c>
      <c r="Q39" s="331">
        <f t="shared" si="19"/>
        <v>0.19264448336252188</v>
      </c>
      <c r="R39" s="331">
        <f t="shared" si="19"/>
        <v>0.23078551176631654</v>
      </c>
      <c r="S39" s="331">
        <f t="shared" si="19"/>
        <v>0.13607349797718582</v>
      </c>
      <c r="T39" s="331">
        <f t="shared" si="19"/>
        <v>0.24336821611097589</v>
      </c>
    </row>
    <row r="40" spans="1:20" s="173" customFormat="1" ht="16" x14ac:dyDescent="0.2">
      <c r="A40" s="169" t="s">
        <v>26</v>
      </c>
      <c r="B40" s="170">
        <f>'SatışEkibi YS-Yen. Hed - 600'!B40</f>
        <v>30000</v>
      </c>
      <c r="C40" s="170">
        <f>'SatışEkibi YS-Yen. Hed - 600'!C40</f>
        <v>9000</v>
      </c>
      <c r="D40" s="170">
        <f>'SatışEkibi YS-Yen. Hed - 600'!D40</f>
        <v>9400</v>
      </c>
      <c r="E40" s="170">
        <f>'SatışEkibi YS-Yen. Hed - 600'!E40</f>
        <v>0</v>
      </c>
      <c r="F40" s="170">
        <f>'SatışEkibi YS-Yen. Hed - 600'!F40</f>
        <v>1100</v>
      </c>
      <c r="G40" s="170">
        <f>'SatışEkibi YS-Yen. Hed - 600'!G40</f>
        <v>1000</v>
      </c>
      <c r="H40" s="170">
        <v>20000</v>
      </c>
      <c r="I40" s="170">
        <f>'SatışEkibi YS-Yen. Hed - 600'!I40</f>
        <v>4000</v>
      </c>
      <c r="J40" s="170">
        <f>SUM(B40:I40)</f>
        <v>74500</v>
      </c>
      <c r="L40" s="238" t="s">
        <v>26</v>
      </c>
      <c r="M40" s="330">
        <f>B40/$B$31</f>
        <v>0.10602495620791154</v>
      </c>
      <c r="N40" s="329">
        <f>C40/$C$31</f>
        <v>0.15595421550205418</v>
      </c>
      <c r="O40" s="330">
        <f>D40/$D$31</f>
        <v>0.1568321785587653</v>
      </c>
      <c r="P40" s="329">
        <f>E40/$E$31</f>
        <v>0</v>
      </c>
      <c r="Q40" s="329">
        <f>F40/$F$31</f>
        <v>0.19264448336252188</v>
      </c>
      <c r="R40" s="329">
        <f>G40/$G$31</f>
        <v>1.3894371569314662E-2</v>
      </c>
      <c r="S40" s="329">
        <f>H40/$H$31</f>
        <v>0.13607349797718582</v>
      </c>
      <c r="T40" s="329">
        <f>I40/$I$31</f>
        <v>0.24336821611097589</v>
      </c>
    </row>
    <row r="41" spans="1:20" s="173" customFormat="1" ht="16" x14ac:dyDescent="0.2">
      <c r="A41" s="169" t="s">
        <v>28</v>
      </c>
      <c r="B41" s="170">
        <f>'SatışEkibi YS-Yen. Hed - 600'!B41</f>
        <v>46000</v>
      </c>
      <c r="C41" s="170">
        <f>'SatışEkibi YS-Yen. Hed - 600'!C41</f>
        <v>5699</v>
      </c>
      <c r="D41" s="170">
        <f>'SatışEkibi YS-Yen. Hed - 600'!D41</f>
        <v>6400</v>
      </c>
      <c r="E41" s="170">
        <f>'SatışEkibi YS-Yen. Hed - 600'!E41</f>
        <v>0</v>
      </c>
      <c r="F41" s="170">
        <f>'SatışEkibi YS-Yen. Hed - 600'!F41</f>
        <v>0</v>
      </c>
      <c r="G41" s="170">
        <f>'SatışEkibi YS-Yen. Hed - 600'!G41</f>
        <v>15610</v>
      </c>
      <c r="I41" s="170">
        <f>'SatışEkibi YS-Yen. Hed - 600'!I41</f>
        <v>0</v>
      </c>
      <c r="J41" s="170">
        <f>SUM(B41:I41)</f>
        <v>73709</v>
      </c>
      <c r="L41" s="238" t="s">
        <v>28</v>
      </c>
      <c r="M41" s="330">
        <f>B41/$B$31</f>
        <v>0.16257159951879768</v>
      </c>
      <c r="N41" s="329">
        <f>C41/$C$31</f>
        <v>9.8753674905134092E-2</v>
      </c>
      <c r="O41" s="330">
        <f>D41/$D$31</f>
        <v>0.1067793556144785</v>
      </c>
      <c r="P41" s="329">
        <f>E41/$E$31</f>
        <v>0</v>
      </c>
      <c r="Q41" s="329">
        <f>F41/$F$31</f>
        <v>0</v>
      </c>
      <c r="R41" s="329">
        <f>G41/$G$31</f>
        <v>0.21689114019700187</v>
      </c>
      <c r="S41" s="329">
        <f>H41/$H$31</f>
        <v>0</v>
      </c>
      <c r="T41" s="329">
        <f>I41/$I$31</f>
        <v>0</v>
      </c>
    </row>
    <row r="42" spans="1:20" s="171" customFormat="1" ht="16" x14ac:dyDescent="0.2">
      <c r="A42" s="171" t="s">
        <v>66</v>
      </c>
      <c r="B42" s="172">
        <f t="shared" ref="B42:J42" si="20">SUM(B43:B44)</f>
        <v>42500</v>
      </c>
      <c r="C42" s="172">
        <f t="shared" si="20"/>
        <v>11527</v>
      </c>
      <c r="D42" s="172">
        <f t="shared" si="20"/>
        <v>5215</v>
      </c>
      <c r="E42" s="172">
        <f t="shared" si="20"/>
        <v>25610.179825000003</v>
      </c>
      <c r="F42" s="172">
        <f t="shared" si="20"/>
        <v>1100</v>
      </c>
      <c r="G42" s="172">
        <f t="shared" si="20"/>
        <v>5226</v>
      </c>
      <c r="H42" s="172">
        <f t="shared" si="20"/>
        <v>15000</v>
      </c>
      <c r="I42" s="172">
        <f t="shared" si="20"/>
        <v>3000</v>
      </c>
      <c r="J42" s="172">
        <f t="shared" si="20"/>
        <v>109178.179825</v>
      </c>
      <c r="L42" s="226" t="s">
        <v>66</v>
      </c>
      <c r="M42" s="331">
        <f t="shared" ref="M42:T42" si="21">SUM(M43:M44)</f>
        <v>0.15020202129454135</v>
      </c>
      <c r="N42" s="331">
        <f t="shared" si="21"/>
        <v>0.19974269356579763</v>
      </c>
      <c r="O42" s="331">
        <f t="shared" si="21"/>
        <v>8.7008490551485212E-2</v>
      </c>
      <c r="P42" s="331">
        <f t="shared" si="21"/>
        <v>1</v>
      </c>
      <c r="Q42" s="331">
        <f t="shared" si="21"/>
        <v>0.19264448336252188</v>
      </c>
      <c r="R42" s="331">
        <f t="shared" si="21"/>
        <v>7.2611985821238428E-2</v>
      </c>
      <c r="S42" s="331">
        <f t="shared" si="21"/>
        <v>0.10205512348288936</v>
      </c>
      <c r="T42" s="331">
        <f t="shared" si="21"/>
        <v>0.18252616208323194</v>
      </c>
    </row>
    <row r="43" spans="1:20" s="173" customFormat="1" ht="16" x14ac:dyDescent="0.2">
      <c r="A43" s="169" t="s">
        <v>26</v>
      </c>
      <c r="B43" s="170">
        <f>'SatışEkibi YS-Yen. Hed - 600'!B43</f>
        <v>17500</v>
      </c>
      <c r="C43" s="170">
        <f>'SatışEkibi YS-Yen. Hed - 600'!C43</f>
        <v>8000</v>
      </c>
      <c r="D43" s="170">
        <f>'SatışEkibi YS-Yen. Hed - 600'!D43</f>
        <v>2000</v>
      </c>
      <c r="E43" s="170">
        <f>'SatışEkibi YS-Yen. Hed - 600'!E43</f>
        <v>25247.208000000002</v>
      </c>
      <c r="F43" s="170">
        <f>'SatışEkibi YS-Yen. Hed - 600'!F43</f>
        <v>1100</v>
      </c>
      <c r="G43" s="170">
        <f>'SatışEkibi YS-Yen. Hed - 600'!G43</f>
        <v>1000</v>
      </c>
      <c r="H43" s="170">
        <v>15000</v>
      </c>
      <c r="I43" s="170">
        <f>'SatışEkibi YS-Yen. Hed - 600'!I43</f>
        <v>3000</v>
      </c>
      <c r="J43" s="170">
        <f>SUM(B43:I43)</f>
        <v>72847.207999999999</v>
      </c>
      <c r="L43" s="238" t="s">
        <v>26</v>
      </c>
      <c r="M43" s="330">
        <f>B43/$B$31</f>
        <v>6.184789112128173E-2</v>
      </c>
      <c r="N43" s="329">
        <f>C43/$C$31</f>
        <v>0.13862596933515928</v>
      </c>
      <c r="O43" s="330">
        <f>D43/$D$31</f>
        <v>3.3368548629524535E-2</v>
      </c>
      <c r="P43" s="329">
        <f>E43/$E$31</f>
        <v>0.98582704895161744</v>
      </c>
      <c r="Q43" s="329">
        <f>F43/$F$31</f>
        <v>0.19264448336252188</v>
      </c>
      <c r="R43" s="329">
        <f>G43/$G$31</f>
        <v>1.3894371569314662E-2</v>
      </c>
      <c r="S43" s="329">
        <f>H43/$H$31</f>
        <v>0.10205512348288936</v>
      </c>
      <c r="T43" s="329">
        <f>I43/$I$31</f>
        <v>0.18252616208323194</v>
      </c>
    </row>
    <row r="44" spans="1:20" s="173" customFormat="1" ht="16" x14ac:dyDescent="0.2">
      <c r="A44" s="169" t="s">
        <v>28</v>
      </c>
      <c r="B44" s="170">
        <f>'SatışEkibi YS-Yen. Hed - 600'!B44</f>
        <v>25000</v>
      </c>
      <c r="C44" s="170">
        <f>'SatışEkibi YS-Yen. Hed - 600'!C44</f>
        <v>3527</v>
      </c>
      <c r="D44" s="170">
        <f>'SatışEkibi YS-Yen. Hed - 600'!D44</f>
        <v>3215</v>
      </c>
      <c r="E44" s="170">
        <f>'SatışEkibi YS-Yen. Hed - 600'!E44</f>
        <v>362.97182499999974</v>
      </c>
      <c r="F44" s="170">
        <f>'SatışEkibi YS-Yen. Hed - 600'!F44</f>
        <v>0</v>
      </c>
      <c r="G44" s="170">
        <f>'SatışEkibi YS-Yen. Hed - 600'!G44</f>
        <v>4226</v>
      </c>
      <c r="I44" s="170">
        <f>'SatışEkibi YS-Yen. Hed - 600'!I44</f>
        <v>0</v>
      </c>
      <c r="J44" s="170">
        <f>SUM(B44:I44)</f>
        <v>36330.971825000001</v>
      </c>
      <c r="L44" s="238" t="s">
        <v>28</v>
      </c>
      <c r="M44" s="330">
        <f>B44/$B$31</f>
        <v>8.8354130173259618E-2</v>
      </c>
      <c r="N44" s="329">
        <f>C44/$C$31</f>
        <v>6.1116724230638346E-2</v>
      </c>
      <c r="O44" s="330">
        <f>D44/$D$31</f>
        <v>5.3639941921960685E-2</v>
      </c>
      <c r="P44" s="329">
        <f>E44/$E$31</f>
        <v>1.4172951048382563E-2</v>
      </c>
      <c r="Q44" s="329">
        <f>F44/$F$31</f>
        <v>0</v>
      </c>
      <c r="R44" s="329">
        <f>G44/$G$31</f>
        <v>5.8717614251923761E-2</v>
      </c>
      <c r="S44" s="329">
        <f>H44/$H$31</f>
        <v>0</v>
      </c>
      <c r="T44" s="329">
        <f>I44/$I$31</f>
        <v>0</v>
      </c>
    </row>
    <row r="45" spans="1:20" s="171" customFormat="1" ht="16" x14ac:dyDescent="0.2">
      <c r="A45" s="175" t="s">
        <v>81</v>
      </c>
      <c r="B45" s="172">
        <f t="shared" ref="B45:J45" si="22">SUM(B46:B47)</f>
        <v>13750</v>
      </c>
      <c r="C45" s="172">
        <f t="shared" si="22"/>
        <v>4962</v>
      </c>
      <c r="D45" s="172">
        <f t="shared" si="22"/>
        <v>4860</v>
      </c>
      <c r="E45" s="172">
        <f t="shared" si="22"/>
        <v>0</v>
      </c>
      <c r="F45" s="172">
        <f t="shared" si="22"/>
        <v>500</v>
      </c>
      <c r="G45" s="172">
        <f t="shared" si="22"/>
        <v>1000</v>
      </c>
      <c r="H45" s="172">
        <f t="shared" si="22"/>
        <v>4000</v>
      </c>
      <c r="I45" s="172">
        <f t="shared" si="22"/>
        <v>1500</v>
      </c>
      <c r="J45" s="172">
        <f t="shared" si="22"/>
        <v>30572</v>
      </c>
      <c r="L45" s="243" t="s">
        <v>81</v>
      </c>
      <c r="M45" s="331">
        <f t="shared" ref="M45:T45" si="23">SUM(M46:M47)</f>
        <v>4.8594771595292789E-2</v>
      </c>
      <c r="N45" s="331">
        <f t="shared" si="23"/>
        <v>8.5982757480132538E-2</v>
      </c>
      <c r="O45" s="331">
        <f t="shared" si="23"/>
        <v>8.1085573169744601E-2</v>
      </c>
      <c r="P45" s="331">
        <f t="shared" si="23"/>
        <v>0</v>
      </c>
      <c r="Q45" s="331">
        <f t="shared" si="23"/>
        <v>8.7565674255691769E-2</v>
      </c>
      <c r="R45" s="331">
        <f t="shared" si="23"/>
        <v>1.3894371569314662E-2</v>
      </c>
      <c r="S45" s="331">
        <f t="shared" si="23"/>
        <v>2.7214699595437163E-2</v>
      </c>
      <c r="T45" s="331">
        <f t="shared" si="23"/>
        <v>9.126308104161597E-2</v>
      </c>
    </row>
    <row r="46" spans="1:20" s="173" customFormat="1" ht="16" x14ac:dyDescent="0.2">
      <c r="A46" s="169" t="s">
        <v>26</v>
      </c>
      <c r="B46" s="170">
        <f>'SatışEkibi YS-Yen. Hed - 600'!B46</f>
        <v>5000</v>
      </c>
      <c r="C46" s="170">
        <f>'SatışEkibi YS-Yen. Hed - 600'!C46</f>
        <v>3152</v>
      </c>
      <c r="D46" s="170">
        <f>'SatışEkibi YS-Yen. Hed - 600'!D46</f>
        <v>3760</v>
      </c>
      <c r="E46" s="170">
        <f>'SatışEkibi YS-Yen. Hed - 600'!E46</f>
        <v>0</v>
      </c>
      <c r="F46" s="170">
        <f>'SatışEkibi YS-Yen. Hed - 600'!F46</f>
        <v>500</v>
      </c>
      <c r="G46" s="170">
        <f>'SatışEkibi YS-Yen. Hed - 600'!G46</f>
        <v>1000</v>
      </c>
      <c r="H46" s="170">
        <v>4000</v>
      </c>
      <c r="I46" s="170">
        <f>'SatışEkibi YS-Yen. Hed - 600'!I46</f>
        <v>1500</v>
      </c>
      <c r="J46" s="170">
        <f>SUM(B46:I46)</f>
        <v>18912</v>
      </c>
      <c r="L46" s="238" t="s">
        <v>26</v>
      </c>
      <c r="M46" s="330">
        <f>B46/$B$31</f>
        <v>1.7670826034651924E-2</v>
      </c>
      <c r="N46" s="329">
        <f>C46/$C$31</f>
        <v>5.4618631918052753E-2</v>
      </c>
      <c r="O46" s="330">
        <f>D46/$D$31</f>
        <v>6.2732871423506115E-2</v>
      </c>
      <c r="P46" s="329">
        <f>E46/$E$31</f>
        <v>0</v>
      </c>
      <c r="Q46" s="329">
        <f>F46/$F$31</f>
        <v>8.7565674255691769E-2</v>
      </c>
      <c r="R46" s="329">
        <f>G46/$G$31</f>
        <v>1.3894371569314662E-2</v>
      </c>
      <c r="S46" s="329">
        <f>H46/$H$31</f>
        <v>2.7214699595437163E-2</v>
      </c>
      <c r="T46" s="329">
        <f>I46/$I$31</f>
        <v>9.126308104161597E-2</v>
      </c>
    </row>
    <row r="47" spans="1:20" s="173" customFormat="1" ht="16" x14ac:dyDescent="0.2">
      <c r="A47" s="169" t="s">
        <v>28</v>
      </c>
      <c r="B47" s="170">
        <f>'SatışEkibi YS-Yen. Hed - 600'!B47</f>
        <v>8750</v>
      </c>
      <c r="C47" s="170">
        <f>'SatışEkibi YS-Yen. Hed - 600'!C47</f>
        <v>1810</v>
      </c>
      <c r="D47" s="170">
        <f>'SatışEkibi YS-Yen. Hed - 600'!D47</f>
        <v>1100</v>
      </c>
      <c r="E47" s="170">
        <f>'SatışEkibi YS-Yen. Hed - 600'!E47</f>
        <v>0</v>
      </c>
      <c r="F47" s="170">
        <f>'SatışEkibi YS-Yen. Hed - 600'!F47</f>
        <v>0</v>
      </c>
      <c r="G47" s="170">
        <f>'SatışEkibi YS-Yen. Hed - 600'!G47</f>
        <v>0</v>
      </c>
      <c r="I47" s="170">
        <f>'SatışEkibi YS-Yen. Hed - 600'!I47</f>
        <v>0</v>
      </c>
      <c r="J47" s="170">
        <f>SUM(B47:I47)</f>
        <v>11660</v>
      </c>
      <c r="L47" s="238" t="s">
        <v>28</v>
      </c>
      <c r="M47" s="330">
        <f>B47/$B$31</f>
        <v>3.0923945560640865E-2</v>
      </c>
      <c r="N47" s="329">
        <f>C47/$C$31</f>
        <v>3.1364125562079785E-2</v>
      </c>
      <c r="O47" s="330">
        <f>D47/$D$31</f>
        <v>1.8352701746238494E-2</v>
      </c>
      <c r="P47" s="329">
        <f>E47/$E$31</f>
        <v>0</v>
      </c>
      <c r="Q47" s="329">
        <f>F47/$F$31</f>
        <v>0</v>
      </c>
      <c r="R47" s="329">
        <f>G47/$G$31</f>
        <v>0</v>
      </c>
      <c r="S47" s="329">
        <f>H47/$H$31</f>
        <v>0</v>
      </c>
      <c r="T47" s="329">
        <f>I47/$I$31</f>
        <v>0</v>
      </c>
    </row>
    <row r="48" spans="1:20" s="171" customFormat="1" ht="16" x14ac:dyDescent="0.2">
      <c r="A48" s="175" t="s">
        <v>82</v>
      </c>
      <c r="B48" s="172">
        <f t="shared" ref="B48:J48" si="24">SUM(B49:B50)</f>
        <v>18000</v>
      </c>
      <c r="C48" s="172">
        <f t="shared" si="24"/>
        <v>4399</v>
      </c>
      <c r="D48" s="172">
        <f t="shared" si="24"/>
        <v>5050.1284738670365</v>
      </c>
      <c r="E48" s="172">
        <f t="shared" si="24"/>
        <v>0</v>
      </c>
      <c r="F48" s="172">
        <f t="shared" si="24"/>
        <v>750</v>
      </c>
      <c r="G48" s="172">
        <f t="shared" si="24"/>
        <v>7441</v>
      </c>
      <c r="H48" s="172">
        <f t="shared" si="24"/>
        <v>4000</v>
      </c>
      <c r="I48" s="172">
        <f t="shared" si="24"/>
        <v>1436</v>
      </c>
      <c r="J48" s="172">
        <f t="shared" si="24"/>
        <v>41076.128473867037</v>
      </c>
      <c r="L48" s="243" t="s">
        <v>82</v>
      </c>
      <c r="M48" s="331">
        <f t="shared" ref="M48:T48" si="25">SUM(M49:M50)</f>
        <v>6.361497372474692E-2</v>
      </c>
      <c r="N48" s="331">
        <f t="shared" si="25"/>
        <v>7.6226954888170717E-2</v>
      </c>
      <c r="O48" s="331">
        <f t="shared" si="25"/>
        <v>8.4257728782789365E-2</v>
      </c>
      <c r="P48" s="331">
        <f t="shared" si="25"/>
        <v>0</v>
      </c>
      <c r="Q48" s="331">
        <f t="shared" si="25"/>
        <v>0.13134851138353765</v>
      </c>
      <c r="R48" s="331">
        <f t="shared" si="25"/>
        <v>0.1033880188472704</v>
      </c>
      <c r="S48" s="331">
        <f t="shared" si="25"/>
        <v>2.7214699595437163E-2</v>
      </c>
      <c r="T48" s="331">
        <f t="shared" si="25"/>
        <v>8.7369189583840351E-2</v>
      </c>
    </row>
    <row r="49" spans="1:20" s="173" customFormat="1" ht="16" x14ac:dyDescent="0.2">
      <c r="A49" s="169" t="s">
        <v>26</v>
      </c>
      <c r="B49" s="170">
        <f>'SatışEkibi YS-Yen. Hed - 600'!B49</f>
        <v>5000</v>
      </c>
      <c r="C49" s="170">
        <f>'SatışEkibi YS-Yen. Hed - 600'!C49</f>
        <v>2000</v>
      </c>
      <c r="D49" s="170">
        <f>'SatışEkibi YS-Yen. Hed - 600'!D49</f>
        <v>3145</v>
      </c>
      <c r="E49" s="170">
        <f>'SatışEkibi YS-Yen. Hed - 600'!E49</f>
        <v>0</v>
      </c>
      <c r="F49" s="170">
        <f>'SatışEkibi YS-Yen. Hed - 600'!F49</f>
        <v>750</v>
      </c>
      <c r="G49" s="170">
        <f>'SatışEkibi YS-Yen. Hed - 600'!G49</f>
        <v>1000</v>
      </c>
      <c r="H49" s="170">
        <v>4000</v>
      </c>
      <c r="I49" s="170">
        <f>'SatışEkibi YS-Yen. Hed - 600'!I49</f>
        <v>1436</v>
      </c>
      <c r="J49" s="170">
        <f>SUM(B49:I49)</f>
        <v>17331</v>
      </c>
      <c r="L49" s="238" t="s">
        <v>26</v>
      </c>
      <c r="M49" s="330">
        <f>B49/$B$31</f>
        <v>1.7670826034651924E-2</v>
      </c>
      <c r="N49" s="329">
        <f>C49/$C$31</f>
        <v>3.4656492333789819E-2</v>
      </c>
      <c r="O49" s="330">
        <f>D49/$D$31</f>
        <v>5.247204271992733E-2</v>
      </c>
      <c r="P49" s="329">
        <f>E49/$E$31</f>
        <v>0</v>
      </c>
      <c r="Q49" s="329">
        <f>F49/$F$31</f>
        <v>0.13134851138353765</v>
      </c>
      <c r="R49" s="329">
        <f>G49/$G$31</f>
        <v>1.3894371569314662E-2</v>
      </c>
      <c r="S49" s="329">
        <f>H49/$H$31</f>
        <v>2.7214699595437163E-2</v>
      </c>
      <c r="T49" s="329">
        <f>I49/$I$31</f>
        <v>8.7369189583840351E-2</v>
      </c>
    </row>
    <row r="50" spans="1:20" s="173" customFormat="1" ht="16" x14ac:dyDescent="0.2">
      <c r="A50" s="169" t="s">
        <v>28</v>
      </c>
      <c r="B50" s="170">
        <f>'SatışEkibi YS-Yen. Hed - 600'!B50</f>
        <v>13000</v>
      </c>
      <c r="C50" s="170">
        <f>'SatışEkibi YS-Yen. Hed - 600'!C50</f>
        <v>2399</v>
      </c>
      <c r="D50" s="170">
        <f>'SatışEkibi YS-Yen. Hed - 600'!D50</f>
        <v>1905.1284738670361</v>
      </c>
      <c r="E50" s="170">
        <f>'SatışEkibi YS-Yen. Hed - 600'!E50</f>
        <v>0</v>
      </c>
      <c r="F50" s="170">
        <f>'SatışEkibi YS-Yen. Hed - 600'!F50</f>
        <v>0</v>
      </c>
      <c r="G50" s="170">
        <f>'SatışEkibi YS-Yen. Hed - 600'!G50</f>
        <v>6441</v>
      </c>
      <c r="I50" s="170">
        <f>'SatışEkibi YS-Yen. Hed - 600'!I50</f>
        <v>0</v>
      </c>
      <c r="J50" s="170">
        <f>SUM(B50:I50)</f>
        <v>23745.128473867037</v>
      </c>
      <c r="L50" s="238" t="s">
        <v>28</v>
      </c>
      <c r="M50" s="330">
        <f>B50/$B$31</f>
        <v>4.5944147690095E-2</v>
      </c>
      <c r="N50" s="329">
        <f>C50/$C$31</f>
        <v>4.1570462554380891E-2</v>
      </c>
      <c r="O50" s="330">
        <f>D50/$D$31</f>
        <v>3.1785686062862029E-2</v>
      </c>
      <c r="P50" s="329">
        <f>E50/$E$31</f>
        <v>0</v>
      </c>
      <c r="Q50" s="329">
        <f>F50/$F$31</f>
        <v>0</v>
      </c>
      <c r="R50" s="329">
        <f>G50/$G$31</f>
        <v>8.9493647277955737E-2</v>
      </c>
      <c r="S50" s="329">
        <f>H50/$H$31</f>
        <v>0</v>
      </c>
      <c r="T50" s="329">
        <f>I50/$I$31</f>
        <v>0</v>
      </c>
    </row>
    <row r="51" spans="1:20" s="171" customFormat="1" ht="17" x14ac:dyDescent="0.2">
      <c r="A51" s="167" t="s">
        <v>83</v>
      </c>
      <c r="B51" s="172">
        <f t="shared" ref="B51:J51" si="26">SUM(B52:B53)</f>
        <v>16167</v>
      </c>
      <c r="C51" s="172">
        <f t="shared" si="26"/>
        <v>7804</v>
      </c>
      <c r="D51" s="172">
        <f t="shared" si="26"/>
        <v>8265.210088638938</v>
      </c>
      <c r="E51" s="172">
        <f t="shared" si="26"/>
        <v>0</v>
      </c>
      <c r="F51" s="172">
        <f t="shared" si="26"/>
        <v>1250</v>
      </c>
      <c r="G51" s="172">
        <f t="shared" si="26"/>
        <v>3581</v>
      </c>
      <c r="H51" s="172">
        <f t="shared" si="26"/>
        <v>8000</v>
      </c>
      <c r="I51" s="172">
        <f t="shared" si="26"/>
        <v>2000</v>
      </c>
      <c r="J51" s="172">
        <f t="shared" si="26"/>
        <v>47067.210088638938</v>
      </c>
      <c r="L51" s="234" t="s">
        <v>83</v>
      </c>
      <c r="M51" s="331">
        <f t="shared" ref="M51:T51" si="27">SUM(M52:M53)</f>
        <v>5.7136848900443529E-2</v>
      </c>
      <c r="N51" s="331">
        <f t="shared" si="27"/>
        <v>0.13522963308644786</v>
      </c>
      <c r="O51" s="331">
        <f t="shared" si="27"/>
        <v>0.13789903238799259</v>
      </c>
      <c r="P51" s="331">
        <f t="shared" si="27"/>
        <v>0</v>
      </c>
      <c r="Q51" s="331">
        <f t="shared" si="27"/>
        <v>0.21891418563922943</v>
      </c>
      <c r="R51" s="331">
        <f t="shared" si="27"/>
        <v>4.9755744589715808E-2</v>
      </c>
      <c r="S51" s="331">
        <f t="shared" si="27"/>
        <v>5.4429399190874327E-2</v>
      </c>
      <c r="T51" s="331">
        <f t="shared" si="27"/>
        <v>0.12168410805548795</v>
      </c>
    </row>
    <row r="52" spans="1:20" s="173" customFormat="1" ht="16" x14ac:dyDescent="0.2">
      <c r="A52" s="169" t="s">
        <v>26</v>
      </c>
      <c r="B52" s="170">
        <f>'SatışEkibi YS-Yen. Hed - 600'!B52</f>
        <v>7580</v>
      </c>
      <c r="C52" s="170">
        <f>'SatışEkibi YS-Yen. Hed - 600'!C52</f>
        <v>7000</v>
      </c>
      <c r="D52" s="170">
        <f>'SatışEkibi YS-Yen. Hed - 600'!D52</f>
        <v>7222</v>
      </c>
      <c r="E52" s="170">
        <f>'SatışEkibi YS-Yen. Hed - 600'!E52</f>
        <v>0</v>
      </c>
      <c r="F52" s="170">
        <f>'SatışEkibi YS-Yen. Hed - 600'!F52</f>
        <v>1250</v>
      </c>
      <c r="G52" s="170">
        <f>'SatışEkibi YS-Yen. Hed - 600'!G52</f>
        <v>1597</v>
      </c>
      <c r="H52" s="170">
        <v>8000</v>
      </c>
      <c r="I52" s="170">
        <f>'SatışEkibi YS-Yen. Hed - 600'!I52</f>
        <v>2000</v>
      </c>
      <c r="J52" s="170">
        <f>SUM(B52:I52)</f>
        <v>34649</v>
      </c>
      <c r="L52" s="238" t="s">
        <v>26</v>
      </c>
      <c r="M52" s="330">
        <f>B52/$B$31</f>
        <v>2.6788972268532316E-2</v>
      </c>
      <c r="N52" s="329">
        <f>C52/$C$31</f>
        <v>0.12129772316826437</v>
      </c>
      <c r="O52" s="330">
        <f>D52/$D$31</f>
        <v>0.12049382910121309</v>
      </c>
      <c r="P52" s="329">
        <f>E52/$E$31</f>
        <v>0</v>
      </c>
      <c r="Q52" s="329">
        <f>F52/$F$31</f>
        <v>0.21891418563922943</v>
      </c>
      <c r="R52" s="329">
        <f>G52/$G$31</f>
        <v>2.2189311396195517E-2</v>
      </c>
      <c r="S52" s="329">
        <f>H52/$H$31</f>
        <v>5.4429399190874327E-2</v>
      </c>
      <c r="T52" s="329">
        <f>I52/$I$31</f>
        <v>0.12168410805548795</v>
      </c>
    </row>
    <row r="53" spans="1:20" s="173" customFormat="1" ht="16" x14ac:dyDescent="0.2">
      <c r="A53" s="169" t="s">
        <v>28</v>
      </c>
      <c r="B53" s="170">
        <f>'SatışEkibi YS-Yen. Hed - 600'!B53</f>
        <v>8587</v>
      </c>
      <c r="C53" s="170">
        <f>'SatışEkibi YS-Yen. Hed - 600'!C53</f>
        <v>804</v>
      </c>
      <c r="D53" s="170">
        <f>'SatışEkibi YS-Yen. Hed - 600'!D53</f>
        <v>1043.2100886389371</v>
      </c>
      <c r="E53" s="170">
        <f>'SatışEkibi YS-Yen. Hed - 600'!E53</f>
        <v>0</v>
      </c>
      <c r="F53" s="170">
        <f>'SatışEkibi YS-Yen. Hed - 600'!F53</f>
        <v>0</v>
      </c>
      <c r="G53" s="170">
        <f>'SatışEkibi YS-Yen. Hed - 600'!G53</f>
        <v>1984</v>
      </c>
      <c r="H53" s="170">
        <f>(K$25*$G$101)/1000</f>
        <v>0</v>
      </c>
      <c r="I53" s="170">
        <f>'SatışEkibi YS-Yen. Hed - 600'!I53</f>
        <v>0</v>
      </c>
      <c r="J53" s="170">
        <f>SUM(B53:I53)</f>
        <v>12418.210088638938</v>
      </c>
      <c r="L53" s="238" t="s">
        <v>28</v>
      </c>
      <c r="M53" s="330">
        <f>B53/$B$31</f>
        <v>3.0347876631911214E-2</v>
      </c>
      <c r="N53" s="329">
        <f>C53/$C$31</f>
        <v>1.3931909918183508E-2</v>
      </c>
      <c r="O53" s="330">
        <f>D53/$D$31</f>
        <v>1.7405203286779487E-2</v>
      </c>
      <c r="P53" s="329">
        <f>E53/$E$31</f>
        <v>0</v>
      </c>
      <c r="Q53" s="329">
        <f>F53/$F$31</f>
        <v>0</v>
      </c>
      <c r="R53" s="329">
        <f>G53/$G$31</f>
        <v>2.7566433193520291E-2</v>
      </c>
      <c r="S53" s="329">
        <f>H53/$H$31</f>
        <v>0</v>
      </c>
      <c r="T53" s="329">
        <f>I53/$I$31</f>
        <v>0</v>
      </c>
    </row>
    <row r="54" spans="1:20" s="226" customFormat="1" ht="16" x14ac:dyDescent="0.2">
      <c r="A54" s="243" t="s">
        <v>169</v>
      </c>
      <c r="B54" s="218">
        <f t="shared" ref="B54:J54" si="28">SUM(B55:B56)</f>
        <v>0</v>
      </c>
      <c r="C54" s="218">
        <f t="shared" si="28"/>
        <v>0</v>
      </c>
      <c r="D54" s="218">
        <f t="shared" si="28"/>
        <v>0</v>
      </c>
      <c r="E54" s="218">
        <f t="shared" si="28"/>
        <v>0</v>
      </c>
      <c r="F54" s="218">
        <f t="shared" si="28"/>
        <v>3826</v>
      </c>
      <c r="G54" s="218">
        <f t="shared" si="28"/>
        <v>0</v>
      </c>
      <c r="H54" s="218">
        <f t="shared" si="28"/>
        <v>0</v>
      </c>
      <c r="I54" s="218">
        <f t="shared" si="28"/>
        <v>0</v>
      </c>
      <c r="J54" s="218">
        <f t="shared" si="28"/>
        <v>0</v>
      </c>
      <c r="L54" s="243" t="s">
        <v>169</v>
      </c>
      <c r="M54" s="331">
        <f t="shared" ref="M54:T54" si="29">SUM(M55:M56)</f>
        <v>0</v>
      </c>
      <c r="N54" s="331">
        <f t="shared" si="29"/>
        <v>0</v>
      </c>
      <c r="O54" s="331">
        <f t="shared" si="29"/>
        <v>0</v>
      </c>
      <c r="P54" s="331">
        <f t="shared" si="29"/>
        <v>0</v>
      </c>
      <c r="Q54" s="331">
        <f t="shared" si="29"/>
        <v>0.67005253940455345</v>
      </c>
      <c r="R54" s="331">
        <f t="shared" si="29"/>
        <v>0</v>
      </c>
      <c r="S54" s="331">
        <f t="shared" si="29"/>
        <v>0</v>
      </c>
      <c r="T54" s="331">
        <f t="shared" si="29"/>
        <v>0</v>
      </c>
    </row>
    <row r="55" spans="1:20" s="240" customFormat="1" ht="16" x14ac:dyDescent="0.2">
      <c r="A55" s="238" t="s">
        <v>26</v>
      </c>
      <c r="B55" s="239"/>
      <c r="C55" s="239"/>
      <c r="D55" s="239"/>
      <c r="E55" s="239"/>
      <c r="F55" s="239"/>
      <c r="G55" s="239"/>
      <c r="H55" s="239"/>
      <c r="I55" s="239"/>
      <c r="J55" s="239"/>
      <c r="L55" s="238" t="s">
        <v>26</v>
      </c>
      <c r="M55" s="330">
        <f>B55/$B$31</f>
        <v>0</v>
      </c>
      <c r="N55" s="329">
        <f>C55/$C$31</f>
        <v>0</v>
      </c>
      <c r="O55" s="330">
        <f>D55/$D$31</f>
        <v>0</v>
      </c>
      <c r="P55" s="329">
        <f>E55/$E$31</f>
        <v>0</v>
      </c>
      <c r="Q55" s="329">
        <f>F55/$F$31</f>
        <v>0</v>
      </c>
      <c r="R55" s="329">
        <f>G55/$G$31</f>
        <v>0</v>
      </c>
      <c r="S55" s="329">
        <f>H55/$H$31</f>
        <v>0</v>
      </c>
      <c r="T55" s="329">
        <f>I55/$I$31</f>
        <v>0</v>
      </c>
    </row>
    <row r="56" spans="1:20" s="240" customFormat="1" ht="16" x14ac:dyDescent="0.2">
      <c r="A56" s="238" t="s">
        <v>28</v>
      </c>
      <c r="B56" s="239"/>
      <c r="C56" s="239"/>
      <c r="D56" s="239"/>
      <c r="E56" s="239"/>
      <c r="F56" s="244">
        <v>3826</v>
      </c>
      <c r="G56" s="239"/>
      <c r="H56" s="239"/>
      <c r="I56" s="239"/>
      <c r="J56" s="239"/>
      <c r="L56" s="238" t="s">
        <v>28</v>
      </c>
      <c r="M56" s="330">
        <f>B56/$B$31</f>
        <v>0</v>
      </c>
      <c r="N56" s="329">
        <f>C56/$C$31</f>
        <v>0</v>
      </c>
      <c r="O56" s="330">
        <f>D56/$D$31</f>
        <v>0</v>
      </c>
      <c r="P56" s="329">
        <f>E56/$E$31</f>
        <v>0</v>
      </c>
      <c r="Q56" s="329">
        <f>F56/$F$31</f>
        <v>0.67005253940455345</v>
      </c>
      <c r="R56" s="329">
        <f>G56/$G$31</f>
        <v>0</v>
      </c>
      <c r="S56" s="329">
        <f>H56/$H$31</f>
        <v>0</v>
      </c>
      <c r="T56" s="329">
        <f>I56/$I$31</f>
        <v>0</v>
      </c>
    </row>
    <row r="57" spans="1:20" s="240" customFormat="1" ht="16" x14ac:dyDescent="0.2">
      <c r="A57" s="238"/>
      <c r="B57" s="239"/>
      <c r="C57" s="239"/>
      <c r="D57" s="239"/>
      <c r="E57" s="239"/>
      <c r="F57" s="239"/>
      <c r="G57" s="239"/>
      <c r="H57" s="239"/>
      <c r="I57" s="239"/>
      <c r="J57" s="239"/>
      <c r="K57" s="239"/>
    </row>
    <row r="58" spans="1:20" ht="17" x14ac:dyDescent="0.2">
      <c r="A58" s="165" t="s">
        <v>75</v>
      </c>
      <c r="B58" s="166" t="s">
        <v>25</v>
      </c>
      <c r="C58" s="166" t="s">
        <v>29</v>
      </c>
      <c r="D58" s="166" t="s">
        <v>27</v>
      </c>
      <c r="E58" s="166" t="s">
        <v>69</v>
      </c>
      <c r="F58" s="166" t="s">
        <v>32</v>
      </c>
      <c r="G58" s="166" t="s">
        <v>34</v>
      </c>
      <c r="H58" s="166" t="s">
        <v>53</v>
      </c>
      <c r="I58" s="166" t="s">
        <v>54</v>
      </c>
      <c r="J58" s="166" t="s">
        <v>56</v>
      </c>
      <c r="L58" s="236" t="s">
        <v>75</v>
      </c>
      <c r="M58" s="237" t="s">
        <v>25</v>
      </c>
      <c r="N58" s="237" t="s">
        <v>29</v>
      </c>
      <c r="O58" s="237" t="s">
        <v>27</v>
      </c>
      <c r="P58" s="237" t="s">
        <v>69</v>
      </c>
      <c r="Q58" s="237" t="s">
        <v>32</v>
      </c>
      <c r="R58" s="237" t="s">
        <v>34</v>
      </c>
      <c r="S58" s="237" t="s">
        <v>53</v>
      </c>
      <c r="T58" s="237" t="s">
        <v>54</v>
      </c>
    </row>
    <row r="59" spans="1:20" s="171" customFormat="1" ht="17" x14ac:dyDescent="0.2">
      <c r="A59" s="167" t="s">
        <v>84</v>
      </c>
      <c r="B59" s="168">
        <f t="shared" ref="B59:J59" si="30">+B60+B63+B66</f>
        <v>18035.250800000002</v>
      </c>
      <c r="C59" s="168">
        <f t="shared" si="30"/>
        <v>4318.2448000000004</v>
      </c>
      <c r="D59" s="168">
        <f t="shared" si="30"/>
        <v>346.3408</v>
      </c>
      <c r="E59" s="168">
        <f t="shared" si="30"/>
        <v>0</v>
      </c>
      <c r="F59" s="168">
        <f t="shared" si="30"/>
        <v>0</v>
      </c>
      <c r="G59" s="168">
        <f t="shared" si="30"/>
        <v>2645.5889999999999</v>
      </c>
      <c r="H59" s="168">
        <f t="shared" si="30"/>
        <v>75979.391999999993</v>
      </c>
      <c r="I59" s="168">
        <f t="shared" si="30"/>
        <v>500</v>
      </c>
      <c r="J59" s="168">
        <f t="shared" si="30"/>
        <v>101824.8174</v>
      </c>
      <c r="L59" s="234" t="s">
        <v>84</v>
      </c>
      <c r="M59" s="235">
        <f>B59/B31</f>
        <v>6.3739555875623383E-2</v>
      </c>
      <c r="N59" s="235">
        <f t="shared" ref="N59:S59" si="31">C59/C31</f>
        <v>7.4827608903313886E-2</v>
      </c>
      <c r="O59" s="235">
        <f t="shared" si="31"/>
        <v>5.7784449135942148E-3</v>
      </c>
      <c r="P59" s="235">
        <f t="shared" si="31"/>
        <v>0</v>
      </c>
      <c r="Q59" s="235">
        <f t="shared" si="31"/>
        <v>0</v>
      </c>
      <c r="R59" s="235">
        <f t="shared" si="31"/>
        <v>3.675879658569161E-2</v>
      </c>
      <c r="S59" s="235">
        <f t="shared" si="31"/>
        <v>0.51693908218099038</v>
      </c>
      <c r="T59" s="235">
        <f t="shared" ref="T59" si="32">+T60+T63+T66</f>
        <v>6.0842054027743973E-2</v>
      </c>
    </row>
    <row r="60" spans="1:20" s="171" customFormat="1" ht="16" x14ac:dyDescent="0.2">
      <c r="A60" s="171" t="s">
        <v>85</v>
      </c>
      <c r="B60" s="172">
        <f t="shared" ref="B60:J60" si="33">SUM(B61:B62)</f>
        <v>9017.6254000000008</v>
      </c>
      <c r="C60" s="172">
        <f t="shared" si="33"/>
        <v>2106.0816</v>
      </c>
      <c r="D60" s="172">
        <f t="shared" si="33"/>
        <v>173.1704</v>
      </c>
      <c r="E60" s="172">
        <f t="shared" si="33"/>
        <v>0</v>
      </c>
      <c r="F60" s="172">
        <f t="shared" si="33"/>
        <v>0</v>
      </c>
      <c r="G60" s="172">
        <f t="shared" si="33"/>
        <v>1015.5890000000001</v>
      </c>
      <c r="H60" s="172">
        <f t="shared" si="33"/>
        <v>13000</v>
      </c>
      <c r="I60" s="172">
        <f t="shared" si="33"/>
        <v>250</v>
      </c>
      <c r="J60" s="172">
        <f t="shared" si="33"/>
        <v>25562.466400000001</v>
      </c>
      <c r="L60" s="226" t="s">
        <v>85</v>
      </c>
      <c r="M60" s="331">
        <f t="shared" ref="M60:S60" si="34">SUM(M61:M62)</f>
        <v>4.0705190955137652E-2</v>
      </c>
      <c r="N60" s="331">
        <f t="shared" si="34"/>
        <v>5.3822946579262801E-2</v>
      </c>
      <c r="O60" s="331">
        <f t="shared" si="34"/>
        <v>2.8892224567971074E-3</v>
      </c>
      <c r="P60" s="331">
        <f t="shared" si="34"/>
        <v>0</v>
      </c>
      <c r="Q60" s="331">
        <f t="shared" si="34"/>
        <v>0</v>
      </c>
      <c r="R60" s="331">
        <f t="shared" si="34"/>
        <v>2.1058156712366039E-2</v>
      </c>
      <c r="S60" s="331">
        <f t="shared" si="34"/>
        <v>0.16328819757262297</v>
      </c>
      <c r="T60" s="331">
        <f t="shared" ref="T60" si="35">SUM(T61:T62)</f>
        <v>3.0421027013871987E-2</v>
      </c>
    </row>
    <row r="61" spans="1:20" s="173" customFormat="1" ht="16" x14ac:dyDescent="0.2">
      <c r="A61" s="169" t="s">
        <v>26</v>
      </c>
      <c r="B61" s="170">
        <f>'SatışEkibi YS-Yen. Hed - 600'!B61</f>
        <v>2500</v>
      </c>
      <c r="C61" s="170">
        <f>'SatışEkibi YS-Yen. Hed - 600'!C61</f>
        <v>1000</v>
      </c>
      <c r="D61" s="170">
        <f>'SatışEkibi YS-Yen. Hed - 600'!D61</f>
        <v>0</v>
      </c>
      <c r="E61" s="170">
        <f>'SatışEkibi YS-Yen. Hed - 600'!E61</f>
        <v>0</v>
      </c>
      <c r="F61" s="170">
        <f>'SatışEkibi YS-Yen. Hed - 600'!F61</f>
        <v>0</v>
      </c>
      <c r="G61" s="170">
        <f>'SatışEkibi YS-Yen. Hed - 600'!G61</f>
        <v>500</v>
      </c>
      <c r="H61" s="173">
        <v>11000</v>
      </c>
      <c r="I61" s="170">
        <f>'SatışEkibi YS-Yen. Hed - 600'!I61</f>
        <v>250</v>
      </c>
      <c r="J61" s="170">
        <f>SUM(B61:I61)</f>
        <v>15250</v>
      </c>
      <c r="L61" s="238" t="s">
        <v>26</v>
      </c>
      <c r="M61" s="330">
        <f>B60/$B$31</f>
        <v>3.1869777937811691E-2</v>
      </c>
      <c r="N61" s="329">
        <f>C60/$C$31</f>
        <v>3.6494700412367895E-2</v>
      </c>
      <c r="O61" s="330">
        <f>D60/$D$31</f>
        <v>2.8892224567971074E-3</v>
      </c>
      <c r="P61" s="329">
        <f>E60/$E$31</f>
        <v>0</v>
      </c>
      <c r="Q61" s="329">
        <f>F60/$F$31</f>
        <v>0</v>
      </c>
      <c r="R61" s="329">
        <f>G60/$G$31</f>
        <v>1.4110970927708709E-2</v>
      </c>
      <c r="S61" s="329">
        <f>H60/$H$31</f>
        <v>8.8447773685170775E-2</v>
      </c>
      <c r="T61" s="329">
        <f>I60/$I$31</f>
        <v>1.5210513506935993E-2</v>
      </c>
    </row>
    <row r="62" spans="1:20" s="173" customFormat="1" ht="16" x14ac:dyDescent="0.2">
      <c r="A62" s="169" t="s">
        <v>28</v>
      </c>
      <c r="B62" s="170">
        <f>'SatışEkibi YS-Yen. Hed - 600'!B62</f>
        <v>6517.6254000000008</v>
      </c>
      <c r="C62" s="170">
        <f>'SatışEkibi YS-Yen. Hed - 600'!C62</f>
        <v>1106.0816</v>
      </c>
      <c r="D62" s="170">
        <f>'SatışEkibi YS-Yen. Hed - 600'!D62</f>
        <v>173.1704</v>
      </c>
      <c r="E62" s="170">
        <f>'SatışEkibi YS-Yen. Hed - 600'!E62</f>
        <v>0</v>
      </c>
      <c r="F62" s="170">
        <f>'SatışEkibi YS-Yen. Hed - 600'!F62</f>
        <v>0</v>
      </c>
      <c r="G62" s="170">
        <f>'SatışEkibi YS-Yen. Hed - 600'!G62</f>
        <v>515.58900000000006</v>
      </c>
      <c r="H62" s="173">
        <v>2000</v>
      </c>
      <c r="I62" s="170">
        <f>'SatışEkibi YS-Yen. Hed - 600'!I62</f>
        <v>0</v>
      </c>
      <c r="J62" s="170">
        <f>SUM(B62:I62)</f>
        <v>10312.466400000001</v>
      </c>
      <c r="L62" s="238" t="s">
        <v>28</v>
      </c>
      <c r="M62" s="330">
        <f>B61/$B$31</f>
        <v>8.8354130173259621E-3</v>
      </c>
      <c r="N62" s="329">
        <f>C61/$C$31</f>
        <v>1.732824616689491E-2</v>
      </c>
      <c r="O62" s="330">
        <f>D61/$D$31</f>
        <v>0</v>
      </c>
      <c r="P62" s="329">
        <f>E61/$E$31</f>
        <v>0</v>
      </c>
      <c r="Q62" s="329">
        <f>F61/$F$31</f>
        <v>0</v>
      </c>
      <c r="R62" s="329">
        <f>G61/$G$31</f>
        <v>6.9471857846573311E-3</v>
      </c>
      <c r="S62" s="329">
        <f>H61/$H$31</f>
        <v>7.4840423887452198E-2</v>
      </c>
      <c r="T62" s="329">
        <f>I61/$I$31</f>
        <v>1.5210513506935993E-2</v>
      </c>
    </row>
    <row r="63" spans="1:20" s="171" customFormat="1" ht="16" x14ac:dyDescent="0.2">
      <c r="A63" s="171" t="s">
        <v>86</v>
      </c>
      <c r="B63" s="172">
        <f t="shared" ref="B63:J63" si="36">SUM(B64:B65)</f>
        <v>9017.6254000000008</v>
      </c>
      <c r="C63" s="172">
        <f t="shared" si="36"/>
        <v>2212.1632</v>
      </c>
      <c r="D63" s="172">
        <f t="shared" si="36"/>
        <v>173.1704</v>
      </c>
      <c r="E63" s="172">
        <f t="shared" si="36"/>
        <v>0</v>
      </c>
      <c r="F63" s="172">
        <f t="shared" si="36"/>
        <v>0</v>
      </c>
      <c r="G63" s="172">
        <f t="shared" si="36"/>
        <v>1630</v>
      </c>
      <c r="H63" s="172">
        <f t="shared" si="36"/>
        <v>13000</v>
      </c>
      <c r="I63" s="172">
        <f t="shared" si="36"/>
        <v>250</v>
      </c>
      <c r="J63" s="172">
        <f t="shared" si="36"/>
        <v>26282.959000000003</v>
      </c>
      <c r="L63" s="226" t="s">
        <v>86</v>
      </c>
      <c r="M63" s="331">
        <f t="shared" ref="M63:S63" si="37">SUM(M64:M65)</f>
        <v>4.0705190955137652E-2</v>
      </c>
      <c r="N63" s="331">
        <f t="shared" si="37"/>
        <v>5.7499362736418966E-2</v>
      </c>
      <c r="O63" s="331">
        <f t="shared" si="37"/>
        <v>2.8892224567971074E-3</v>
      </c>
      <c r="P63" s="331">
        <f t="shared" si="37"/>
        <v>0</v>
      </c>
      <c r="Q63" s="331">
        <f t="shared" si="37"/>
        <v>0</v>
      </c>
      <c r="R63" s="331">
        <f t="shared" si="37"/>
        <v>2.9595011442640231E-2</v>
      </c>
      <c r="S63" s="331">
        <f t="shared" si="37"/>
        <v>0.16328819757262297</v>
      </c>
      <c r="T63" s="331">
        <f t="shared" ref="T63" si="38">SUM(T64:T65)</f>
        <v>3.0421027013871987E-2</v>
      </c>
    </row>
    <row r="64" spans="1:20" s="173" customFormat="1" ht="16" x14ac:dyDescent="0.2">
      <c r="A64" s="169" t="s">
        <v>26</v>
      </c>
      <c r="B64" s="170">
        <f>'SatışEkibi YS-Yen. Hed - 600'!B64</f>
        <v>2500</v>
      </c>
      <c r="C64" s="170">
        <f>'SatışEkibi YS-Yen. Hed - 600'!C64</f>
        <v>1106.0816</v>
      </c>
      <c r="D64" s="170">
        <f>'SatışEkibi YS-Yen. Hed - 600'!D64</f>
        <v>0</v>
      </c>
      <c r="E64" s="170">
        <f>'SatışEkibi YS-Yen. Hed - 600'!E64</f>
        <v>0</v>
      </c>
      <c r="F64" s="170">
        <f>'SatışEkibi YS-Yen. Hed - 600'!F64</f>
        <v>0</v>
      </c>
      <c r="G64" s="170">
        <f>'SatışEkibi YS-Yen. Hed - 600'!G64</f>
        <v>500</v>
      </c>
      <c r="H64" s="173">
        <v>11000</v>
      </c>
      <c r="I64" s="170">
        <f>'SatışEkibi YS-Yen. Hed - 600'!I64</f>
        <v>250</v>
      </c>
      <c r="J64" s="170">
        <f>SUM(B64:I64)</f>
        <v>15356.0816</v>
      </c>
      <c r="L64" s="238" t="s">
        <v>26</v>
      </c>
      <c r="M64" s="330">
        <f>B63/$B$31</f>
        <v>3.1869777937811691E-2</v>
      </c>
      <c r="N64" s="329">
        <f>C63/$C$31</f>
        <v>3.8332908490945977E-2</v>
      </c>
      <c r="O64" s="330">
        <f>D63/$D$31</f>
        <v>2.8892224567971074E-3</v>
      </c>
      <c r="P64" s="329">
        <f>E63/$E$31</f>
        <v>0</v>
      </c>
      <c r="Q64" s="329">
        <f>F63/$F$31</f>
        <v>0</v>
      </c>
      <c r="R64" s="329">
        <f>G63/$G$31</f>
        <v>2.2647825657982901E-2</v>
      </c>
      <c r="S64" s="329">
        <f>H63/$H$31</f>
        <v>8.8447773685170775E-2</v>
      </c>
      <c r="T64" s="329">
        <f>I63/$I$31</f>
        <v>1.5210513506935993E-2</v>
      </c>
    </row>
    <row r="65" spans="1:20" s="173" customFormat="1" ht="16" x14ac:dyDescent="0.2">
      <c r="A65" s="169" t="s">
        <v>28</v>
      </c>
      <c r="B65" s="170">
        <f>'SatışEkibi YS-Yen. Hed - 600'!B65</f>
        <v>6517.6254000000008</v>
      </c>
      <c r="C65" s="170">
        <f>'SatışEkibi YS-Yen. Hed - 600'!C65</f>
        <v>1106.0816</v>
      </c>
      <c r="D65" s="170">
        <f>'SatışEkibi YS-Yen. Hed - 600'!D65</f>
        <v>173.1704</v>
      </c>
      <c r="E65" s="170">
        <f>'SatışEkibi YS-Yen. Hed - 600'!E65</f>
        <v>0</v>
      </c>
      <c r="F65" s="170">
        <f>'SatışEkibi YS-Yen. Hed - 600'!F65</f>
        <v>0</v>
      </c>
      <c r="G65" s="170">
        <f>'SatışEkibi YS-Yen. Hed - 600'!G65</f>
        <v>1130</v>
      </c>
      <c r="H65" s="173">
        <v>2000</v>
      </c>
      <c r="I65" s="170">
        <f>'SatışEkibi YS-Yen. Hed - 600'!I65</f>
        <v>0</v>
      </c>
      <c r="J65" s="170">
        <f>SUM(B65:I65)</f>
        <v>10926.877400000001</v>
      </c>
      <c r="L65" s="238" t="s">
        <v>28</v>
      </c>
      <c r="M65" s="330">
        <f>B64/$B$31</f>
        <v>8.8354130173259621E-3</v>
      </c>
      <c r="N65" s="329">
        <f>C64/$C$31</f>
        <v>1.9166454245472989E-2</v>
      </c>
      <c r="O65" s="330">
        <f>D64/$D$31</f>
        <v>0</v>
      </c>
      <c r="P65" s="329">
        <f>E64/$E$31</f>
        <v>0</v>
      </c>
      <c r="Q65" s="329">
        <f>F64/$F$31</f>
        <v>0</v>
      </c>
      <c r="R65" s="329">
        <f>G64/$G$31</f>
        <v>6.9471857846573311E-3</v>
      </c>
      <c r="S65" s="329">
        <f>H64/$H$31</f>
        <v>7.4840423887452198E-2</v>
      </c>
      <c r="T65" s="329">
        <f>I64/$I$31</f>
        <v>1.5210513506935993E-2</v>
      </c>
    </row>
    <row r="66" spans="1:20" s="171" customFormat="1" ht="16" x14ac:dyDescent="0.2">
      <c r="A66" s="171" t="s">
        <v>87</v>
      </c>
      <c r="B66" s="170">
        <f>'SatışEkibi YS-Yen. Hed - 600'!B66</f>
        <v>0</v>
      </c>
      <c r="C66" s="170">
        <f>'SatışEkibi YS-Yen. Hed - 600'!C66</f>
        <v>0</v>
      </c>
      <c r="D66" s="170">
        <f>'SatışEkibi YS-Yen. Hed - 600'!D66</f>
        <v>0</v>
      </c>
      <c r="E66" s="170">
        <f>'SatışEkibi YS-Yen. Hed - 600'!E66</f>
        <v>0</v>
      </c>
      <c r="F66" s="170">
        <f>'SatışEkibi YS-Yen. Hed - 600'!F66</f>
        <v>0</v>
      </c>
      <c r="G66" s="170">
        <f>'SatışEkibi YS-Yen. Hed - 600'!G66</f>
        <v>0</v>
      </c>
      <c r="H66" s="172">
        <f t="shared" ref="H66:J66" si="39">SUM(H67:H68)</f>
        <v>49979.392</v>
      </c>
      <c r="I66" s="172">
        <f t="shared" si="39"/>
        <v>0</v>
      </c>
      <c r="J66" s="172">
        <f t="shared" si="39"/>
        <v>49979.392</v>
      </c>
      <c r="L66" s="226" t="s">
        <v>87</v>
      </c>
      <c r="M66" s="331">
        <f t="shared" ref="M66:S66" si="40">SUM(M67:M68)</f>
        <v>0</v>
      </c>
      <c r="N66" s="331">
        <f t="shared" si="40"/>
        <v>0</v>
      </c>
      <c r="O66" s="331">
        <f t="shared" si="40"/>
        <v>0</v>
      </c>
      <c r="P66" s="331">
        <f t="shared" si="40"/>
        <v>0</v>
      </c>
      <c r="Q66" s="331">
        <f t="shared" si="40"/>
        <v>0</v>
      </c>
      <c r="R66" s="331">
        <f t="shared" si="40"/>
        <v>0</v>
      </c>
      <c r="S66" s="331">
        <f t="shared" si="40"/>
        <v>0.46250968299011608</v>
      </c>
      <c r="T66" s="331">
        <f t="shared" ref="T66" si="41">SUM(T67:T68)</f>
        <v>0</v>
      </c>
    </row>
    <row r="67" spans="1:20" s="173" customFormat="1" ht="16" x14ac:dyDescent="0.2">
      <c r="A67" s="169" t="s">
        <v>26</v>
      </c>
      <c r="B67" s="170">
        <f>'SatışEkibi YS-Yen. Hed - 600'!B67</f>
        <v>0</v>
      </c>
      <c r="C67" s="170">
        <f>'SatışEkibi YS-Yen. Hed - 600'!C67</f>
        <v>0</v>
      </c>
      <c r="D67" s="170">
        <f>'SatışEkibi YS-Yen. Hed - 600'!D67</f>
        <v>0</v>
      </c>
      <c r="E67" s="170">
        <f>'SatışEkibi YS-Yen. Hed - 600'!E67</f>
        <v>0</v>
      </c>
      <c r="F67" s="170">
        <f>'SatışEkibi YS-Yen. Hed - 600'!F67</f>
        <v>0</v>
      </c>
      <c r="G67" s="170">
        <f>'SatışEkibi YS-Yen. Hed - 600'!G67</f>
        <v>0</v>
      </c>
      <c r="H67" s="170">
        <v>18000</v>
      </c>
      <c r="I67" s="170">
        <f>'SatışEkibi YS-Yen. Hed - 600'!I67</f>
        <v>0</v>
      </c>
      <c r="J67" s="170">
        <f>SUM(B67:I67)</f>
        <v>18000</v>
      </c>
      <c r="L67" s="238" t="s">
        <v>26</v>
      </c>
      <c r="M67" s="330">
        <f>B66/$B$31</f>
        <v>0</v>
      </c>
      <c r="N67" s="329">
        <f>C66/$C$31</f>
        <v>0</v>
      </c>
      <c r="O67" s="330">
        <f>D66/$D$31</f>
        <v>0</v>
      </c>
      <c r="P67" s="329">
        <f>E66/$E$31</f>
        <v>0</v>
      </c>
      <c r="Q67" s="329">
        <f>F66/$F$31</f>
        <v>0</v>
      </c>
      <c r="R67" s="329">
        <f>G66/$G$31</f>
        <v>0</v>
      </c>
      <c r="S67" s="329">
        <f>H66/$H$31</f>
        <v>0.34004353481064886</v>
      </c>
      <c r="T67" s="329">
        <f>I66/$I$31</f>
        <v>0</v>
      </c>
    </row>
    <row r="68" spans="1:20" s="173" customFormat="1" ht="16" x14ac:dyDescent="0.2">
      <c r="A68" s="169" t="s">
        <v>28</v>
      </c>
      <c r="B68" s="170"/>
      <c r="C68" s="170"/>
      <c r="D68" s="170"/>
      <c r="E68" s="170"/>
      <c r="F68" s="170"/>
      <c r="G68" s="170"/>
      <c r="H68" s="170">
        <f>(32000000-20608)/1000</f>
        <v>31979.392</v>
      </c>
      <c r="I68" s="170">
        <f>'SatışEkibi YS-Yen. Hed - 600'!I68</f>
        <v>0</v>
      </c>
      <c r="J68" s="170">
        <f>SUM(B68:I68)</f>
        <v>31979.392</v>
      </c>
      <c r="L68" s="238" t="s">
        <v>28</v>
      </c>
      <c r="M68" s="330">
        <f>B67/$B$31</f>
        <v>0</v>
      </c>
      <c r="N68" s="329">
        <f>C67/$C$31</f>
        <v>0</v>
      </c>
      <c r="O68" s="330">
        <f>D67/$D$31</f>
        <v>0</v>
      </c>
      <c r="P68" s="329">
        <f>E67/$E$31</f>
        <v>0</v>
      </c>
      <c r="Q68" s="329">
        <f>F67/$F$31</f>
        <v>0</v>
      </c>
      <c r="R68" s="329">
        <f>G67/$G$31</f>
        <v>0</v>
      </c>
      <c r="S68" s="329">
        <f>H67/$H$31</f>
        <v>0.12246614817946723</v>
      </c>
      <c r="T68" s="329">
        <f>I67/$I$31</f>
        <v>0</v>
      </c>
    </row>
    <row r="69" spans="1:20" s="173" customFormat="1" x14ac:dyDescent="0.2">
      <c r="A69" s="169"/>
      <c r="B69" s="170"/>
      <c r="C69" s="170"/>
      <c r="D69" s="170"/>
      <c r="E69" s="170"/>
      <c r="F69" s="170"/>
      <c r="G69" s="170"/>
      <c r="H69" s="170"/>
      <c r="I69" s="170"/>
      <c r="J69" s="170"/>
    </row>
    <row r="70" spans="1:20" s="173" customFormat="1" x14ac:dyDescent="0.2">
      <c r="A70" s="169"/>
      <c r="B70" s="170"/>
      <c r="C70" s="170"/>
      <c r="D70" s="170"/>
      <c r="E70" s="170"/>
      <c r="F70" s="170"/>
      <c r="G70" s="170"/>
      <c r="H70" s="170"/>
      <c r="I70" s="170"/>
      <c r="J70" s="170"/>
    </row>
    <row r="71" spans="1:20" s="173" customFormat="1" x14ac:dyDescent="0.2">
      <c r="A71" s="391" t="s">
        <v>106</v>
      </c>
      <c r="B71" s="391"/>
      <c r="C71" s="391"/>
      <c r="D71" s="391"/>
      <c r="E71" s="391"/>
      <c r="F71" s="391"/>
      <c r="G71" s="391"/>
      <c r="H71" s="170"/>
      <c r="I71" s="170"/>
      <c r="J71" s="170"/>
    </row>
    <row r="72" spans="1:20" s="173" customFormat="1" x14ac:dyDescent="0.2">
      <c r="A72" s="196" t="s">
        <v>51</v>
      </c>
      <c r="B72" s="197" t="s">
        <v>25</v>
      </c>
      <c r="C72" s="197" t="s">
        <v>29</v>
      </c>
      <c r="D72" s="197" t="s">
        <v>34</v>
      </c>
      <c r="E72" s="197" t="s">
        <v>27</v>
      </c>
      <c r="F72" s="197" t="s">
        <v>33</v>
      </c>
      <c r="G72" s="197" t="s">
        <v>30</v>
      </c>
      <c r="H72" s="170"/>
      <c r="I72" s="170"/>
      <c r="J72" s="170"/>
    </row>
    <row r="73" spans="1:20" s="173" customFormat="1" x14ac:dyDescent="0.2">
      <c r="A73" s="196" t="s">
        <v>107</v>
      </c>
      <c r="B73" s="198">
        <v>9523352.2026000004</v>
      </c>
      <c r="C73" s="198">
        <v>1494119</v>
      </c>
      <c r="D73" s="198">
        <v>811089.98160000041</v>
      </c>
      <c r="E73" s="198">
        <v>266415.84999999998</v>
      </c>
      <c r="F73" s="198">
        <v>2060183.4100000008</v>
      </c>
      <c r="G73" s="199">
        <f>SUM(B73:F73)</f>
        <v>14155160.4442</v>
      </c>
      <c r="H73" s="170"/>
      <c r="I73" s="170"/>
      <c r="J73" s="170"/>
    </row>
    <row r="74" spans="1:20" s="173" customFormat="1" x14ac:dyDescent="0.2">
      <c r="A74" s="196" t="s">
        <v>86</v>
      </c>
      <c r="B74" s="198">
        <v>503764</v>
      </c>
      <c r="C74" s="198">
        <v>207545</v>
      </c>
      <c r="D74" s="198"/>
      <c r="E74" s="198"/>
      <c r="F74" s="198">
        <v>110228.5</v>
      </c>
      <c r="G74" s="199">
        <f>SUM(B74:F74)</f>
        <v>821537.5</v>
      </c>
      <c r="H74" s="170"/>
      <c r="I74" s="170"/>
      <c r="J74" s="170"/>
    </row>
    <row r="75" spans="1:20" s="173" customFormat="1" x14ac:dyDescent="0.2">
      <c r="A75" s="196" t="s">
        <v>30</v>
      </c>
      <c r="B75" s="198">
        <f>SUM(B73:B74)</f>
        <v>10027116.2026</v>
      </c>
      <c r="C75" s="198">
        <f t="shared" ref="C75:G75" si="42">SUM(C73:C74)</f>
        <v>1701664</v>
      </c>
      <c r="D75" s="198">
        <f t="shared" si="42"/>
        <v>811089.98160000041</v>
      </c>
      <c r="E75" s="198">
        <f t="shared" si="42"/>
        <v>266415.84999999998</v>
      </c>
      <c r="F75" s="198">
        <f t="shared" si="42"/>
        <v>2170411.9100000011</v>
      </c>
      <c r="G75" s="199">
        <f t="shared" si="42"/>
        <v>14976697.9442</v>
      </c>
      <c r="H75" s="170"/>
      <c r="I75" s="170"/>
      <c r="J75" s="170"/>
    </row>
    <row r="76" spans="1:20" s="173" customFormat="1" x14ac:dyDescent="0.2">
      <c r="A76" s="169"/>
      <c r="B76" s="170"/>
      <c r="C76" s="170"/>
      <c r="D76" s="170"/>
      <c r="E76" s="170"/>
      <c r="F76" s="170"/>
      <c r="G76" s="170"/>
      <c r="H76" s="170"/>
      <c r="I76" s="170"/>
      <c r="J76" s="170"/>
    </row>
    <row r="77" spans="1:20" s="171" customFormat="1" x14ac:dyDescent="0.2">
      <c r="A77" s="171" t="s">
        <v>108</v>
      </c>
      <c r="F77" s="170"/>
      <c r="G77" s="170"/>
      <c r="K77" s="200"/>
    </row>
    <row r="78" spans="1:20" x14ac:dyDescent="0.2">
      <c r="A78" s="178" t="s">
        <v>109</v>
      </c>
      <c r="H78" s="171"/>
      <c r="J78" s="174"/>
    </row>
    <row r="79" spans="1:20" x14ac:dyDescent="0.2">
      <c r="A79" s="178" t="s">
        <v>110</v>
      </c>
      <c r="H79" s="171"/>
      <c r="J79" s="174"/>
    </row>
    <row r="80" spans="1:20" x14ac:dyDescent="0.2">
      <c r="A80" s="178" t="s">
        <v>111</v>
      </c>
      <c r="H80" s="171"/>
      <c r="J80" s="174"/>
    </row>
    <row r="81" spans="1:19" x14ac:dyDescent="0.2">
      <c r="A81" s="178" t="s">
        <v>112</v>
      </c>
      <c r="H81" s="171"/>
      <c r="J81" s="174"/>
    </row>
    <row r="82" spans="1:19" ht="15" x14ac:dyDescent="0.2">
      <c r="A82" s="178" t="s">
        <v>113</v>
      </c>
      <c r="H82" s="171"/>
      <c r="J82" s="201" t="s">
        <v>49</v>
      </c>
      <c r="K82" s="201" t="s">
        <v>50</v>
      </c>
      <c r="L82" s="201"/>
      <c r="M82" s="201"/>
      <c r="N82" s="201"/>
    </row>
    <row r="83" spans="1:19" ht="15" x14ac:dyDescent="0.2">
      <c r="A83" s="178" t="s">
        <v>114</v>
      </c>
      <c r="H83" s="171"/>
      <c r="J83" s="201"/>
      <c r="K83" s="201">
        <v>2025</v>
      </c>
      <c r="L83" s="201"/>
      <c r="M83" s="201"/>
      <c r="N83" s="201" t="s">
        <v>115</v>
      </c>
    </row>
    <row r="84" spans="1:19" ht="15" x14ac:dyDescent="0.2">
      <c r="J84" s="201" t="s">
        <v>51</v>
      </c>
      <c r="K84" s="202" t="s">
        <v>116</v>
      </c>
      <c r="L84" s="202" t="s">
        <v>117</v>
      </c>
      <c r="M84" s="202" t="s">
        <v>118</v>
      </c>
      <c r="N84" s="201"/>
    </row>
    <row r="85" spans="1:19" ht="15" x14ac:dyDescent="0.2">
      <c r="J85" s="203" t="s">
        <v>63</v>
      </c>
      <c r="K85" s="204">
        <v>12842828.189999999</v>
      </c>
      <c r="L85" s="204"/>
      <c r="M85" s="204"/>
      <c r="N85" s="204">
        <v>86075877.70757401</v>
      </c>
    </row>
    <row r="86" spans="1:19" ht="15" x14ac:dyDescent="0.2">
      <c r="J86" s="203" t="s">
        <v>57</v>
      </c>
      <c r="K86" s="204">
        <v>15740483.049999999</v>
      </c>
      <c r="L86" s="204"/>
      <c r="M86" s="204"/>
      <c r="N86" s="204">
        <v>70065190.574976012</v>
      </c>
    </row>
    <row r="87" spans="1:19" ht="15" x14ac:dyDescent="0.2">
      <c r="J87" s="203" t="s">
        <v>119</v>
      </c>
      <c r="K87" s="204">
        <v>9876114.9000000004</v>
      </c>
      <c r="L87" s="204"/>
      <c r="M87" s="204"/>
      <c r="N87" s="204">
        <v>64295411.151034027</v>
      </c>
    </row>
    <row r="88" spans="1:19" s="205" customFormat="1" ht="75" x14ac:dyDescent="0.2">
      <c r="B88" s="205" t="s">
        <v>89</v>
      </c>
      <c r="C88" s="205" t="s">
        <v>90</v>
      </c>
      <c r="D88" s="205" t="s">
        <v>91</v>
      </c>
      <c r="E88" s="205" t="s">
        <v>92</v>
      </c>
      <c r="F88" s="205" t="s">
        <v>30</v>
      </c>
      <c r="J88" s="206" t="s">
        <v>66</v>
      </c>
      <c r="K88" s="207">
        <v>4348138.6199999992</v>
      </c>
      <c r="L88" s="207"/>
      <c r="M88" s="207"/>
      <c r="N88" s="207">
        <v>40638236.454899989</v>
      </c>
      <c r="P88" s="205">
        <v>2025</v>
      </c>
    </row>
    <row r="89" spans="1:19" ht="15" x14ac:dyDescent="0.2">
      <c r="A89" s="178" t="s">
        <v>62</v>
      </c>
      <c r="B89" s="181">
        <v>0.39425700677297171</v>
      </c>
      <c r="C89" s="181">
        <v>0.37992754226433922</v>
      </c>
      <c r="D89" s="174">
        <v>115309551.57342194</v>
      </c>
      <c r="E89" s="174">
        <v>105523680.54799403</v>
      </c>
      <c r="F89" s="174">
        <v>220833232.12141597</v>
      </c>
      <c r="J89" s="203" t="s">
        <v>64</v>
      </c>
      <c r="K89" s="204">
        <v>3635415.0760000004</v>
      </c>
      <c r="L89" s="204"/>
      <c r="M89" s="204"/>
      <c r="N89" s="204">
        <v>26506095.810399998</v>
      </c>
      <c r="Q89" s="178" t="s">
        <v>120</v>
      </c>
      <c r="R89" s="178" t="s">
        <v>33</v>
      </c>
      <c r="S89" s="178" t="s">
        <v>30</v>
      </c>
    </row>
    <row r="90" spans="1:19" ht="15" x14ac:dyDescent="0.2">
      <c r="A90" s="178" t="s">
        <v>57</v>
      </c>
      <c r="B90" s="181">
        <v>0.32003246973140814</v>
      </c>
      <c r="C90" s="181">
        <v>0.2856602111512811</v>
      </c>
      <c r="D90" s="174">
        <v>93600874.403516814</v>
      </c>
      <c r="E90" s="174">
        <v>79341225.664095998</v>
      </c>
      <c r="F90" s="174">
        <v>172942100.06761283</v>
      </c>
      <c r="J90" s="203" t="s">
        <v>121</v>
      </c>
      <c r="K90" s="204">
        <v>3974091.46</v>
      </c>
      <c r="L90" s="204">
        <v>14267008.5</v>
      </c>
      <c r="M90" s="204">
        <v>48000</v>
      </c>
      <c r="N90" s="204">
        <v>18881099.960000001</v>
      </c>
      <c r="P90" s="178" t="s">
        <v>122</v>
      </c>
      <c r="Q90" s="208">
        <f>SUM(K90:M91,K95:L95,L96)</f>
        <v>25620610.127</v>
      </c>
    </row>
    <row r="91" spans="1:19" ht="15" x14ac:dyDescent="0.2">
      <c r="A91" s="178" t="s">
        <v>66</v>
      </c>
      <c r="B91" s="181">
        <v>0.18419939414914829</v>
      </c>
      <c r="C91" s="181">
        <v>0.15362091334410377</v>
      </c>
      <c r="D91" s="174">
        <v>53873359.698246427</v>
      </c>
      <c r="E91" s="174">
        <v>42667725.768445417</v>
      </c>
      <c r="F91" s="174">
        <v>96541085.466691852</v>
      </c>
      <c r="J91" s="203" t="s">
        <v>107</v>
      </c>
      <c r="K91" s="204">
        <v>4784830.2569999993</v>
      </c>
      <c r="L91" s="204">
        <v>2060183.4100000008</v>
      </c>
      <c r="M91" s="204"/>
      <c r="N91" s="204">
        <v>14155160.444199996</v>
      </c>
    </row>
    <row r="92" spans="1:19" ht="15" x14ac:dyDescent="0.2">
      <c r="A92" s="178" t="s">
        <v>64</v>
      </c>
      <c r="B92" s="181">
        <v>4.8075188069685471E-2</v>
      </c>
      <c r="C92" s="181">
        <v>4.9231834711726229E-2</v>
      </c>
      <c r="D92" s="174">
        <v>14060697.166798946</v>
      </c>
      <c r="E92" s="174">
        <v>13673987.329134645</v>
      </c>
      <c r="F92" s="174">
        <v>27734684.495933592</v>
      </c>
      <c r="J92" s="203" t="s">
        <v>123</v>
      </c>
      <c r="K92" s="204">
        <v>2471076</v>
      </c>
      <c r="L92" s="204"/>
      <c r="M92" s="204"/>
      <c r="N92" s="204">
        <v>9551974.2750000004</v>
      </c>
    </row>
    <row r="93" spans="1:19" ht="15" x14ac:dyDescent="0.2">
      <c r="A93" s="178" t="s">
        <v>65</v>
      </c>
      <c r="B93" s="181">
        <v>3.05804403973488E-2</v>
      </c>
      <c r="C93" s="181">
        <v>8.5009825479939377E-2</v>
      </c>
      <c r="D93" s="174">
        <v>8943954.8532020841</v>
      </c>
      <c r="E93" s="174">
        <v>23611211.795602009</v>
      </c>
      <c r="F93" s="174">
        <v>32555166.648804091</v>
      </c>
      <c r="J93" s="203" t="s">
        <v>124</v>
      </c>
      <c r="K93" s="204">
        <v>2588</v>
      </c>
      <c r="L93" s="204">
        <v>4217588.5520000001</v>
      </c>
      <c r="M93" s="204"/>
      <c r="N93" s="204">
        <v>4220176.5520000001</v>
      </c>
    </row>
    <row r="94" spans="1:19" ht="15" x14ac:dyDescent="0.2">
      <c r="A94" s="178" t="s">
        <v>125</v>
      </c>
      <c r="B94" s="181">
        <v>2.2855500879437343E-2</v>
      </c>
      <c r="C94" s="181">
        <v>4.6549673048610136E-2</v>
      </c>
      <c r="D94" s="174">
        <v>6684618.1859019389</v>
      </c>
      <c r="E94" s="174">
        <v>12929025.358676037</v>
      </c>
      <c r="F94" s="174">
        <v>19613643.544577975</v>
      </c>
      <c r="J94" s="203" t="s">
        <v>126</v>
      </c>
      <c r="K94" s="204"/>
      <c r="L94" s="204"/>
      <c r="M94" s="204"/>
      <c r="N94" s="204">
        <v>1372125</v>
      </c>
    </row>
    <row r="95" spans="1:19" ht="15" x14ac:dyDescent="0.2">
      <c r="A95" s="178" t="s">
        <v>87</v>
      </c>
      <c r="B95" s="181"/>
      <c r="C95" s="181"/>
      <c r="D95" s="174"/>
      <c r="E95" s="174"/>
      <c r="F95" s="174">
        <v>0</v>
      </c>
      <c r="J95" s="203" t="s">
        <v>86</v>
      </c>
      <c r="K95" s="204">
        <v>374310</v>
      </c>
      <c r="L95" s="204">
        <v>110228.5</v>
      </c>
      <c r="M95" s="204"/>
      <c r="N95" s="204">
        <v>821537.5</v>
      </c>
    </row>
    <row r="96" spans="1:19" ht="15" x14ac:dyDescent="0.2">
      <c r="A96" s="178" t="s">
        <v>88</v>
      </c>
      <c r="B96" s="181"/>
      <c r="C96" s="181"/>
      <c r="D96" s="174"/>
      <c r="E96" s="174"/>
      <c r="F96" s="174">
        <v>0</v>
      </c>
      <c r="J96" s="203" t="s">
        <v>127</v>
      </c>
      <c r="K96" s="204"/>
      <c r="L96" s="204">
        <v>1958</v>
      </c>
      <c r="M96" s="204"/>
      <c r="N96" s="204">
        <v>1958</v>
      </c>
    </row>
    <row r="97" spans="1:14" ht="15" x14ac:dyDescent="0.2">
      <c r="B97" s="181">
        <v>0.96678466653897799</v>
      </c>
      <c r="C97" s="181">
        <v>0.91796879440766355</v>
      </c>
      <c r="D97" s="174">
        <v>302521405.23506796</v>
      </c>
      <c r="E97" s="174">
        <v>302566773.68120062</v>
      </c>
      <c r="F97" s="174">
        <v>605088178.91626859</v>
      </c>
      <c r="J97" s="203" t="s">
        <v>56</v>
      </c>
      <c r="K97" s="204">
        <v>58049875.552999988</v>
      </c>
      <c r="L97" s="204">
        <v>20656966.962000001</v>
      </c>
      <c r="M97" s="204">
        <v>48000</v>
      </c>
      <c r="N97" s="204">
        <v>336584843.43008399</v>
      </c>
    </row>
    <row r="99" spans="1:14" s="205" customFormat="1" ht="30" x14ac:dyDescent="0.2">
      <c r="B99" s="209" t="s">
        <v>62</v>
      </c>
      <c r="C99" s="209" t="s">
        <v>57</v>
      </c>
      <c r="D99" s="209" t="s">
        <v>66</v>
      </c>
      <c r="E99" s="209" t="s">
        <v>64</v>
      </c>
      <c r="F99" s="209" t="s">
        <v>65</v>
      </c>
      <c r="G99" s="209" t="s">
        <v>58</v>
      </c>
      <c r="H99" s="209" t="s">
        <v>87</v>
      </c>
      <c r="I99" s="209" t="s">
        <v>88</v>
      </c>
    </row>
    <row r="100" spans="1:14" x14ac:dyDescent="0.2">
      <c r="A100" s="178" t="s">
        <v>89</v>
      </c>
      <c r="B100" s="210">
        <v>0.32</v>
      </c>
      <c r="C100" s="210">
        <v>0.25</v>
      </c>
      <c r="D100" s="210">
        <v>0.15</v>
      </c>
      <c r="E100" s="210">
        <v>4.8075188069685471E-2</v>
      </c>
      <c r="F100" s="210">
        <v>3.05804403973488E-2</v>
      </c>
      <c r="G100" s="210">
        <v>2.2855500879437343E-2</v>
      </c>
      <c r="H100" s="181"/>
      <c r="I100" s="181"/>
      <c r="J100" s="181">
        <v>0.96678466653897799</v>
      </c>
    </row>
    <row r="101" spans="1:14" x14ac:dyDescent="0.2">
      <c r="A101" s="178" t="s">
        <v>90</v>
      </c>
      <c r="B101" s="210">
        <v>0.37992754226433922</v>
      </c>
      <c r="C101" s="210">
        <v>0.2856602111512811</v>
      </c>
      <c r="D101" s="210">
        <v>0.15362091334410377</v>
      </c>
      <c r="E101" s="210">
        <v>4.9231834711726229E-2</v>
      </c>
      <c r="F101" s="210">
        <v>8.5009825479939377E-2</v>
      </c>
      <c r="G101" s="210">
        <v>4.6549673048610136E-2</v>
      </c>
      <c r="H101" s="181"/>
      <c r="I101" s="181"/>
      <c r="J101" s="181">
        <v>0.91796879440766355</v>
      </c>
    </row>
    <row r="102" spans="1:14" x14ac:dyDescent="0.2">
      <c r="A102" s="178" t="s">
        <v>91</v>
      </c>
      <c r="B102" s="174">
        <v>115309551.57342194</v>
      </c>
      <c r="C102" s="174">
        <v>93600874.403516814</v>
      </c>
      <c r="D102" s="174">
        <v>53873359.698246427</v>
      </c>
      <c r="E102" s="174">
        <v>14060697.166798946</v>
      </c>
      <c r="F102" s="174">
        <v>8943954.8532020841</v>
      </c>
      <c r="G102" s="174">
        <v>6684618.1859019389</v>
      </c>
      <c r="H102" s="174"/>
      <c r="I102" s="174"/>
      <c r="J102" s="174">
        <v>302521405.23506796</v>
      </c>
    </row>
    <row r="103" spans="1:14" x14ac:dyDescent="0.2">
      <c r="A103" s="178" t="s">
        <v>92</v>
      </c>
      <c r="B103" s="174">
        <v>105523680.54799403</v>
      </c>
      <c r="C103" s="174">
        <v>79341225.664095998</v>
      </c>
      <c r="D103" s="174">
        <v>42667725.768445417</v>
      </c>
      <c r="E103" s="174">
        <v>13673987.329134645</v>
      </c>
      <c r="F103" s="174">
        <v>23611211.795602009</v>
      </c>
      <c r="G103" s="174">
        <v>12929025.358676037</v>
      </c>
      <c r="H103" s="174"/>
      <c r="I103" s="174"/>
      <c r="J103" s="174">
        <v>302566773.68120062</v>
      </c>
    </row>
    <row r="104" spans="1:14" x14ac:dyDescent="0.2">
      <c r="A104" s="178" t="s">
        <v>30</v>
      </c>
      <c r="B104" s="174">
        <v>220833232.12141597</v>
      </c>
      <c r="C104" s="174">
        <v>172942100.06761283</v>
      </c>
      <c r="D104" s="174">
        <v>96541085.466691852</v>
      </c>
      <c r="E104" s="174">
        <v>27734684.495933592</v>
      </c>
      <c r="F104" s="174">
        <v>32555166.648804091</v>
      </c>
      <c r="G104" s="174">
        <v>19613643.544577975</v>
      </c>
      <c r="H104" s="174">
        <v>0</v>
      </c>
      <c r="I104" s="174">
        <v>0</v>
      </c>
      <c r="J104" s="174">
        <v>605088178.91626859</v>
      </c>
    </row>
    <row r="108" spans="1:14" ht="15" x14ac:dyDescent="0.2">
      <c r="A108" s="201" t="s">
        <v>48</v>
      </c>
      <c r="B108" s="203">
        <v>2025</v>
      </c>
      <c r="C108" s="201"/>
      <c r="D108" s="201"/>
    </row>
    <row r="109" spans="1:14" ht="15" x14ac:dyDescent="0.2">
      <c r="A109" s="201"/>
      <c r="B109" s="201"/>
      <c r="C109" s="201"/>
      <c r="D109" s="201"/>
    </row>
    <row r="110" spans="1:14" ht="15" x14ac:dyDescent="0.2">
      <c r="A110" s="201" t="s">
        <v>49</v>
      </c>
      <c r="B110" s="201" t="s">
        <v>50</v>
      </c>
      <c r="C110" s="201"/>
      <c r="D110" s="201"/>
    </row>
    <row r="111" spans="1:14" ht="15" x14ac:dyDescent="0.2">
      <c r="A111" s="201" t="s">
        <v>51</v>
      </c>
      <c r="B111" s="201" t="s">
        <v>26</v>
      </c>
      <c r="C111" s="201" t="s">
        <v>28</v>
      </c>
      <c r="D111" s="201" t="s">
        <v>56</v>
      </c>
    </row>
    <row r="112" spans="1:14" ht="15" x14ac:dyDescent="0.2">
      <c r="A112" s="203" t="s">
        <v>128</v>
      </c>
      <c r="B112" s="204">
        <v>1800141</v>
      </c>
      <c r="C112" s="204">
        <v>9352629.4800000004</v>
      </c>
      <c r="D112" s="204">
        <v>11152770.48</v>
      </c>
    </row>
    <row r="113" spans="1:4" ht="15" x14ac:dyDescent="0.2">
      <c r="A113" s="203" t="s">
        <v>63</v>
      </c>
      <c r="B113" s="204">
        <v>29147202.787499998</v>
      </c>
      <c r="C113" s="204">
        <v>56928674.920074001</v>
      </c>
      <c r="D113" s="204">
        <v>86075877.707573995</v>
      </c>
    </row>
    <row r="114" spans="1:4" ht="15" x14ac:dyDescent="0.2">
      <c r="A114" s="203" t="s">
        <v>57</v>
      </c>
      <c r="B114" s="204">
        <v>34555057.508688003</v>
      </c>
      <c r="C114" s="204">
        <v>35510133.066287987</v>
      </c>
      <c r="D114" s="204">
        <v>70065190.574975997</v>
      </c>
    </row>
    <row r="115" spans="1:4" ht="15" x14ac:dyDescent="0.2">
      <c r="A115" s="203" t="s">
        <v>66</v>
      </c>
      <c r="B115" s="204">
        <v>11947199.506200004</v>
      </c>
      <c r="C115" s="204">
        <v>28691036.948700007</v>
      </c>
      <c r="D115" s="204">
        <v>40638236.454900011</v>
      </c>
    </row>
    <row r="116" spans="1:4" ht="15" x14ac:dyDescent="0.2">
      <c r="A116" s="203" t="s">
        <v>119</v>
      </c>
      <c r="B116" s="204">
        <v>24231633.048209995</v>
      </c>
      <c r="C116" s="204">
        <v>40063778.10282404</v>
      </c>
      <c r="D116" s="204">
        <v>64295411.151034035</v>
      </c>
    </row>
    <row r="117" spans="1:4" ht="15" x14ac:dyDescent="0.2">
      <c r="A117" s="203" t="s">
        <v>129</v>
      </c>
      <c r="B117" s="204"/>
      <c r="C117" s="204">
        <v>83842</v>
      </c>
      <c r="D117" s="204">
        <v>83842</v>
      </c>
    </row>
    <row r="118" spans="1:4" ht="15" x14ac:dyDescent="0.2">
      <c r="A118" s="203" t="s">
        <v>64</v>
      </c>
      <c r="B118" s="204">
        <v>7478352.6306000017</v>
      </c>
      <c r="C118" s="204">
        <v>19027743.179800004</v>
      </c>
      <c r="D118" s="204">
        <v>26506095.810400005</v>
      </c>
    </row>
    <row r="119" spans="1:4" ht="15" x14ac:dyDescent="0.2">
      <c r="A119" s="203" t="s">
        <v>130</v>
      </c>
      <c r="B119" s="204">
        <v>3017528.4444999993</v>
      </c>
      <c r="C119" s="204">
        <v>32273433.754688997</v>
      </c>
      <c r="D119" s="204">
        <v>35290962.199188992</v>
      </c>
    </row>
    <row r="120" spans="1:4" ht="15" x14ac:dyDescent="0.2">
      <c r="A120" s="203" t="s">
        <v>121</v>
      </c>
      <c r="B120" s="204">
        <v>18881099.960000001</v>
      </c>
      <c r="C120" s="204"/>
      <c r="D120" s="204">
        <v>18881099.960000001</v>
      </c>
    </row>
    <row r="121" spans="1:4" ht="15" x14ac:dyDescent="0.2">
      <c r="A121" s="203" t="s">
        <v>107</v>
      </c>
      <c r="B121" s="204">
        <v>7415701.6669999994</v>
      </c>
      <c r="C121" s="204">
        <v>6739458.7771999948</v>
      </c>
      <c r="D121" s="204">
        <v>14155160.444199994</v>
      </c>
    </row>
    <row r="122" spans="1:4" ht="15" x14ac:dyDescent="0.2">
      <c r="A122" s="203" t="s">
        <v>86</v>
      </c>
      <c r="B122" s="204">
        <v>561097.5</v>
      </c>
      <c r="C122" s="204">
        <v>260440</v>
      </c>
      <c r="D122" s="204">
        <v>821537.5</v>
      </c>
    </row>
    <row r="123" spans="1:4" ht="15" x14ac:dyDescent="0.2">
      <c r="A123" s="203" t="s">
        <v>127</v>
      </c>
      <c r="B123" s="204">
        <v>1958</v>
      </c>
      <c r="C123" s="204"/>
      <c r="D123" s="204">
        <v>1958</v>
      </c>
    </row>
    <row r="124" spans="1:4" ht="15" x14ac:dyDescent="0.2">
      <c r="A124" s="203" t="s">
        <v>124</v>
      </c>
      <c r="B124" s="204">
        <v>4220176.5520000001</v>
      </c>
      <c r="C124" s="204"/>
      <c r="D124" s="204">
        <v>4220176.5520000001</v>
      </c>
    </row>
    <row r="125" spans="1:4" ht="15" x14ac:dyDescent="0.2">
      <c r="A125" s="203" t="s">
        <v>126</v>
      </c>
      <c r="B125" s="204">
        <v>1372125</v>
      </c>
      <c r="C125" s="204"/>
      <c r="D125" s="204">
        <v>1372125</v>
      </c>
    </row>
    <row r="126" spans="1:4" ht="15" x14ac:dyDescent="0.2">
      <c r="A126" s="203" t="s">
        <v>123</v>
      </c>
      <c r="B126" s="204">
        <v>7080898.2750000004</v>
      </c>
      <c r="C126" s="204">
        <v>2471076</v>
      </c>
      <c r="D126" s="204">
        <v>9551974.2750000004</v>
      </c>
    </row>
    <row r="127" spans="1:4" ht="15" x14ac:dyDescent="0.2">
      <c r="A127" s="203" t="s">
        <v>56</v>
      </c>
      <c r="B127" s="204">
        <v>151710171.87969798</v>
      </c>
      <c r="C127" s="204">
        <v>231402246.22957504</v>
      </c>
      <c r="D127" s="204">
        <v>383112418.10927302</v>
      </c>
    </row>
  </sheetData>
  <mergeCells count="6">
    <mergeCell ref="A71:G71"/>
    <mergeCell ref="L29:T29"/>
    <mergeCell ref="A4:J4"/>
    <mergeCell ref="A16:J16"/>
    <mergeCell ref="A29:J29"/>
    <mergeCell ref="K32:K33"/>
  </mergeCells>
  <pageMargins left="0.7" right="0.7" top="0.75" bottom="0.75" header="0.3" footer="0.3"/>
  <ignoredErrors>
    <ignoredError sqref="C36:J36 C39:J39 H37:H38 J37:J38 C42:J42 H40:H41 C45:J45 H43:H44 C48:J48 H46:H47 C51:J51 H49:H50 C58:J60 H52:H53 J40:J41 J43:J44 J46:J47 J49:J50 J52:J53 C63:J63 H61:H62 C68:H68 H64:H65 H66:J66 J61:J62 J64:J65 J68 H67 J67 M39:T56 M63:T66" formula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AA80C-3516-F04A-A437-366E655EE886}">
  <dimension ref="A1:W168"/>
  <sheetViews>
    <sheetView showGridLines="0" zoomScale="130" zoomScaleNormal="130" workbookViewId="0">
      <selection activeCell="C86" sqref="C86"/>
    </sheetView>
  </sheetViews>
  <sheetFormatPr baseColWidth="10" defaultRowHeight="14" outlineLevelRow="1" x14ac:dyDescent="0.15"/>
  <cols>
    <col min="1" max="1" width="20" style="262" customWidth="1"/>
    <col min="2" max="2" width="12.5" style="262" customWidth="1"/>
    <col min="3" max="14" width="10" style="262" customWidth="1"/>
    <col min="15" max="15" width="14.1640625" style="262" customWidth="1"/>
    <col min="16" max="16" width="3" style="262" customWidth="1"/>
    <col min="17" max="17" width="20" style="262" customWidth="1"/>
    <col min="18" max="18" width="12.5" style="262" customWidth="1"/>
    <col min="19" max="22" width="11.1640625" style="267" bestFit="1" customWidth="1"/>
    <col min="23" max="23" width="13.83203125" style="267" customWidth="1"/>
    <col min="24" max="16384" width="10.83203125" style="262"/>
  </cols>
  <sheetData>
    <row r="1" spans="1:23" s="270" customFormat="1" ht="21" customHeight="1" x14ac:dyDescent="0.2">
      <c r="A1" s="393" t="s">
        <v>158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Q1" s="392" t="s">
        <v>159</v>
      </c>
      <c r="R1" s="392"/>
      <c r="S1" s="392"/>
      <c r="T1" s="392"/>
      <c r="U1" s="392"/>
      <c r="V1" s="392"/>
      <c r="W1" s="392"/>
    </row>
    <row r="2" spans="1:23" s="269" customFormat="1" ht="18" customHeight="1" x14ac:dyDescent="0.2">
      <c r="A2" s="312" t="s">
        <v>42</v>
      </c>
      <c r="B2" s="312"/>
      <c r="C2" s="312">
        <v>7.1250000000000008E-2</v>
      </c>
      <c r="D2" s="312">
        <v>7.1250000000000008E-2</v>
      </c>
      <c r="E2" s="312">
        <v>8.1250000000000003E-2</v>
      </c>
      <c r="F2" s="312">
        <v>7.9375000000000001E-2</v>
      </c>
      <c r="G2" s="312">
        <v>7.9375000000000001E-2</v>
      </c>
      <c r="H2" s="312">
        <v>8.9999999999999983E-2</v>
      </c>
      <c r="I2" s="312">
        <v>7.4999999999999997E-2</v>
      </c>
      <c r="J2" s="312">
        <v>7.5624999999999998E-2</v>
      </c>
      <c r="K2" s="312">
        <v>0.08</v>
      </c>
      <c r="L2" s="312">
        <v>9.3749999999999986E-2</v>
      </c>
      <c r="M2" s="312">
        <v>9.4999999999999987E-2</v>
      </c>
      <c r="N2" s="312">
        <v>0.108125</v>
      </c>
      <c r="O2" s="312">
        <v>0.99999999999999989</v>
      </c>
      <c r="Q2" s="312" t="s">
        <v>162</v>
      </c>
      <c r="S2" s="313">
        <f>SUM(C2:E2)</f>
        <v>0.22375</v>
      </c>
      <c r="T2" s="313">
        <f>SUM(F2:H2)</f>
        <v>0.24874999999999997</v>
      </c>
      <c r="U2" s="313">
        <f>SUM(I2:K2)</f>
        <v>0.23062500000000002</v>
      </c>
      <c r="V2" s="313">
        <f>SUM(L2:N2)</f>
        <v>0.296875</v>
      </c>
      <c r="W2" s="313">
        <f t="shared" ref="W2" si="0">SUM(S2:V2)</f>
        <v>1</v>
      </c>
    </row>
    <row r="3" spans="1:23" ht="18" customHeight="1" x14ac:dyDescent="0.15">
      <c r="A3" s="263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Q3" s="263"/>
      <c r="R3" s="263"/>
      <c r="S3" s="268"/>
      <c r="T3" s="268"/>
      <c r="U3" s="268"/>
      <c r="V3" s="268"/>
      <c r="W3" s="268"/>
    </row>
    <row r="4" spans="1:23" s="269" customFormat="1" x14ac:dyDescent="0.2">
      <c r="A4" s="264" t="s">
        <v>145</v>
      </c>
      <c r="B4" s="264"/>
      <c r="C4" s="266" t="s">
        <v>131</v>
      </c>
      <c r="D4" s="266" t="s">
        <v>132</v>
      </c>
      <c r="E4" s="266" t="s">
        <v>133</v>
      </c>
      <c r="F4" s="266" t="s">
        <v>134</v>
      </c>
      <c r="G4" s="266" t="s">
        <v>135</v>
      </c>
      <c r="H4" s="266" t="s">
        <v>136</v>
      </c>
      <c r="I4" s="266" t="s">
        <v>137</v>
      </c>
      <c r="J4" s="266" t="s">
        <v>138</v>
      </c>
      <c r="K4" s="266" t="s">
        <v>139</v>
      </c>
      <c r="L4" s="266" t="s">
        <v>140</v>
      </c>
      <c r="M4" s="266" t="s">
        <v>141</v>
      </c>
      <c r="N4" s="266" t="s">
        <v>142</v>
      </c>
      <c r="O4" s="266" t="s">
        <v>143</v>
      </c>
      <c r="Q4" s="301" t="str">
        <f t="shared" ref="Q4:Q15" si="1">A4</f>
        <v>Mülkiye Akdoğaner  —  Direkt Satış</v>
      </c>
      <c r="R4" s="301"/>
      <c r="S4" s="266" t="s">
        <v>154</v>
      </c>
      <c r="T4" s="266" t="s">
        <v>155</v>
      </c>
      <c r="U4" s="266" t="s">
        <v>156</v>
      </c>
      <c r="V4" s="266" t="s">
        <v>157</v>
      </c>
      <c r="W4" s="266" t="s">
        <v>143</v>
      </c>
    </row>
    <row r="5" spans="1:23" s="269" customFormat="1" ht="16" hidden="1" customHeight="1" outlineLevel="1" x14ac:dyDescent="0.2">
      <c r="A5" s="274" t="s">
        <v>25</v>
      </c>
      <c r="B5" s="275" t="s">
        <v>26</v>
      </c>
      <c r="C5" s="276">
        <f>'SatışEkibi YS-Yen. Hed - 671'!$B$31*'SatışEkibi YS-Yen. Hed - 671'!$M37*'Satış YS-Yen.Hed (Ayık) - 671'!C$2</f>
        <v>2493.7500000000005</v>
      </c>
      <c r="D5" s="276">
        <f>'SatışEkibi YS-Yen. Hed - 671'!$B$31*'SatışEkibi YS-Yen. Hed - 671'!$M37*'Satış YS-Yen.Hed (Ayık) - 671'!D$2</f>
        <v>2493.7500000000005</v>
      </c>
      <c r="E5" s="276">
        <f>'SatışEkibi YS-Yen. Hed - 671'!$B$31*'SatışEkibi YS-Yen. Hed - 671'!$M37*'Satış YS-Yen.Hed (Ayık) - 671'!E$2</f>
        <v>2843.75</v>
      </c>
      <c r="F5" s="276">
        <f>'SatışEkibi YS-Yen. Hed - 671'!$B$31*'SatışEkibi YS-Yen. Hed - 671'!$M37*'Satış YS-Yen.Hed (Ayık) - 671'!F$2</f>
        <v>2778.125</v>
      </c>
      <c r="G5" s="276">
        <f>'SatışEkibi YS-Yen. Hed - 671'!$B$31*'SatışEkibi YS-Yen. Hed - 671'!$M37*'Satış YS-Yen.Hed (Ayık) - 671'!G$2</f>
        <v>2778.125</v>
      </c>
      <c r="H5" s="276">
        <f>'SatışEkibi YS-Yen. Hed - 671'!$B$31*'SatışEkibi YS-Yen. Hed - 671'!$M37*'Satış YS-Yen.Hed (Ayık) - 671'!H$2</f>
        <v>3149.9999999999995</v>
      </c>
      <c r="I5" s="276">
        <f>'SatışEkibi YS-Yen. Hed - 671'!$B$31*'SatışEkibi YS-Yen. Hed - 671'!$M37*'Satış YS-Yen.Hed (Ayık) - 671'!I$2</f>
        <v>2625</v>
      </c>
      <c r="J5" s="276">
        <f>'SatışEkibi YS-Yen. Hed - 671'!$B$31*'SatışEkibi YS-Yen. Hed - 671'!$M37*'Satış YS-Yen.Hed (Ayık) - 671'!J$2</f>
        <v>2646.875</v>
      </c>
      <c r="K5" s="276">
        <f>'SatışEkibi YS-Yen. Hed - 671'!$B$31*'SatışEkibi YS-Yen. Hed - 671'!$M37*'Satış YS-Yen.Hed (Ayık) - 671'!K$2</f>
        <v>2800</v>
      </c>
      <c r="L5" s="276">
        <f>'SatışEkibi YS-Yen. Hed - 671'!$B$31*'SatışEkibi YS-Yen. Hed - 671'!$M37*'Satış YS-Yen.Hed (Ayık) - 671'!L$2</f>
        <v>3281.2499999999995</v>
      </c>
      <c r="M5" s="276">
        <f>'SatışEkibi YS-Yen. Hed - 671'!$B$31*'SatışEkibi YS-Yen. Hed - 671'!$M37*'Satış YS-Yen.Hed (Ayık) - 671'!M$2</f>
        <v>3324.9999999999995</v>
      </c>
      <c r="N5" s="276">
        <f>'SatışEkibi YS-Yen. Hed - 671'!$B$31*'SatışEkibi YS-Yen. Hed - 671'!$M37*'Satış YS-Yen.Hed (Ayık) - 671'!N$2</f>
        <v>3784.375</v>
      </c>
      <c r="O5" s="276">
        <f t="shared" ref="O5:O15" si="2">SUM(C5:N5)</f>
        <v>35000</v>
      </c>
      <c r="Q5" s="277" t="str">
        <f t="shared" si="1"/>
        <v>Enroute</v>
      </c>
      <c r="R5" s="278" t="str">
        <f t="shared" ref="R5:R18" si="3">B5</f>
        <v>Yeni Satış</v>
      </c>
      <c r="S5" s="279">
        <f t="shared" ref="S5:S15" si="4">SUM(C5:E5)</f>
        <v>7831.2500000000009</v>
      </c>
      <c r="T5" s="279">
        <f t="shared" ref="T5:T15" si="5">SUM(F5:H5)</f>
        <v>8706.25</v>
      </c>
      <c r="U5" s="279">
        <f t="shared" ref="U5:U15" si="6">SUM(I5:K5)</f>
        <v>8071.875</v>
      </c>
      <c r="V5" s="279">
        <f t="shared" ref="V5:V15" si="7">SUM(L5:N5)</f>
        <v>10390.625</v>
      </c>
      <c r="W5" s="279">
        <f t="shared" ref="W5:W17" si="8">SUM(S5:V5)</f>
        <v>35000</v>
      </c>
    </row>
    <row r="6" spans="1:23" s="269" customFormat="1" ht="16" hidden="1" customHeight="1" outlineLevel="1" x14ac:dyDescent="0.2">
      <c r="A6" s="274" t="s">
        <v>25</v>
      </c>
      <c r="B6" s="275" t="s">
        <v>28</v>
      </c>
      <c r="C6" s="276">
        <f>'SatışEkibi YS-Yen. Hed - 671'!$B$31*'SatışEkibi YS-Yen. Hed - 671'!$M38*'Satış YS-Yen.Hed (Ayık) - 671'!C$2</f>
        <v>4524.3750000000009</v>
      </c>
      <c r="D6" s="276">
        <f>'SatışEkibi YS-Yen. Hed - 671'!$B$31*'SatışEkibi YS-Yen. Hed - 671'!$M38*'Satış YS-Yen.Hed (Ayık) - 671'!D$2</f>
        <v>4524.3750000000009</v>
      </c>
      <c r="E6" s="276">
        <f>'SatışEkibi YS-Yen. Hed - 671'!$B$31*'SatışEkibi YS-Yen. Hed - 671'!$M38*'Satış YS-Yen.Hed (Ayık) - 671'!E$2</f>
        <v>5159.3750000000009</v>
      </c>
      <c r="F6" s="276">
        <f>'SatışEkibi YS-Yen. Hed - 671'!$B$31*'SatışEkibi YS-Yen. Hed - 671'!$M38*'Satış YS-Yen.Hed (Ayık) - 671'!F$2</f>
        <v>5040.3125000000009</v>
      </c>
      <c r="G6" s="276">
        <f>'SatışEkibi YS-Yen. Hed - 671'!$B$31*'SatışEkibi YS-Yen. Hed - 671'!$M38*'Satış YS-Yen.Hed (Ayık) - 671'!G$2</f>
        <v>5040.3125000000009</v>
      </c>
      <c r="H6" s="276">
        <f>'SatışEkibi YS-Yen. Hed - 671'!$B$31*'SatışEkibi YS-Yen. Hed - 671'!$M38*'Satış YS-Yen.Hed (Ayık) - 671'!H$2</f>
        <v>5715</v>
      </c>
      <c r="I6" s="276">
        <f>'SatışEkibi YS-Yen. Hed - 671'!$B$31*'SatışEkibi YS-Yen. Hed - 671'!$M38*'Satış YS-Yen.Hed (Ayık) - 671'!I$2</f>
        <v>4762.5</v>
      </c>
      <c r="J6" s="276">
        <f>'SatışEkibi YS-Yen. Hed - 671'!$B$31*'SatışEkibi YS-Yen. Hed - 671'!$M38*'Satış YS-Yen.Hed (Ayık) - 671'!J$2</f>
        <v>4802.1875</v>
      </c>
      <c r="K6" s="276">
        <f>'SatışEkibi YS-Yen. Hed - 671'!$B$31*'SatışEkibi YS-Yen. Hed - 671'!$M38*'Satış YS-Yen.Hed (Ayık) - 671'!K$2</f>
        <v>5080.0000000000009</v>
      </c>
      <c r="L6" s="276">
        <f>'SatışEkibi YS-Yen. Hed - 671'!$B$31*'SatışEkibi YS-Yen. Hed - 671'!$M38*'Satış YS-Yen.Hed (Ayık) - 671'!L$2</f>
        <v>5953.125</v>
      </c>
      <c r="M6" s="276">
        <f>'SatışEkibi YS-Yen. Hed - 671'!$B$31*'SatışEkibi YS-Yen. Hed - 671'!$M38*'Satış YS-Yen.Hed (Ayık) - 671'!M$2</f>
        <v>6032.5</v>
      </c>
      <c r="N6" s="276">
        <f>'SatışEkibi YS-Yen. Hed - 671'!$B$31*'SatışEkibi YS-Yen. Hed - 671'!$M38*'Satış YS-Yen.Hed (Ayık) - 671'!N$2</f>
        <v>6865.9375000000009</v>
      </c>
      <c r="O6" s="276">
        <f t="shared" si="2"/>
        <v>63500</v>
      </c>
      <c r="Q6" s="277" t="str">
        <f t="shared" si="1"/>
        <v>Enroute</v>
      </c>
      <c r="R6" s="278" t="str">
        <f t="shared" si="3"/>
        <v>Yenileme</v>
      </c>
      <c r="S6" s="279">
        <f t="shared" si="4"/>
        <v>14208.125000000004</v>
      </c>
      <c r="T6" s="279">
        <f t="shared" si="5"/>
        <v>15795.625000000002</v>
      </c>
      <c r="U6" s="279">
        <f t="shared" si="6"/>
        <v>14644.6875</v>
      </c>
      <c r="V6" s="279">
        <f t="shared" si="7"/>
        <v>18851.5625</v>
      </c>
      <c r="W6" s="279">
        <f t="shared" si="8"/>
        <v>63500.000000000007</v>
      </c>
    </row>
    <row r="7" spans="1:23" s="269" customFormat="1" ht="16" hidden="1" customHeight="1" outlineLevel="1" x14ac:dyDescent="0.2">
      <c r="A7" s="274" t="s">
        <v>29</v>
      </c>
      <c r="B7" s="275" t="s">
        <v>26</v>
      </c>
      <c r="C7" s="276">
        <f>'SatışEkibi YS-Yen. Hed - 671'!$C$31*'SatışEkibi YS-Yen. Hed - 671'!$N37*'Satış YS-Yen.Hed (Ayık) - 671'!C$2</f>
        <v>712.50000000000011</v>
      </c>
      <c r="D7" s="276">
        <f>'SatışEkibi YS-Yen. Hed - 671'!$C$31*'SatışEkibi YS-Yen. Hed - 671'!$N37*'Satış YS-Yen.Hed (Ayık) - 671'!D$2</f>
        <v>712.50000000000011</v>
      </c>
      <c r="E7" s="276">
        <f>'SatışEkibi YS-Yen. Hed - 671'!$C$31*'SatışEkibi YS-Yen. Hed - 671'!$N37*'Satış YS-Yen.Hed (Ayık) - 671'!E$2</f>
        <v>812.5</v>
      </c>
      <c r="F7" s="276">
        <f>'SatışEkibi YS-Yen. Hed - 671'!$C$31*'SatışEkibi YS-Yen. Hed - 671'!$N37*'Satış YS-Yen.Hed (Ayık) - 671'!F$2</f>
        <v>793.75</v>
      </c>
      <c r="G7" s="276">
        <f>'SatışEkibi YS-Yen. Hed - 671'!$C$31*'SatışEkibi YS-Yen. Hed - 671'!$N37*'Satış YS-Yen.Hed (Ayık) - 671'!G$2</f>
        <v>793.75</v>
      </c>
      <c r="H7" s="276">
        <f>'SatışEkibi YS-Yen. Hed - 671'!$C$31*'SatışEkibi YS-Yen. Hed - 671'!$N37*'Satış YS-Yen.Hed (Ayık) - 671'!H$2</f>
        <v>899.99999999999977</v>
      </c>
      <c r="I7" s="276">
        <f>'SatışEkibi YS-Yen. Hed - 671'!$C$31*'SatışEkibi YS-Yen. Hed - 671'!$N37*'Satış YS-Yen.Hed (Ayık) - 671'!I$2</f>
        <v>750</v>
      </c>
      <c r="J7" s="276">
        <f>'SatışEkibi YS-Yen. Hed - 671'!$C$31*'SatışEkibi YS-Yen. Hed - 671'!$N37*'Satış YS-Yen.Hed (Ayık) - 671'!J$2</f>
        <v>756.25</v>
      </c>
      <c r="K7" s="276">
        <f>'SatışEkibi YS-Yen. Hed - 671'!$C$31*'SatışEkibi YS-Yen. Hed - 671'!$N37*'Satış YS-Yen.Hed (Ayık) - 671'!K$2</f>
        <v>800</v>
      </c>
      <c r="L7" s="276">
        <f>'SatışEkibi YS-Yen. Hed - 671'!$C$31*'SatışEkibi YS-Yen. Hed - 671'!$N37*'Satış YS-Yen.Hed (Ayık) - 671'!L$2</f>
        <v>937.49999999999989</v>
      </c>
      <c r="M7" s="276">
        <f>'SatışEkibi YS-Yen. Hed - 671'!$C$31*'SatışEkibi YS-Yen. Hed - 671'!$N37*'Satış YS-Yen.Hed (Ayık) - 671'!M$2</f>
        <v>949.99999999999989</v>
      </c>
      <c r="N7" s="276">
        <f>'SatışEkibi YS-Yen. Hed - 671'!$C$31*'SatışEkibi YS-Yen. Hed - 671'!$N37*'Satış YS-Yen.Hed (Ayık) - 671'!N$2</f>
        <v>1081.25</v>
      </c>
      <c r="O7" s="276">
        <f t="shared" si="2"/>
        <v>10000</v>
      </c>
      <c r="Q7" s="277" t="str">
        <f t="shared" si="1"/>
        <v>Stokbar</v>
      </c>
      <c r="R7" s="278" t="str">
        <f t="shared" si="3"/>
        <v>Yeni Satış</v>
      </c>
      <c r="S7" s="279">
        <f t="shared" si="4"/>
        <v>2237.5</v>
      </c>
      <c r="T7" s="279">
        <f t="shared" si="5"/>
        <v>2487.5</v>
      </c>
      <c r="U7" s="279">
        <f t="shared" si="6"/>
        <v>2306.25</v>
      </c>
      <c r="V7" s="279">
        <f t="shared" si="7"/>
        <v>2968.75</v>
      </c>
      <c r="W7" s="279">
        <f t="shared" si="8"/>
        <v>10000</v>
      </c>
    </row>
    <row r="8" spans="1:23" s="269" customFormat="1" ht="16" hidden="1" customHeight="1" outlineLevel="1" x14ac:dyDescent="0.2">
      <c r="A8" s="274" t="s">
        <v>27</v>
      </c>
      <c r="B8" s="275" t="s">
        <v>26</v>
      </c>
      <c r="C8" s="276">
        <f>'SatışEkibi YS-Yen. Hed - 671'!$D$31*'SatışEkibi YS-Yen. Hed - 671'!$O37*'Satış YS-Yen.Hed (Ayık) - 671'!C$2</f>
        <v>855.00000000000011</v>
      </c>
      <c r="D8" s="276">
        <f>'SatışEkibi YS-Yen. Hed - 671'!$D$31*'SatışEkibi YS-Yen. Hed - 671'!$O37*'Satış YS-Yen.Hed (Ayık) - 671'!D$2</f>
        <v>855.00000000000011</v>
      </c>
      <c r="E8" s="276">
        <f>'SatışEkibi YS-Yen. Hed - 671'!$D$31*'SatışEkibi YS-Yen. Hed - 671'!$O37*'Satış YS-Yen.Hed (Ayık) - 671'!E$2</f>
        <v>975</v>
      </c>
      <c r="F8" s="276">
        <f>'SatışEkibi YS-Yen. Hed - 671'!$D$31*'SatışEkibi YS-Yen. Hed - 671'!$O37*'Satış YS-Yen.Hed (Ayık) - 671'!F$2</f>
        <v>952.5</v>
      </c>
      <c r="G8" s="276">
        <f>'SatışEkibi YS-Yen. Hed - 671'!$D$31*'SatışEkibi YS-Yen. Hed - 671'!$O37*'Satış YS-Yen.Hed (Ayık) - 671'!G$2</f>
        <v>952.5</v>
      </c>
      <c r="H8" s="276">
        <f>'SatışEkibi YS-Yen. Hed - 671'!$D$31*'SatışEkibi YS-Yen. Hed - 671'!$O37*'Satış YS-Yen.Hed (Ayık) - 671'!H$2</f>
        <v>1079.9999999999998</v>
      </c>
      <c r="I8" s="276">
        <f>'SatışEkibi YS-Yen. Hed - 671'!$D$31*'SatışEkibi YS-Yen. Hed - 671'!$O37*'Satış YS-Yen.Hed (Ayık) - 671'!I$2</f>
        <v>900</v>
      </c>
      <c r="J8" s="276">
        <f>'SatışEkibi YS-Yen. Hed - 671'!$D$31*'SatışEkibi YS-Yen. Hed - 671'!$O37*'Satış YS-Yen.Hed (Ayık) - 671'!J$2</f>
        <v>907.5</v>
      </c>
      <c r="K8" s="276">
        <f>'SatışEkibi YS-Yen. Hed - 671'!$D$31*'SatışEkibi YS-Yen. Hed - 671'!$O37*'Satış YS-Yen.Hed (Ayık) - 671'!K$2</f>
        <v>960</v>
      </c>
      <c r="L8" s="276">
        <f>'SatışEkibi YS-Yen. Hed - 671'!$D$31*'SatışEkibi YS-Yen. Hed - 671'!$O37*'Satış YS-Yen.Hed (Ayık) - 671'!L$2</f>
        <v>1124.9999999999998</v>
      </c>
      <c r="M8" s="276">
        <f>'SatışEkibi YS-Yen. Hed - 671'!$D$31*'SatışEkibi YS-Yen. Hed - 671'!$O37*'Satış YS-Yen.Hed (Ayık) - 671'!M$2</f>
        <v>1139.9999999999998</v>
      </c>
      <c r="N8" s="276">
        <f>'SatışEkibi YS-Yen. Hed - 671'!$D$31*'SatışEkibi YS-Yen. Hed - 671'!$O37*'Satış YS-Yen.Hed (Ayık) - 671'!N$2</f>
        <v>1297.5</v>
      </c>
      <c r="O8" s="276">
        <f t="shared" si="2"/>
        <v>12000</v>
      </c>
      <c r="Q8" s="277" t="str">
        <f t="shared" si="1"/>
        <v>Quest</v>
      </c>
      <c r="R8" s="278" t="str">
        <f t="shared" si="3"/>
        <v>Yeni Satış</v>
      </c>
      <c r="S8" s="279">
        <f t="shared" si="4"/>
        <v>2685</v>
      </c>
      <c r="T8" s="279">
        <f t="shared" si="5"/>
        <v>2985</v>
      </c>
      <c r="U8" s="279">
        <f t="shared" si="6"/>
        <v>2767.5</v>
      </c>
      <c r="V8" s="279">
        <f t="shared" si="7"/>
        <v>3562.4999999999995</v>
      </c>
      <c r="W8" s="279">
        <f t="shared" si="8"/>
        <v>12000</v>
      </c>
    </row>
    <row r="9" spans="1:23" s="269" customFormat="1" ht="16" hidden="1" customHeight="1" outlineLevel="1" x14ac:dyDescent="0.2">
      <c r="A9" s="274" t="s">
        <v>27</v>
      </c>
      <c r="B9" s="275" t="s">
        <v>28</v>
      </c>
      <c r="C9" s="276">
        <f>'SatışEkibi YS-Yen. Hed - 671'!$D$31*'SatışEkibi YS-Yen. Hed - 671'!$O38*'Satış YS-Yen.Hed (Ayık) - 671'!C$2</f>
        <v>598.50000000000011</v>
      </c>
      <c r="D9" s="276">
        <f>'SatışEkibi YS-Yen. Hed - 671'!$D$31*'SatışEkibi YS-Yen. Hed - 671'!$O38*'Satış YS-Yen.Hed (Ayık) - 671'!D$2</f>
        <v>598.50000000000011</v>
      </c>
      <c r="E9" s="276">
        <f>'SatışEkibi YS-Yen. Hed - 671'!$D$31*'SatışEkibi YS-Yen. Hed - 671'!$O38*'Satış YS-Yen.Hed (Ayık) - 671'!E$2</f>
        <v>682.5</v>
      </c>
      <c r="F9" s="276">
        <f>'SatışEkibi YS-Yen. Hed - 671'!$D$31*'SatışEkibi YS-Yen. Hed - 671'!$O38*'Satış YS-Yen.Hed (Ayık) - 671'!F$2</f>
        <v>666.75</v>
      </c>
      <c r="G9" s="276">
        <f>'SatışEkibi YS-Yen. Hed - 671'!$D$31*'SatışEkibi YS-Yen. Hed - 671'!$O38*'Satış YS-Yen.Hed (Ayık) - 671'!G$2</f>
        <v>666.75</v>
      </c>
      <c r="H9" s="276">
        <f>'SatışEkibi YS-Yen. Hed - 671'!$D$31*'SatışEkibi YS-Yen. Hed - 671'!$O38*'Satış YS-Yen.Hed (Ayık) - 671'!H$2</f>
        <v>755.99999999999989</v>
      </c>
      <c r="I9" s="276">
        <f>'SatışEkibi YS-Yen. Hed - 671'!$D$31*'SatışEkibi YS-Yen. Hed - 671'!$O38*'Satış YS-Yen.Hed (Ayık) - 671'!I$2</f>
        <v>630</v>
      </c>
      <c r="J9" s="276">
        <f>'SatışEkibi YS-Yen. Hed - 671'!$D$31*'SatışEkibi YS-Yen. Hed - 671'!$O38*'Satış YS-Yen.Hed (Ayık) - 671'!J$2</f>
        <v>635.25</v>
      </c>
      <c r="K9" s="276">
        <f>'SatışEkibi YS-Yen. Hed - 671'!$D$31*'SatışEkibi YS-Yen. Hed - 671'!$O38*'Satış YS-Yen.Hed (Ayık) - 671'!K$2</f>
        <v>672</v>
      </c>
      <c r="L9" s="276">
        <f>'SatışEkibi YS-Yen. Hed - 671'!$D$31*'SatışEkibi YS-Yen. Hed - 671'!$O38*'Satış YS-Yen.Hed (Ayık) - 671'!L$2</f>
        <v>787.49999999999989</v>
      </c>
      <c r="M9" s="276">
        <f>'SatışEkibi YS-Yen. Hed - 671'!$D$31*'SatışEkibi YS-Yen. Hed - 671'!$O38*'Satış YS-Yen.Hed (Ayık) - 671'!M$2</f>
        <v>797.99999999999989</v>
      </c>
      <c r="N9" s="276">
        <f>'SatışEkibi YS-Yen. Hed - 671'!$D$31*'SatışEkibi YS-Yen. Hed - 671'!$O38*'Satış YS-Yen.Hed (Ayık) - 671'!N$2</f>
        <v>908.25</v>
      </c>
      <c r="O9" s="276">
        <f t="shared" si="2"/>
        <v>8400</v>
      </c>
      <c r="Q9" s="277" t="str">
        <f t="shared" si="1"/>
        <v>Quest</v>
      </c>
      <c r="R9" s="278" t="str">
        <f t="shared" si="3"/>
        <v>Yenileme</v>
      </c>
      <c r="S9" s="279">
        <f t="shared" si="4"/>
        <v>1879.5000000000002</v>
      </c>
      <c r="T9" s="279">
        <f t="shared" si="5"/>
        <v>2089.5</v>
      </c>
      <c r="U9" s="279">
        <f t="shared" si="6"/>
        <v>1937.25</v>
      </c>
      <c r="V9" s="279">
        <f t="shared" si="7"/>
        <v>2493.75</v>
      </c>
      <c r="W9" s="279">
        <f t="shared" si="8"/>
        <v>8400</v>
      </c>
    </row>
    <row r="10" spans="1:23" s="269" customFormat="1" ht="16" hidden="1" customHeight="1" outlineLevel="1" x14ac:dyDescent="0.2">
      <c r="A10" s="274" t="s">
        <v>32</v>
      </c>
      <c r="B10" s="275" t="s">
        <v>26</v>
      </c>
      <c r="C10" s="276">
        <f>'SatışEkibi YS-Yen. Hed - 671'!$F$31*'SatışEkibi YS-Yen. Hed - 671'!$Q37*'Satış YS-Yen.Hed (Ayık) - 671'!C$2</f>
        <v>71.962500000000006</v>
      </c>
      <c r="D10" s="276">
        <f>'SatışEkibi YS-Yen. Hed - 671'!$F$31*'SatışEkibi YS-Yen. Hed - 671'!$Q37*'Satış YS-Yen.Hed (Ayık) - 671'!D$2</f>
        <v>71.962500000000006</v>
      </c>
      <c r="E10" s="276">
        <f>'SatışEkibi YS-Yen. Hed - 671'!$F$31*'SatışEkibi YS-Yen. Hed - 671'!$Q37*'Satış YS-Yen.Hed (Ayık) - 671'!E$2</f>
        <v>82.0625</v>
      </c>
      <c r="F10" s="276">
        <f>'SatışEkibi YS-Yen. Hed - 671'!$F$31*'SatışEkibi YS-Yen. Hed - 671'!$Q37*'Satış YS-Yen.Hed (Ayık) - 671'!F$2</f>
        <v>80.168750000000003</v>
      </c>
      <c r="G10" s="276">
        <f>'SatışEkibi YS-Yen. Hed - 671'!$F$31*'SatışEkibi YS-Yen. Hed - 671'!$Q37*'Satış YS-Yen.Hed (Ayık) - 671'!G$2</f>
        <v>80.168750000000003</v>
      </c>
      <c r="H10" s="276">
        <f>'SatışEkibi YS-Yen. Hed - 671'!$F$31*'SatışEkibi YS-Yen. Hed - 671'!$Q37*'Satış YS-Yen.Hed (Ayık) - 671'!H$2</f>
        <v>90.899999999999977</v>
      </c>
      <c r="I10" s="276">
        <f>'SatışEkibi YS-Yen. Hed - 671'!$F$31*'SatışEkibi YS-Yen. Hed - 671'!$Q37*'Satış YS-Yen.Hed (Ayık) - 671'!I$2</f>
        <v>75.75</v>
      </c>
      <c r="J10" s="276">
        <f>'SatışEkibi YS-Yen. Hed - 671'!$F$31*'SatışEkibi YS-Yen. Hed - 671'!$Q37*'Satış YS-Yen.Hed (Ayık) - 671'!J$2</f>
        <v>76.381249999999994</v>
      </c>
      <c r="K10" s="276">
        <f>'SatışEkibi YS-Yen. Hed - 671'!$F$31*'SatışEkibi YS-Yen. Hed - 671'!$Q37*'Satış YS-Yen.Hed (Ayık) - 671'!K$2</f>
        <v>80.8</v>
      </c>
      <c r="L10" s="276">
        <f>'SatışEkibi YS-Yen. Hed - 671'!$F$31*'SatışEkibi YS-Yen. Hed - 671'!$Q37*'Satış YS-Yen.Hed (Ayık) - 671'!L$2</f>
        <v>94.687499999999986</v>
      </c>
      <c r="M10" s="276">
        <f>'SatışEkibi YS-Yen. Hed - 671'!$F$31*'SatışEkibi YS-Yen. Hed - 671'!$Q37*'Satış YS-Yen.Hed (Ayık) - 671'!M$2</f>
        <v>95.949999999999989</v>
      </c>
      <c r="N10" s="276">
        <f>'SatışEkibi YS-Yen. Hed - 671'!$F$31*'SatışEkibi YS-Yen. Hed - 671'!$Q37*'Satış YS-Yen.Hed (Ayık) - 671'!N$2</f>
        <v>109.20625</v>
      </c>
      <c r="O10" s="276">
        <f t="shared" si="2"/>
        <v>1009.9999999999998</v>
      </c>
      <c r="Q10" s="277" t="str">
        <f t="shared" si="1"/>
        <v>Varuna</v>
      </c>
      <c r="R10" s="278" t="str">
        <f t="shared" si="3"/>
        <v>Yeni Satış</v>
      </c>
      <c r="S10" s="279">
        <f t="shared" si="4"/>
        <v>225.98750000000001</v>
      </c>
      <c r="T10" s="279">
        <f t="shared" si="5"/>
        <v>251.23749999999998</v>
      </c>
      <c r="U10" s="279">
        <f t="shared" si="6"/>
        <v>232.93124999999998</v>
      </c>
      <c r="V10" s="279">
        <f t="shared" si="7"/>
        <v>299.84375</v>
      </c>
      <c r="W10" s="279">
        <f t="shared" si="8"/>
        <v>1010</v>
      </c>
    </row>
    <row r="11" spans="1:23" s="269" customFormat="1" ht="16" hidden="1" customHeight="1" outlineLevel="1" x14ac:dyDescent="0.2">
      <c r="A11" s="274" t="s">
        <v>34</v>
      </c>
      <c r="B11" s="275" t="s">
        <v>26</v>
      </c>
      <c r="C11" s="276">
        <f>'SatışEkibi YS-Yen. Hed - 671'!$G$31*'SatışEkibi YS-Yen. Hed - 671'!$R37*'Satış YS-Yen.Hed (Ayık) - 671'!C$2</f>
        <v>71.250000000000014</v>
      </c>
      <c r="D11" s="276">
        <f>'SatışEkibi YS-Yen. Hed - 671'!$G$31*'SatışEkibi YS-Yen. Hed - 671'!$R37*'Satış YS-Yen.Hed (Ayık) - 671'!D$2</f>
        <v>71.250000000000014</v>
      </c>
      <c r="E11" s="276">
        <f>'SatışEkibi YS-Yen. Hed - 671'!$G$31*'SatışEkibi YS-Yen. Hed - 671'!$R37*'Satış YS-Yen.Hed (Ayık) - 671'!E$2</f>
        <v>81.25</v>
      </c>
      <c r="F11" s="276">
        <f>'SatışEkibi YS-Yen. Hed - 671'!$G$31*'SatışEkibi YS-Yen. Hed - 671'!$R37*'Satış YS-Yen.Hed (Ayık) - 671'!F$2</f>
        <v>79.375</v>
      </c>
      <c r="G11" s="276">
        <f>'SatışEkibi YS-Yen. Hed - 671'!$G$31*'SatışEkibi YS-Yen. Hed - 671'!$R37*'Satış YS-Yen.Hed (Ayık) - 671'!G$2</f>
        <v>79.375</v>
      </c>
      <c r="H11" s="276">
        <f>'SatışEkibi YS-Yen. Hed - 671'!$G$31*'SatışEkibi YS-Yen. Hed - 671'!$R37*'Satış YS-Yen.Hed (Ayık) - 671'!H$2</f>
        <v>89.999999999999986</v>
      </c>
      <c r="I11" s="276">
        <f>'SatışEkibi YS-Yen. Hed - 671'!$G$31*'SatışEkibi YS-Yen. Hed - 671'!$R37*'Satış YS-Yen.Hed (Ayık) - 671'!I$2</f>
        <v>75</v>
      </c>
      <c r="J11" s="276">
        <f>'SatışEkibi YS-Yen. Hed - 671'!$G$31*'SatışEkibi YS-Yen. Hed - 671'!$R37*'Satış YS-Yen.Hed (Ayık) - 671'!J$2</f>
        <v>75.625</v>
      </c>
      <c r="K11" s="276">
        <f>'SatışEkibi YS-Yen. Hed - 671'!$G$31*'SatışEkibi YS-Yen. Hed - 671'!$R37*'Satış YS-Yen.Hed (Ayık) - 671'!K$2</f>
        <v>80</v>
      </c>
      <c r="L11" s="276">
        <f>'SatışEkibi YS-Yen. Hed - 671'!$G$31*'SatışEkibi YS-Yen. Hed - 671'!$R37*'Satış YS-Yen.Hed (Ayık) - 671'!L$2</f>
        <v>93.749999999999986</v>
      </c>
      <c r="M11" s="276">
        <f>'SatışEkibi YS-Yen. Hed - 671'!$G$31*'SatışEkibi YS-Yen. Hed - 671'!$R37*'Satış YS-Yen.Hed (Ayık) - 671'!M$2</f>
        <v>94.999999999999986</v>
      </c>
      <c r="N11" s="276">
        <f>'SatışEkibi YS-Yen. Hed - 671'!$G$31*'SatışEkibi YS-Yen. Hed - 671'!$R37*'Satış YS-Yen.Hed (Ayık) - 671'!N$2</f>
        <v>108.125</v>
      </c>
      <c r="O11" s="276">
        <f t="shared" si="2"/>
        <v>1000</v>
      </c>
      <c r="Q11" s="277" t="str">
        <f t="shared" si="1"/>
        <v>Hosting</v>
      </c>
      <c r="R11" s="278" t="str">
        <f t="shared" si="3"/>
        <v>Yeni Satış</v>
      </c>
      <c r="S11" s="279">
        <f t="shared" si="4"/>
        <v>223.75000000000003</v>
      </c>
      <c r="T11" s="279">
        <f t="shared" si="5"/>
        <v>248.75</v>
      </c>
      <c r="U11" s="279">
        <f t="shared" si="6"/>
        <v>230.625</v>
      </c>
      <c r="V11" s="279">
        <f t="shared" si="7"/>
        <v>296.875</v>
      </c>
      <c r="W11" s="279">
        <f t="shared" si="8"/>
        <v>1000</v>
      </c>
    </row>
    <row r="12" spans="1:23" s="269" customFormat="1" ht="16" hidden="1" customHeight="1" outlineLevel="1" x14ac:dyDescent="0.2">
      <c r="A12" s="274" t="s">
        <v>34</v>
      </c>
      <c r="B12" s="275" t="s">
        <v>28</v>
      </c>
      <c r="C12" s="276">
        <f>'SatışEkibi YS-Yen. Hed - 671'!$G$31*'SatışEkibi YS-Yen. Hed - 671'!$R38*'Satış YS-Yen.Hed (Ayık) - 671'!C$2</f>
        <v>2455.8450000000003</v>
      </c>
      <c r="D12" s="276">
        <f>'SatışEkibi YS-Yen. Hed - 671'!$G$31*'SatışEkibi YS-Yen. Hed - 671'!$R38*'Satış YS-Yen.Hed (Ayık) - 671'!D$2</f>
        <v>2455.8450000000003</v>
      </c>
      <c r="E12" s="276">
        <f>'SatışEkibi YS-Yen. Hed - 671'!$G$31*'SatışEkibi YS-Yen. Hed - 671'!$R38*'Satış YS-Yen.Hed (Ayık) - 671'!E$2</f>
        <v>2800.5250000000001</v>
      </c>
      <c r="F12" s="276">
        <f>'SatışEkibi YS-Yen. Hed - 671'!$G$31*'SatışEkibi YS-Yen. Hed - 671'!$R38*'Satış YS-Yen.Hed (Ayık) - 671'!F$2</f>
        <v>2735.8975</v>
      </c>
      <c r="G12" s="276">
        <f>'SatışEkibi YS-Yen. Hed - 671'!$G$31*'SatışEkibi YS-Yen. Hed - 671'!$R38*'Satış YS-Yen.Hed (Ayık) - 671'!G$2</f>
        <v>2735.8975</v>
      </c>
      <c r="H12" s="276">
        <f>'SatışEkibi YS-Yen. Hed - 671'!$G$31*'SatışEkibi YS-Yen. Hed - 671'!$R38*'Satış YS-Yen.Hed (Ayık) - 671'!H$2</f>
        <v>3102.1199999999994</v>
      </c>
      <c r="I12" s="276">
        <f>'SatışEkibi YS-Yen. Hed - 671'!$G$31*'SatışEkibi YS-Yen. Hed - 671'!$R38*'Satış YS-Yen.Hed (Ayık) - 671'!I$2</f>
        <v>2585.1</v>
      </c>
      <c r="J12" s="276">
        <f>'SatışEkibi YS-Yen. Hed - 671'!$G$31*'SatışEkibi YS-Yen. Hed - 671'!$R38*'Satış YS-Yen.Hed (Ayık) - 671'!J$2</f>
        <v>2606.6424999999999</v>
      </c>
      <c r="K12" s="276">
        <f>'SatışEkibi YS-Yen. Hed - 671'!$G$31*'SatışEkibi YS-Yen. Hed - 671'!$R38*'Satış YS-Yen.Hed (Ayık) - 671'!K$2</f>
        <v>2757.44</v>
      </c>
      <c r="L12" s="276">
        <f>'SatışEkibi YS-Yen. Hed - 671'!$G$31*'SatışEkibi YS-Yen. Hed - 671'!$R38*'Satış YS-Yen.Hed (Ayık) - 671'!L$2</f>
        <v>3231.3749999999995</v>
      </c>
      <c r="M12" s="276">
        <f>'SatışEkibi YS-Yen. Hed - 671'!$G$31*'SatışEkibi YS-Yen. Hed - 671'!$R38*'Satış YS-Yen.Hed (Ayık) - 671'!M$2</f>
        <v>3274.4599999999996</v>
      </c>
      <c r="N12" s="276">
        <f>'SatışEkibi YS-Yen. Hed - 671'!$G$31*'SatışEkibi YS-Yen. Hed - 671'!$R38*'Satış YS-Yen.Hed (Ayık) - 671'!N$2</f>
        <v>3726.8525</v>
      </c>
      <c r="O12" s="276">
        <f t="shared" si="2"/>
        <v>34467.999999999993</v>
      </c>
      <c r="Q12" s="277" t="str">
        <f t="shared" si="1"/>
        <v>Hosting</v>
      </c>
      <c r="R12" s="278" t="str">
        <f t="shared" si="3"/>
        <v>Yenileme</v>
      </c>
      <c r="S12" s="279">
        <f t="shared" si="4"/>
        <v>7712.2150000000001</v>
      </c>
      <c r="T12" s="279">
        <f t="shared" si="5"/>
        <v>8573.9149999999991</v>
      </c>
      <c r="U12" s="279">
        <f t="shared" si="6"/>
        <v>7949.1825000000008</v>
      </c>
      <c r="V12" s="279">
        <f t="shared" si="7"/>
        <v>10232.6875</v>
      </c>
      <c r="W12" s="279">
        <f t="shared" si="8"/>
        <v>34468</v>
      </c>
    </row>
    <row r="13" spans="1:23" s="269" customFormat="1" ht="16" hidden="1" customHeight="1" outlineLevel="1" x14ac:dyDescent="0.2">
      <c r="A13" s="293" t="s">
        <v>53</v>
      </c>
      <c r="B13" s="294" t="s">
        <v>26</v>
      </c>
      <c r="C13" s="276">
        <f>'SatışEkibi YS-Yen. Hed - 671'!$H$37*'Satış YS-Yen.Hed (Ayık) - 671'!C$2</f>
        <v>1425.0000000000002</v>
      </c>
      <c r="D13" s="276">
        <f>'SatışEkibi YS-Yen. Hed - 671'!$H$37*'Satış YS-Yen.Hed (Ayık) - 671'!D$2</f>
        <v>1425.0000000000002</v>
      </c>
      <c r="E13" s="276">
        <f>'SatışEkibi YS-Yen. Hed - 671'!$H$37*'Satış YS-Yen.Hed (Ayık) - 671'!E$2</f>
        <v>1625</v>
      </c>
      <c r="F13" s="276">
        <f>'SatışEkibi YS-Yen. Hed - 671'!$H$37*'Satış YS-Yen.Hed (Ayık) - 671'!F$2</f>
        <v>1587.5</v>
      </c>
      <c r="G13" s="276">
        <f>'SatışEkibi YS-Yen. Hed - 671'!$H$37*'Satış YS-Yen.Hed (Ayık) - 671'!G$2</f>
        <v>1587.5</v>
      </c>
      <c r="H13" s="276">
        <f>'SatışEkibi YS-Yen. Hed - 671'!$H$37*'Satış YS-Yen.Hed (Ayık) - 671'!H$2</f>
        <v>1799.9999999999995</v>
      </c>
      <c r="I13" s="276">
        <f>'SatışEkibi YS-Yen. Hed - 671'!$H$37*'Satış YS-Yen.Hed (Ayık) - 671'!I$2</f>
        <v>1500</v>
      </c>
      <c r="J13" s="276">
        <f>'SatışEkibi YS-Yen. Hed - 671'!$H$37*'Satış YS-Yen.Hed (Ayık) - 671'!J$2</f>
        <v>1512.5</v>
      </c>
      <c r="K13" s="276">
        <f>'SatışEkibi YS-Yen. Hed - 671'!$H$37*'Satış YS-Yen.Hed (Ayık) - 671'!K$2</f>
        <v>1600</v>
      </c>
      <c r="L13" s="276">
        <f>'SatışEkibi YS-Yen. Hed - 671'!$H$37*'Satış YS-Yen.Hed (Ayık) - 671'!L$2</f>
        <v>1874.9999999999998</v>
      </c>
      <c r="M13" s="276">
        <f>'SatışEkibi YS-Yen. Hed - 671'!$H$37*'Satış YS-Yen.Hed (Ayık) - 671'!M$2</f>
        <v>1899.9999999999998</v>
      </c>
      <c r="N13" s="276">
        <f>'SatışEkibi YS-Yen. Hed - 671'!$H$37*'Satış YS-Yen.Hed (Ayık) - 671'!N$2</f>
        <v>2162.5</v>
      </c>
      <c r="O13" s="295">
        <f>SUM(C13:N13)</f>
        <v>20000</v>
      </c>
      <c r="Q13" s="277" t="str">
        <f t="shared" si="1"/>
        <v>E-Dönüşüm</v>
      </c>
      <c r="R13" s="278" t="str">
        <f t="shared" si="3"/>
        <v>Yeni Satış</v>
      </c>
      <c r="S13" s="279">
        <f t="shared" si="4"/>
        <v>4475</v>
      </c>
      <c r="T13" s="279">
        <f t="shared" si="5"/>
        <v>4975</v>
      </c>
      <c r="U13" s="279">
        <f t="shared" si="6"/>
        <v>4612.5</v>
      </c>
      <c r="V13" s="279">
        <f t="shared" si="7"/>
        <v>5937.5</v>
      </c>
      <c r="W13" s="279">
        <f>SUM(S13:V13)</f>
        <v>20000</v>
      </c>
    </row>
    <row r="14" spans="1:23" s="269" customFormat="1" ht="16" hidden="1" customHeight="1" outlineLevel="1" x14ac:dyDescent="0.2">
      <c r="A14" s="293" t="s">
        <v>53</v>
      </c>
      <c r="B14" s="294" t="s">
        <v>28</v>
      </c>
      <c r="C14" s="276">
        <f>'SatışEkibi YS-Yen. Hed - 671'!$H$38*'Satış YS-Yen.Hed (Ayık) - 671'!C$2</f>
        <v>0</v>
      </c>
      <c r="D14" s="276">
        <f>'SatışEkibi YS-Yen. Hed - 671'!$H$38*'Satış YS-Yen.Hed (Ayık) - 671'!D$2</f>
        <v>0</v>
      </c>
      <c r="E14" s="276">
        <f>'SatışEkibi YS-Yen. Hed - 671'!$H$38*'Satış YS-Yen.Hed (Ayık) - 671'!E$2</f>
        <v>0</v>
      </c>
      <c r="F14" s="276">
        <f>'SatışEkibi YS-Yen. Hed - 671'!$H$38*'Satış YS-Yen.Hed (Ayık) - 671'!F$2</f>
        <v>0</v>
      </c>
      <c r="G14" s="276">
        <f>'SatışEkibi YS-Yen. Hed - 671'!$H$38*'Satış YS-Yen.Hed (Ayık) - 671'!G$2</f>
        <v>0</v>
      </c>
      <c r="H14" s="276">
        <f>'SatışEkibi YS-Yen. Hed - 671'!$H$38*'Satış YS-Yen.Hed (Ayık) - 671'!H$2</f>
        <v>0</v>
      </c>
      <c r="I14" s="276">
        <f>'SatışEkibi YS-Yen. Hed - 671'!$H$38*'Satış YS-Yen.Hed (Ayık) - 671'!I$2</f>
        <v>0</v>
      </c>
      <c r="J14" s="276">
        <f>'SatışEkibi YS-Yen. Hed - 671'!$H$38*'Satış YS-Yen.Hed (Ayık) - 671'!J$2</f>
        <v>0</v>
      </c>
      <c r="K14" s="276">
        <f>'SatışEkibi YS-Yen. Hed - 671'!$H$38*'Satış YS-Yen.Hed (Ayık) - 671'!K$2</f>
        <v>0</v>
      </c>
      <c r="L14" s="276">
        <f>'SatışEkibi YS-Yen. Hed - 671'!$H$38*'Satış YS-Yen.Hed (Ayık) - 671'!L$2</f>
        <v>0</v>
      </c>
      <c r="M14" s="276">
        <f>'SatışEkibi YS-Yen. Hed - 671'!$H$38*'Satış YS-Yen.Hed (Ayık) - 671'!M$2</f>
        <v>0</v>
      </c>
      <c r="N14" s="276">
        <f>'SatışEkibi YS-Yen. Hed - 671'!$H$38*'Satış YS-Yen.Hed (Ayık) - 671'!N$2</f>
        <v>0</v>
      </c>
      <c r="O14" s="295">
        <f>SUM(C14:N14)</f>
        <v>0</v>
      </c>
      <c r="Q14" s="277" t="str">
        <f t="shared" si="1"/>
        <v>E-Dönüşüm</v>
      </c>
      <c r="R14" s="278" t="str">
        <f t="shared" si="3"/>
        <v>Yenileme</v>
      </c>
      <c r="S14" s="279">
        <f t="shared" si="4"/>
        <v>0</v>
      </c>
      <c r="T14" s="279">
        <f t="shared" si="5"/>
        <v>0</v>
      </c>
      <c r="U14" s="279">
        <f t="shared" si="6"/>
        <v>0</v>
      </c>
      <c r="V14" s="279">
        <f t="shared" si="7"/>
        <v>0</v>
      </c>
      <c r="W14" s="279">
        <f>SUM(S14:V14)</f>
        <v>0</v>
      </c>
    </row>
    <row r="15" spans="1:23" s="269" customFormat="1" ht="16" hidden="1" customHeight="1" outlineLevel="1" x14ac:dyDescent="0.2">
      <c r="A15" s="274" t="s">
        <v>35</v>
      </c>
      <c r="B15" s="275" t="s">
        <v>26</v>
      </c>
      <c r="C15" s="276">
        <f>'SatışEkibi YS-Yen. Hed - 671'!$I$31*'SatışEkibi YS-Yen. Hed - 671'!$T37*'Satış YS-Yen.Hed (Ayık) - 671'!C$2</f>
        <v>285.00000000000006</v>
      </c>
      <c r="D15" s="276">
        <f>'SatışEkibi YS-Yen. Hed - 671'!$I$31*'SatışEkibi YS-Yen. Hed - 671'!$T37*'Satış YS-Yen.Hed (Ayık) - 671'!D$2</f>
        <v>285.00000000000006</v>
      </c>
      <c r="E15" s="276">
        <f>'SatışEkibi YS-Yen. Hed - 671'!$I$31*'SatışEkibi YS-Yen. Hed - 671'!$T37*'Satış YS-Yen.Hed (Ayık) - 671'!E$2</f>
        <v>325</v>
      </c>
      <c r="F15" s="276">
        <f>'SatışEkibi YS-Yen. Hed - 671'!$I$31*'SatışEkibi YS-Yen. Hed - 671'!$T37*'Satış YS-Yen.Hed (Ayık) - 671'!F$2</f>
        <v>317.5</v>
      </c>
      <c r="G15" s="276">
        <f>'SatışEkibi YS-Yen. Hed - 671'!$I$31*'SatışEkibi YS-Yen. Hed - 671'!$T37*'Satış YS-Yen.Hed (Ayık) - 671'!G$2</f>
        <v>317.5</v>
      </c>
      <c r="H15" s="276">
        <f>'SatışEkibi YS-Yen. Hed - 671'!$I$31*'SatışEkibi YS-Yen. Hed - 671'!$T37*'Satış YS-Yen.Hed (Ayık) - 671'!H$2</f>
        <v>359.99999999999994</v>
      </c>
      <c r="I15" s="276">
        <f>'SatışEkibi YS-Yen. Hed - 671'!$I$31*'SatışEkibi YS-Yen. Hed - 671'!$T37*'Satış YS-Yen.Hed (Ayık) - 671'!I$2</f>
        <v>300</v>
      </c>
      <c r="J15" s="276">
        <f>'SatışEkibi YS-Yen. Hed - 671'!$I$31*'SatışEkibi YS-Yen. Hed - 671'!$T37*'Satış YS-Yen.Hed (Ayık) - 671'!J$2</f>
        <v>302.5</v>
      </c>
      <c r="K15" s="276">
        <f>'SatışEkibi YS-Yen. Hed - 671'!$I$31*'SatışEkibi YS-Yen. Hed - 671'!$T37*'Satış YS-Yen.Hed (Ayık) - 671'!K$2</f>
        <v>320</v>
      </c>
      <c r="L15" s="276">
        <f>'SatışEkibi YS-Yen. Hed - 671'!$I$31*'SatışEkibi YS-Yen. Hed - 671'!$T37*'Satış YS-Yen.Hed (Ayık) - 671'!L$2</f>
        <v>374.99999999999994</v>
      </c>
      <c r="M15" s="276">
        <f>'SatışEkibi YS-Yen. Hed - 671'!$I$31*'SatışEkibi YS-Yen. Hed - 671'!$T37*'Satış YS-Yen.Hed (Ayık) - 671'!M$2</f>
        <v>379.99999999999994</v>
      </c>
      <c r="N15" s="276">
        <f>'SatışEkibi YS-Yen. Hed - 671'!$I$31*'SatışEkibi YS-Yen. Hed - 671'!$T37*'Satış YS-Yen.Hed (Ayık) - 671'!N$2</f>
        <v>432.5</v>
      </c>
      <c r="O15" s="276">
        <f t="shared" si="2"/>
        <v>4000</v>
      </c>
      <c r="Q15" s="277" t="str">
        <f t="shared" si="1"/>
        <v>BFH</v>
      </c>
      <c r="R15" s="278" t="str">
        <f t="shared" si="3"/>
        <v>Yeni Satış</v>
      </c>
      <c r="S15" s="279">
        <f t="shared" si="4"/>
        <v>895.00000000000011</v>
      </c>
      <c r="T15" s="279">
        <f t="shared" si="5"/>
        <v>995</v>
      </c>
      <c r="U15" s="279">
        <f t="shared" si="6"/>
        <v>922.5</v>
      </c>
      <c r="V15" s="279">
        <f t="shared" si="7"/>
        <v>1187.5</v>
      </c>
      <c r="W15" s="279">
        <f t="shared" si="8"/>
        <v>4000</v>
      </c>
    </row>
    <row r="16" spans="1:23" s="269" customFormat="1" ht="16" customHeight="1" collapsed="1" x14ac:dyDescent="0.2">
      <c r="A16" s="280" t="s">
        <v>30</v>
      </c>
      <c r="B16" s="281" t="s">
        <v>26</v>
      </c>
      <c r="C16" s="282">
        <f>SUMIF($B$5:$B$15,"Yeni Satış",C5:C15)</f>
        <v>5914.4625000000005</v>
      </c>
      <c r="D16" s="282">
        <f t="shared" ref="D16:N16" si="9">SUMIF($B$5:$B$15,"Yeni Satış",D5:D15)</f>
        <v>5914.4625000000005</v>
      </c>
      <c r="E16" s="282">
        <f t="shared" si="9"/>
        <v>6744.5625</v>
      </c>
      <c r="F16" s="282">
        <f t="shared" si="9"/>
        <v>6588.9187499999998</v>
      </c>
      <c r="G16" s="282">
        <f t="shared" si="9"/>
        <v>6588.9187499999998</v>
      </c>
      <c r="H16" s="282">
        <f t="shared" si="9"/>
        <v>7470.8999999999978</v>
      </c>
      <c r="I16" s="282">
        <f t="shared" si="9"/>
        <v>6225.75</v>
      </c>
      <c r="J16" s="282">
        <f t="shared" si="9"/>
        <v>6277.6312500000004</v>
      </c>
      <c r="K16" s="282">
        <f t="shared" si="9"/>
        <v>6640.8</v>
      </c>
      <c r="L16" s="282">
        <f t="shared" si="9"/>
        <v>7782.1874999999991</v>
      </c>
      <c r="M16" s="282">
        <f t="shared" si="9"/>
        <v>7885.9499999999989</v>
      </c>
      <c r="N16" s="282">
        <f t="shared" si="9"/>
        <v>8975.4562499999993</v>
      </c>
      <c r="O16" s="282">
        <f>SUMIF(B5:B15,"Yeni Satış",O5:O15)</f>
        <v>83010</v>
      </c>
      <c r="Q16" s="283" t="s">
        <v>30</v>
      </c>
      <c r="R16" s="284" t="str">
        <f t="shared" si="3"/>
        <v>Yeni Satış</v>
      </c>
      <c r="S16" s="285">
        <f>SUMIF(R5:R15,"Yeni Satış",S5:S15)</f>
        <v>18573.487499999999</v>
      </c>
      <c r="T16" s="285">
        <f>SUMIF(R5:R15,"Yeni Satış",T5:T15)</f>
        <v>20648.737499999999</v>
      </c>
      <c r="U16" s="285">
        <f>SUMIF(R5:R15,"Yeni Satış",U5:U15)</f>
        <v>19144.181250000001</v>
      </c>
      <c r="V16" s="285">
        <f>SUMIF(R5:R15,"Yeni Satış",V5:V15)</f>
        <v>24643.59375</v>
      </c>
      <c r="W16" s="285">
        <f t="shared" si="8"/>
        <v>83010</v>
      </c>
    </row>
    <row r="17" spans="1:23" s="269" customFormat="1" ht="16" customHeight="1" x14ac:dyDescent="0.2">
      <c r="A17" s="280" t="s">
        <v>30</v>
      </c>
      <c r="B17" s="281" t="s">
        <v>28</v>
      </c>
      <c r="C17" s="282">
        <f>SUMIF($B$5:$B$16,"Yenileme",C5:C16)</f>
        <v>7578.7200000000012</v>
      </c>
      <c r="D17" s="282">
        <f t="shared" ref="D17:N17" si="10">SUMIF($B$5:$B$16,"Yenileme",D5:D16)</f>
        <v>7578.7200000000012</v>
      </c>
      <c r="E17" s="282">
        <f t="shared" si="10"/>
        <v>8642.4000000000015</v>
      </c>
      <c r="F17" s="282">
        <f t="shared" si="10"/>
        <v>8442.9600000000009</v>
      </c>
      <c r="G17" s="282">
        <f t="shared" si="10"/>
        <v>8442.9600000000009</v>
      </c>
      <c r="H17" s="282">
        <f t="shared" si="10"/>
        <v>9573.119999999999</v>
      </c>
      <c r="I17" s="282">
        <f t="shared" si="10"/>
        <v>7977.6</v>
      </c>
      <c r="J17" s="282">
        <f t="shared" si="10"/>
        <v>8044.08</v>
      </c>
      <c r="K17" s="282">
        <f t="shared" si="10"/>
        <v>8509.44</v>
      </c>
      <c r="L17" s="282">
        <f t="shared" si="10"/>
        <v>9972</v>
      </c>
      <c r="M17" s="282">
        <f t="shared" si="10"/>
        <v>10104.959999999999</v>
      </c>
      <c r="N17" s="282">
        <f t="shared" si="10"/>
        <v>11501.04</v>
      </c>
      <c r="O17" s="282">
        <f>SUMIF(B5:B15,"Yenileme",O5:O15)</f>
        <v>106368</v>
      </c>
      <c r="Q17" s="283" t="s">
        <v>30</v>
      </c>
      <c r="R17" s="284" t="str">
        <f t="shared" si="3"/>
        <v>Yenileme</v>
      </c>
      <c r="S17" s="285">
        <f>SUMIF(R5:R15,"Yenileme",S5:S15)</f>
        <v>23799.840000000004</v>
      </c>
      <c r="T17" s="285">
        <f>SUMIF(R5:R15,"Yenileme",T5:T15)</f>
        <v>26459.040000000001</v>
      </c>
      <c r="U17" s="285">
        <f>SUMIF(R5:R15,"Yenileme",U5:U15)</f>
        <v>24531.120000000003</v>
      </c>
      <c r="V17" s="285">
        <f>SUMIF(R5:R15,"Yenileme",V5:V15)</f>
        <v>31578</v>
      </c>
      <c r="W17" s="285">
        <f t="shared" si="8"/>
        <v>106368</v>
      </c>
    </row>
    <row r="18" spans="1:23" s="269" customFormat="1" ht="16" customHeight="1" x14ac:dyDescent="0.2">
      <c r="A18" s="286" t="s">
        <v>38</v>
      </c>
      <c r="B18" s="287" t="s">
        <v>144</v>
      </c>
      <c r="C18" s="288">
        <f>SUM(C16:C17)</f>
        <v>13493.182500000003</v>
      </c>
      <c r="D18" s="288">
        <f t="shared" ref="D18:N18" si="11">SUM(D16:D17)</f>
        <v>13493.182500000003</v>
      </c>
      <c r="E18" s="288">
        <f t="shared" si="11"/>
        <v>15386.962500000001</v>
      </c>
      <c r="F18" s="288">
        <f t="shared" si="11"/>
        <v>15031.87875</v>
      </c>
      <c r="G18" s="288">
        <f t="shared" si="11"/>
        <v>15031.87875</v>
      </c>
      <c r="H18" s="288">
        <f t="shared" si="11"/>
        <v>17044.019999999997</v>
      </c>
      <c r="I18" s="288">
        <f t="shared" si="11"/>
        <v>14203.35</v>
      </c>
      <c r="J18" s="288">
        <f t="shared" si="11"/>
        <v>14321.71125</v>
      </c>
      <c r="K18" s="288">
        <f t="shared" si="11"/>
        <v>15150.240000000002</v>
      </c>
      <c r="L18" s="288">
        <f t="shared" si="11"/>
        <v>17754.1875</v>
      </c>
      <c r="M18" s="288">
        <f t="shared" si="11"/>
        <v>17990.909999999996</v>
      </c>
      <c r="N18" s="288">
        <f t="shared" si="11"/>
        <v>20476.49625</v>
      </c>
      <c r="O18" s="303">
        <f>O16+O17</f>
        <v>189378</v>
      </c>
      <c r="Q18" s="297" t="s">
        <v>38</v>
      </c>
      <c r="R18" s="298" t="str">
        <f t="shared" si="3"/>
        <v>YS + Yen.</v>
      </c>
      <c r="S18" s="302">
        <f>S16+S17</f>
        <v>42373.327499999999</v>
      </c>
      <c r="T18" s="302">
        <f>T16+T17</f>
        <v>47107.777499999997</v>
      </c>
      <c r="U18" s="302">
        <f>U16+U17</f>
        <v>43675.301250000004</v>
      </c>
      <c r="V18" s="302">
        <f>V16+V17</f>
        <v>56221.59375</v>
      </c>
      <c r="W18" s="291">
        <f>W16+W17</f>
        <v>189378</v>
      </c>
    </row>
    <row r="19" spans="1:23" s="269" customFormat="1" ht="16" customHeight="1" x14ac:dyDescent="0.2">
      <c r="S19" s="292"/>
      <c r="T19" s="292"/>
      <c r="U19" s="292"/>
      <c r="V19" s="292"/>
      <c r="W19" s="292"/>
    </row>
    <row r="20" spans="1:23" s="269" customFormat="1" x14ac:dyDescent="0.2">
      <c r="A20" s="264" t="s">
        <v>146</v>
      </c>
      <c r="B20" s="264"/>
      <c r="C20" s="266" t="s">
        <v>131</v>
      </c>
      <c r="D20" s="266" t="s">
        <v>132</v>
      </c>
      <c r="E20" s="266" t="s">
        <v>133</v>
      </c>
      <c r="F20" s="266" t="s">
        <v>134</v>
      </c>
      <c r="G20" s="266" t="s">
        <v>135</v>
      </c>
      <c r="H20" s="266" t="s">
        <v>136</v>
      </c>
      <c r="I20" s="266" t="s">
        <v>137</v>
      </c>
      <c r="J20" s="266" t="s">
        <v>138</v>
      </c>
      <c r="K20" s="266" t="s">
        <v>139</v>
      </c>
      <c r="L20" s="266" t="s">
        <v>140</v>
      </c>
      <c r="M20" s="266" t="s">
        <v>141</v>
      </c>
      <c r="N20" s="266" t="s">
        <v>142</v>
      </c>
      <c r="O20" s="266" t="s">
        <v>143</v>
      </c>
      <c r="Q20" s="301" t="str">
        <f t="shared" ref="Q20:Q32" si="12">A20</f>
        <v>Begüm Hayta  —  Direkt Satış</v>
      </c>
      <c r="R20" s="301"/>
      <c r="S20" s="266" t="s">
        <v>154</v>
      </c>
      <c r="T20" s="266" t="s">
        <v>155</v>
      </c>
      <c r="U20" s="266" t="s">
        <v>156</v>
      </c>
      <c r="V20" s="266" t="s">
        <v>157</v>
      </c>
      <c r="W20" s="266" t="s">
        <v>143</v>
      </c>
    </row>
    <row r="21" spans="1:23" s="269" customFormat="1" ht="16" hidden="1" customHeight="1" outlineLevel="1" x14ac:dyDescent="0.2">
      <c r="A21" s="293" t="s">
        <v>25</v>
      </c>
      <c r="B21" s="294" t="s">
        <v>26</v>
      </c>
      <c r="C21" s="276">
        <f>'SatışEkibi YS-Yen. Hed - 671'!$B$31*'SatışEkibi YS-Yen. Hed - 671'!$M40*'Satış YS-Yen.Hed (Ayık) - 671'!C$2</f>
        <v>2137.5000000000005</v>
      </c>
      <c r="D21" s="276">
        <f>'SatışEkibi YS-Yen. Hed - 671'!$B$31*'SatışEkibi YS-Yen. Hed - 671'!$M40*'Satış YS-Yen.Hed (Ayık) - 671'!D$2</f>
        <v>2137.5000000000005</v>
      </c>
      <c r="E21" s="276">
        <f>'SatışEkibi YS-Yen. Hed - 671'!$B$31*'SatışEkibi YS-Yen. Hed - 671'!$M40*'Satış YS-Yen.Hed (Ayık) - 671'!E$2</f>
        <v>2437.5</v>
      </c>
      <c r="F21" s="276">
        <f>'SatışEkibi YS-Yen. Hed - 671'!$B$31*'SatışEkibi YS-Yen. Hed - 671'!$M40*'Satış YS-Yen.Hed (Ayık) - 671'!F$2</f>
        <v>2381.25</v>
      </c>
      <c r="G21" s="276">
        <f>'SatışEkibi YS-Yen. Hed - 671'!$B$31*'SatışEkibi YS-Yen. Hed - 671'!$M40*'Satış YS-Yen.Hed (Ayık) - 671'!G$2</f>
        <v>2381.25</v>
      </c>
      <c r="H21" s="276">
        <f>'SatışEkibi YS-Yen. Hed - 671'!$B$31*'SatışEkibi YS-Yen. Hed - 671'!$M40*'Satış YS-Yen.Hed (Ayık) - 671'!H$2</f>
        <v>2699.9999999999995</v>
      </c>
      <c r="I21" s="276">
        <f>'SatışEkibi YS-Yen. Hed - 671'!$B$31*'SatışEkibi YS-Yen. Hed - 671'!$M40*'Satış YS-Yen.Hed (Ayık) - 671'!I$2</f>
        <v>2250</v>
      </c>
      <c r="J21" s="276">
        <f>'SatışEkibi YS-Yen. Hed - 671'!$B$31*'SatışEkibi YS-Yen. Hed - 671'!$M40*'Satış YS-Yen.Hed (Ayık) - 671'!J$2</f>
        <v>2268.75</v>
      </c>
      <c r="K21" s="276">
        <f>'SatışEkibi YS-Yen. Hed - 671'!$B$31*'SatışEkibi YS-Yen. Hed - 671'!$M40*'Satış YS-Yen.Hed (Ayık) - 671'!K$2</f>
        <v>2400</v>
      </c>
      <c r="L21" s="276">
        <f>'SatışEkibi YS-Yen. Hed - 671'!$B$31*'SatışEkibi YS-Yen. Hed - 671'!$M40*'Satış YS-Yen.Hed (Ayık) - 671'!L$2</f>
        <v>2812.4999999999995</v>
      </c>
      <c r="M21" s="276">
        <f>'SatışEkibi YS-Yen. Hed - 671'!$B$31*'SatışEkibi YS-Yen. Hed - 671'!$M40*'Satış YS-Yen.Hed (Ayık) - 671'!M$2</f>
        <v>2849.9999999999995</v>
      </c>
      <c r="N21" s="276">
        <f>'SatışEkibi YS-Yen. Hed - 671'!$B$31*'SatışEkibi YS-Yen. Hed - 671'!$M40*'Satış YS-Yen.Hed (Ayık) - 671'!N$2</f>
        <v>3243.75</v>
      </c>
      <c r="O21" s="295">
        <f t="shared" ref="O21:O32" si="13">SUM(C21:N21)</f>
        <v>30000</v>
      </c>
      <c r="Q21" s="277" t="str">
        <f t="shared" si="12"/>
        <v>Enroute</v>
      </c>
      <c r="R21" s="278" t="str">
        <f t="shared" ref="R21:R35" si="14">B21</f>
        <v>Yeni Satış</v>
      </c>
      <c r="S21" s="279">
        <f t="shared" ref="S21:S32" si="15">SUM(C21:E21)</f>
        <v>6712.5000000000009</v>
      </c>
      <c r="T21" s="279">
        <f t="shared" ref="T21:T32" si="16">SUM(F21:H21)</f>
        <v>7462.5</v>
      </c>
      <c r="U21" s="279">
        <f t="shared" ref="U21:U32" si="17">SUM(I21:K21)</f>
        <v>6918.75</v>
      </c>
      <c r="V21" s="279">
        <f t="shared" ref="V21:V32" si="18">SUM(L21:N21)</f>
        <v>8906.25</v>
      </c>
      <c r="W21" s="279">
        <f t="shared" ref="W21:W34" si="19">SUM(S21:V21)</f>
        <v>30000</v>
      </c>
    </row>
    <row r="22" spans="1:23" s="269" customFormat="1" ht="16" hidden="1" customHeight="1" outlineLevel="1" x14ac:dyDescent="0.2">
      <c r="A22" s="293" t="s">
        <v>25</v>
      </c>
      <c r="B22" s="294" t="s">
        <v>28</v>
      </c>
      <c r="C22" s="276">
        <f>'SatışEkibi YS-Yen. Hed - 671'!$B$31*'SatışEkibi YS-Yen. Hed - 671'!$M41*'Satış YS-Yen.Hed (Ayık) - 671'!C$2</f>
        <v>3277.5000000000005</v>
      </c>
      <c r="D22" s="276">
        <f>'SatışEkibi YS-Yen. Hed - 671'!$B$31*'SatışEkibi YS-Yen. Hed - 671'!$M41*'Satış YS-Yen.Hed (Ayık) - 671'!D$2</f>
        <v>3277.5000000000005</v>
      </c>
      <c r="E22" s="276">
        <f>'SatışEkibi YS-Yen. Hed - 671'!$B$31*'SatışEkibi YS-Yen. Hed - 671'!$M41*'Satış YS-Yen.Hed (Ayık) - 671'!E$2</f>
        <v>3737.5</v>
      </c>
      <c r="F22" s="276">
        <f>'SatışEkibi YS-Yen. Hed - 671'!$B$31*'SatışEkibi YS-Yen. Hed - 671'!$M41*'Satış YS-Yen.Hed (Ayık) - 671'!F$2</f>
        <v>3651.25</v>
      </c>
      <c r="G22" s="276">
        <f>'SatışEkibi YS-Yen. Hed - 671'!$B$31*'SatışEkibi YS-Yen. Hed - 671'!$M41*'Satış YS-Yen.Hed (Ayık) - 671'!G$2</f>
        <v>3651.25</v>
      </c>
      <c r="H22" s="276">
        <f>'SatışEkibi YS-Yen. Hed - 671'!$B$31*'SatışEkibi YS-Yen. Hed - 671'!$M41*'Satış YS-Yen.Hed (Ayık) - 671'!H$2</f>
        <v>4139.9999999999991</v>
      </c>
      <c r="I22" s="276">
        <f>'SatışEkibi YS-Yen. Hed - 671'!$B$31*'SatışEkibi YS-Yen. Hed - 671'!$M41*'Satış YS-Yen.Hed (Ayık) - 671'!I$2</f>
        <v>3450</v>
      </c>
      <c r="J22" s="276">
        <f>'SatışEkibi YS-Yen. Hed - 671'!$B$31*'SatışEkibi YS-Yen. Hed - 671'!$M41*'Satış YS-Yen.Hed (Ayık) - 671'!J$2</f>
        <v>3478.75</v>
      </c>
      <c r="K22" s="276">
        <f>'SatışEkibi YS-Yen. Hed - 671'!$B$31*'SatışEkibi YS-Yen. Hed - 671'!$M41*'Satış YS-Yen.Hed (Ayık) - 671'!K$2</f>
        <v>3680</v>
      </c>
      <c r="L22" s="276">
        <f>'SatışEkibi YS-Yen. Hed - 671'!$B$31*'SatışEkibi YS-Yen. Hed - 671'!$M41*'Satış YS-Yen.Hed (Ayık) - 671'!L$2</f>
        <v>4312.4999999999991</v>
      </c>
      <c r="M22" s="276">
        <f>'SatışEkibi YS-Yen. Hed - 671'!$B$31*'SatışEkibi YS-Yen. Hed - 671'!$M41*'Satış YS-Yen.Hed (Ayık) - 671'!M$2</f>
        <v>4369.9999999999991</v>
      </c>
      <c r="N22" s="276">
        <f>'SatışEkibi YS-Yen. Hed - 671'!$B$31*'SatışEkibi YS-Yen. Hed - 671'!$M41*'Satış YS-Yen.Hed (Ayık) - 671'!N$2</f>
        <v>4973.75</v>
      </c>
      <c r="O22" s="295">
        <f t="shared" si="13"/>
        <v>46000</v>
      </c>
      <c r="Q22" s="277" t="str">
        <f t="shared" si="12"/>
        <v>Enroute</v>
      </c>
      <c r="R22" s="278" t="str">
        <f t="shared" si="14"/>
        <v>Yenileme</v>
      </c>
      <c r="S22" s="279">
        <f t="shared" si="15"/>
        <v>10292.5</v>
      </c>
      <c r="T22" s="279">
        <f t="shared" si="16"/>
        <v>11442.5</v>
      </c>
      <c r="U22" s="279">
        <f t="shared" si="17"/>
        <v>10608.75</v>
      </c>
      <c r="V22" s="279">
        <f t="shared" si="18"/>
        <v>13656.249999999998</v>
      </c>
      <c r="W22" s="279">
        <f t="shared" si="19"/>
        <v>46000</v>
      </c>
    </row>
    <row r="23" spans="1:23" s="269" customFormat="1" ht="16" hidden="1" customHeight="1" outlineLevel="1" x14ac:dyDescent="0.2">
      <c r="A23" s="293" t="s">
        <v>29</v>
      </c>
      <c r="B23" s="294" t="s">
        <v>26</v>
      </c>
      <c r="C23" s="276">
        <f>'SatışEkibi YS-Yen. Hed - 671'!$C$31*'SatışEkibi YS-Yen. Hed - 671'!$N40*'Satış YS-Yen.Hed (Ayık) - 671'!C$2</f>
        <v>641.25000000000011</v>
      </c>
      <c r="D23" s="276">
        <f>'SatışEkibi YS-Yen. Hed - 671'!$C$31*'SatışEkibi YS-Yen. Hed - 671'!$N40*'Satış YS-Yen.Hed (Ayık) - 671'!D$2</f>
        <v>641.25000000000011</v>
      </c>
      <c r="E23" s="276">
        <f>'SatışEkibi YS-Yen. Hed - 671'!$C$31*'SatışEkibi YS-Yen. Hed - 671'!$N40*'Satış YS-Yen.Hed (Ayık) - 671'!E$2</f>
        <v>731.25</v>
      </c>
      <c r="F23" s="276">
        <f>'SatışEkibi YS-Yen. Hed - 671'!$C$31*'SatışEkibi YS-Yen. Hed - 671'!$N40*'Satış YS-Yen.Hed (Ayık) - 671'!F$2</f>
        <v>714.375</v>
      </c>
      <c r="G23" s="276">
        <f>'SatışEkibi YS-Yen. Hed - 671'!$C$31*'SatışEkibi YS-Yen. Hed - 671'!$N40*'Satış YS-Yen.Hed (Ayık) - 671'!G$2</f>
        <v>714.375</v>
      </c>
      <c r="H23" s="276">
        <f>'SatışEkibi YS-Yen. Hed - 671'!$C$31*'SatışEkibi YS-Yen. Hed - 671'!$N40*'Satış YS-Yen.Hed (Ayık) - 671'!H$2</f>
        <v>809.99999999999989</v>
      </c>
      <c r="I23" s="276">
        <f>'SatışEkibi YS-Yen. Hed - 671'!$C$31*'SatışEkibi YS-Yen. Hed - 671'!$N40*'Satış YS-Yen.Hed (Ayık) - 671'!I$2</f>
        <v>675</v>
      </c>
      <c r="J23" s="276">
        <f>'SatışEkibi YS-Yen. Hed - 671'!$C$31*'SatışEkibi YS-Yen. Hed - 671'!$N40*'Satış YS-Yen.Hed (Ayık) - 671'!J$2</f>
        <v>680.625</v>
      </c>
      <c r="K23" s="276">
        <f>'SatışEkibi YS-Yen. Hed - 671'!$C$31*'SatışEkibi YS-Yen. Hed - 671'!$N40*'Satış YS-Yen.Hed (Ayık) - 671'!K$2</f>
        <v>720</v>
      </c>
      <c r="L23" s="276">
        <f>'SatışEkibi YS-Yen. Hed - 671'!$C$31*'SatışEkibi YS-Yen. Hed - 671'!$N40*'Satış YS-Yen.Hed (Ayık) - 671'!L$2</f>
        <v>843.74999999999989</v>
      </c>
      <c r="M23" s="276">
        <f>'SatışEkibi YS-Yen. Hed - 671'!$C$31*'SatışEkibi YS-Yen. Hed - 671'!$N40*'Satış YS-Yen.Hed (Ayık) - 671'!M$2</f>
        <v>854.99999999999989</v>
      </c>
      <c r="N23" s="276">
        <f>'SatışEkibi YS-Yen. Hed - 671'!$C$31*'SatışEkibi YS-Yen. Hed - 671'!$N40*'Satış YS-Yen.Hed (Ayık) - 671'!N$2</f>
        <v>973.125</v>
      </c>
      <c r="O23" s="295">
        <f t="shared" si="13"/>
        <v>9000</v>
      </c>
      <c r="Q23" s="277" t="str">
        <f t="shared" si="12"/>
        <v>Stokbar</v>
      </c>
      <c r="R23" s="278" t="str">
        <f t="shared" si="14"/>
        <v>Yeni Satış</v>
      </c>
      <c r="S23" s="279">
        <f t="shared" si="15"/>
        <v>2013.7500000000002</v>
      </c>
      <c r="T23" s="279">
        <f t="shared" si="16"/>
        <v>2238.75</v>
      </c>
      <c r="U23" s="279">
        <f t="shared" si="17"/>
        <v>2075.625</v>
      </c>
      <c r="V23" s="279">
        <f t="shared" si="18"/>
        <v>2671.875</v>
      </c>
      <c r="W23" s="279">
        <f t="shared" si="19"/>
        <v>9000</v>
      </c>
    </row>
    <row r="24" spans="1:23" s="269" customFormat="1" ht="16" hidden="1" customHeight="1" outlineLevel="1" x14ac:dyDescent="0.2">
      <c r="A24" s="293" t="s">
        <v>29</v>
      </c>
      <c r="B24" s="294" t="s">
        <v>28</v>
      </c>
      <c r="C24" s="276">
        <f>'SatışEkibi YS-Yen. Hed - 671'!$C$31*'SatışEkibi YS-Yen. Hed - 671'!$N41*'Satış YS-Yen.Hed (Ayık) - 671'!C$2</f>
        <v>406.05375000000004</v>
      </c>
      <c r="D24" s="276">
        <f>'SatışEkibi YS-Yen. Hed - 671'!$C$31*'SatışEkibi YS-Yen. Hed - 671'!$N41*'Satış YS-Yen.Hed (Ayık) - 671'!D$2</f>
        <v>406.05375000000004</v>
      </c>
      <c r="E24" s="276">
        <f>'SatışEkibi YS-Yen. Hed - 671'!$C$31*'SatışEkibi YS-Yen. Hed - 671'!$N41*'Satış YS-Yen.Hed (Ayık) - 671'!E$2</f>
        <v>463.04374999999999</v>
      </c>
      <c r="F24" s="276">
        <f>'SatışEkibi YS-Yen. Hed - 671'!$C$31*'SatışEkibi YS-Yen. Hed - 671'!$N41*'Satış YS-Yen.Hed (Ayık) - 671'!F$2</f>
        <v>452.35812500000003</v>
      </c>
      <c r="G24" s="276">
        <f>'SatışEkibi YS-Yen. Hed - 671'!$C$31*'SatışEkibi YS-Yen. Hed - 671'!$N41*'Satış YS-Yen.Hed (Ayık) - 671'!G$2</f>
        <v>452.35812500000003</v>
      </c>
      <c r="H24" s="276">
        <f>'SatışEkibi YS-Yen. Hed - 671'!$C$31*'SatışEkibi YS-Yen. Hed - 671'!$N41*'Satış YS-Yen.Hed (Ayık) - 671'!H$2</f>
        <v>512.90999999999985</v>
      </c>
      <c r="I24" s="276">
        <f>'SatışEkibi YS-Yen. Hed - 671'!$C$31*'SatışEkibi YS-Yen. Hed - 671'!$N41*'Satış YS-Yen.Hed (Ayık) - 671'!I$2</f>
        <v>427.42500000000001</v>
      </c>
      <c r="J24" s="276">
        <f>'SatışEkibi YS-Yen. Hed - 671'!$C$31*'SatışEkibi YS-Yen. Hed - 671'!$N41*'Satış YS-Yen.Hed (Ayık) - 671'!J$2</f>
        <v>430.986875</v>
      </c>
      <c r="K24" s="276">
        <f>'SatışEkibi YS-Yen. Hed - 671'!$C$31*'SatışEkibi YS-Yen. Hed - 671'!$N41*'Satış YS-Yen.Hed (Ayık) - 671'!K$2</f>
        <v>455.92</v>
      </c>
      <c r="L24" s="276">
        <f>'SatışEkibi YS-Yen. Hed - 671'!$C$31*'SatışEkibi YS-Yen. Hed - 671'!$N41*'Satış YS-Yen.Hed (Ayık) - 671'!L$2</f>
        <v>534.28124999999989</v>
      </c>
      <c r="M24" s="276">
        <f>'SatışEkibi YS-Yen. Hed - 671'!$C$31*'SatışEkibi YS-Yen. Hed - 671'!$N41*'Satış YS-Yen.Hed (Ayık) - 671'!M$2</f>
        <v>541.40499999999997</v>
      </c>
      <c r="N24" s="276">
        <f>'SatışEkibi YS-Yen. Hed - 671'!$C$31*'SatışEkibi YS-Yen. Hed - 671'!$N41*'Satış YS-Yen.Hed (Ayık) - 671'!N$2</f>
        <v>616.20437500000003</v>
      </c>
      <c r="O24" s="295">
        <f t="shared" si="13"/>
        <v>5699</v>
      </c>
      <c r="Q24" s="277" t="str">
        <f t="shared" si="12"/>
        <v>Stokbar</v>
      </c>
      <c r="R24" s="278" t="str">
        <f t="shared" si="14"/>
        <v>Yenileme</v>
      </c>
      <c r="S24" s="279">
        <f t="shared" si="15"/>
        <v>1275.1512500000001</v>
      </c>
      <c r="T24" s="279">
        <f t="shared" si="16"/>
        <v>1417.6262499999998</v>
      </c>
      <c r="U24" s="279">
        <f t="shared" si="17"/>
        <v>1314.3318750000001</v>
      </c>
      <c r="V24" s="279">
        <f t="shared" si="18"/>
        <v>1691.8906249999998</v>
      </c>
      <c r="W24" s="279">
        <f t="shared" si="19"/>
        <v>5699</v>
      </c>
    </row>
    <row r="25" spans="1:23" s="269" customFormat="1" ht="16" hidden="1" customHeight="1" outlineLevel="1" x14ac:dyDescent="0.2">
      <c r="A25" s="293" t="s">
        <v>27</v>
      </c>
      <c r="B25" s="294" t="s">
        <v>26</v>
      </c>
      <c r="C25" s="276">
        <f>'SatışEkibi YS-Yen. Hed - 671'!$D$31*'SatışEkibi YS-Yen. Hed - 671'!$O40*'Satış YS-Yen.Hed (Ayık) - 671'!C$2</f>
        <v>669.75000000000011</v>
      </c>
      <c r="D25" s="276">
        <f>'SatışEkibi YS-Yen. Hed - 671'!$D$31*'SatışEkibi YS-Yen. Hed - 671'!$O40*'Satış YS-Yen.Hed (Ayık) - 671'!D$2</f>
        <v>669.75000000000011</v>
      </c>
      <c r="E25" s="276">
        <f>'SatışEkibi YS-Yen. Hed - 671'!$D$31*'SatışEkibi YS-Yen. Hed - 671'!$O40*'Satış YS-Yen.Hed (Ayık) - 671'!E$2</f>
        <v>763.75</v>
      </c>
      <c r="F25" s="276">
        <f>'SatışEkibi YS-Yen. Hed - 671'!$D$31*'SatışEkibi YS-Yen. Hed - 671'!$O40*'Satış YS-Yen.Hed (Ayık) - 671'!F$2</f>
        <v>746.125</v>
      </c>
      <c r="G25" s="276">
        <f>'SatışEkibi YS-Yen. Hed - 671'!$D$31*'SatışEkibi YS-Yen. Hed - 671'!$O40*'Satış YS-Yen.Hed (Ayık) - 671'!G$2</f>
        <v>746.125</v>
      </c>
      <c r="H25" s="276">
        <f>'SatışEkibi YS-Yen. Hed - 671'!$D$31*'SatışEkibi YS-Yen. Hed - 671'!$O40*'Satış YS-Yen.Hed (Ayık) - 671'!H$2</f>
        <v>845.99999999999989</v>
      </c>
      <c r="I25" s="276">
        <f>'SatışEkibi YS-Yen. Hed - 671'!$D$31*'SatışEkibi YS-Yen. Hed - 671'!$O40*'Satış YS-Yen.Hed (Ayık) - 671'!I$2</f>
        <v>705</v>
      </c>
      <c r="J25" s="276">
        <f>'SatışEkibi YS-Yen. Hed - 671'!$D$31*'SatışEkibi YS-Yen. Hed - 671'!$O40*'Satış YS-Yen.Hed (Ayık) - 671'!J$2</f>
        <v>710.875</v>
      </c>
      <c r="K25" s="276">
        <f>'SatışEkibi YS-Yen. Hed - 671'!$D$31*'SatışEkibi YS-Yen. Hed - 671'!$O40*'Satış YS-Yen.Hed (Ayık) - 671'!K$2</f>
        <v>752</v>
      </c>
      <c r="L25" s="276">
        <f>'SatışEkibi YS-Yen. Hed - 671'!$D$31*'SatışEkibi YS-Yen. Hed - 671'!$O40*'Satış YS-Yen.Hed (Ayık) - 671'!L$2</f>
        <v>881.24999999999989</v>
      </c>
      <c r="M25" s="276">
        <f>'SatışEkibi YS-Yen. Hed - 671'!$D$31*'SatışEkibi YS-Yen. Hed - 671'!$O40*'Satış YS-Yen.Hed (Ayık) - 671'!M$2</f>
        <v>892.99999999999989</v>
      </c>
      <c r="N25" s="276">
        <f>'SatışEkibi YS-Yen. Hed - 671'!$D$31*'SatışEkibi YS-Yen. Hed - 671'!$O40*'Satış YS-Yen.Hed (Ayık) - 671'!N$2</f>
        <v>1016.375</v>
      </c>
      <c r="O25" s="295">
        <f t="shared" si="13"/>
        <v>9400</v>
      </c>
      <c r="Q25" s="277" t="str">
        <f t="shared" si="12"/>
        <v>Quest</v>
      </c>
      <c r="R25" s="278" t="str">
        <f t="shared" si="14"/>
        <v>Yeni Satış</v>
      </c>
      <c r="S25" s="279">
        <f t="shared" si="15"/>
        <v>2103.25</v>
      </c>
      <c r="T25" s="279">
        <f t="shared" si="16"/>
        <v>2338.25</v>
      </c>
      <c r="U25" s="279">
        <f t="shared" si="17"/>
        <v>2167.875</v>
      </c>
      <c r="V25" s="279">
        <f t="shared" si="18"/>
        <v>2790.625</v>
      </c>
      <c r="W25" s="279">
        <f t="shared" si="19"/>
        <v>9400</v>
      </c>
    </row>
    <row r="26" spans="1:23" s="269" customFormat="1" ht="16" hidden="1" customHeight="1" outlineLevel="1" x14ac:dyDescent="0.2">
      <c r="A26" s="293" t="s">
        <v>27</v>
      </c>
      <c r="B26" s="294" t="s">
        <v>28</v>
      </c>
      <c r="C26" s="276">
        <f>'SatışEkibi YS-Yen. Hed - 671'!$D$31*'SatışEkibi YS-Yen. Hed - 671'!$O41*'Satış YS-Yen.Hed (Ayık) - 671'!C$2</f>
        <v>456.00000000000006</v>
      </c>
      <c r="D26" s="276">
        <f>'SatışEkibi YS-Yen. Hed - 671'!$D$31*'SatışEkibi YS-Yen. Hed - 671'!$O41*'Satış YS-Yen.Hed (Ayık) - 671'!D$2</f>
        <v>456.00000000000006</v>
      </c>
      <c r="E26" s="276">
        <f>'SatışEkibi YS-Yen. Hed - 671'!$D$31*'SatışEkibi YS-Yen. Hed - 671'!$O41*'Satış YS-Yen.Hed (Ayık) - 671'!E$2</f>
        <v>520</v>
      </c>
      <c r="F26" s="276">
        <f>'SatışEkibi YS-Yen. Hed - 671'!$D$31*'SatışEkibi YS-Yen. Hed - 671'!$O41*'Satış YS-Yen.Hed (Ayık) - 671'!F$2</f>
        <v>508</v>
      </c>
      <c r="G26" s="276">
        <f>'SatışEkibi YS-Yen. Hed - 671'!$D$31*'SatışEkibi YS-Yen. Hed - 671'!$O41*'Satış YS-Yen.Hed (Ayık) - 671'!G$2</f>
        <v>508</v>
      </c>
      <c r="H26" s="276">
        <f>'SatışEkibi YS-Yen. Hed - 671'!$D$31*'SatışEkibi YS-Yen. Hed - 671'!$O41*'Satış YS-Yen.Hed (Ayık) - 671'!H$2</f>
        <v>575.99999999999989</v>
      </c>
      <c r="I26" s="276">
        <f>'SatışEkibi YS-Yen. Hed - 671'!$D$31*'SatışEkibi YS-Yen. Hed - 671'!$O41*'Satış YS-Yen.Hed (Ayık) - 671'!I$2</f>
        <v>480</v>
      </c>
      <c r="J26" s="276">
        <f>'SatışEkibi YS-Yen. Hed - 671'!$D$31*'SatışEkibi YS-Yen. Hed - 671'!$O41*'Satış YS-Yen.Hed (Ayık) - 671'!J$2</f>
        <v>484</v>
      </c>
      <c r="K26" s="276">
        <f>'SatışEkibi YS-Yen. Hed - 671'!$D$31*'SatışEkibi YS-Yen. Hed - 671'!$O41*'Satış YS-Yen.Hed (Ayık) - 671'!K$2</f>
        <v>512</v>
      </c>
      <c r="L26" s="276">
        <f>'SatışEkibi YS-Yen. Hed - 671'!$D$31*'SatışEkibi YS-Yen. Hed - 671'!$O41*'Satış YS-Yen.Hed (Ayık) - 671'!L$2</f>
        <v>599.99999999999989</v>
      </c>
      <c r="M26" s="276">
        <f>'SatışEkibi YS-Yen. Hed - 671'!$D$31*'SatışEkibi YS-Yen. Hed - 671'!$O41*'Satış YS-Yen.Hed (Ayık) - 671'!M$2</f>
        <v>607.99999999999989</v>
      </c>
      <c r="N26" s="276">
        <f>'SatışEkibi YS-Yen. Hed - 671'!$D$31*'SatışEkibi YS-Yen. Hed - 671'!$O41*'Satış YS-Yen.Hed (Ayık) - 671'!N$2</f>
        <v>692</v>
      </c>
      <c r="O26" s="295">
        <f t="shared" si="13"/>
        <v>6400</v>
      </c>
      <c r="Q26" s="277" t="str">
        <f t="shared" si="12"/>
        <v>Quest</v>
      </c>
      <c r="R26" s="278" t="str">
        <f t="shared" si="14"/>
        <v>Yenileme</v>
      </c>
      <c r="S26" s="279">
        <f t="shared" si="15"/>
        <v>1432</v>
      </c>
      <c r="T26" s="279">
        <f t="shared" si="16"/>
        <v>1592</v>
      </c>
      <c r="U26" s="279">
        <f t="shared" si="17"/>
        <v>1476</v>
      </c>
      <c r="V26" s="279">
        <f t="shared" si="18"/>
        <v>1899.9999999999998</v>
      </c>
      <c r="W26" s="279">
        <f t="shared" si="19"/>
        <v>6400</v>
      </c>
    </row>
    <row r="27" spans="1:23" s="269" customFormat="1" ht="16" hidden="1" customHeight="1" outlineLevel="1" x14ac:dyDescent="0.2">
      <c r="A27" s="293" t="s">
        <v>32</v>
      </c>
      <c r="B27" s="294" t="s">
        <v>26</v>
      </c>
      <c r="C27" s="276">
        <f>'SatışEkibi YS-Yen. Hed - 671'!$F$31*'SatışEkibi YS-Yen. Hed - 671'!$Q40*'Satış YS-Yen.Hed (Ayık) - 671'!C$2</f>
        <v>78.375000000000014</v>
      </c>
      <c r="D27" s="276">
        <f>'SatışEkibi YS-Yen. Hed - 671'!$F$31*'SatışEkibi YS-Yen. Hed - 671'!$Q40*'Satış YS-Yen.Hed (Ayık) - 671'!D$2</f>
        <v>78.375000000000014</v>
      </c>
      <c r="E27" s="276">
        <f>'SatışEkibi YS-Yen. Hed - 671'!$F$31*'SatışEkibi YS-Yen. Hed - 671'!$Q40*'Satış YS-Yen.Hed (Ayık) - 671'!E$2</f>
        <v>89.375</v>
      </c>
      <c r="F27" s="276">
        <f>'SatışEkibi YS-Yen. Hed - 671'!$F$31*'SatışEkibi YS-Yen. Hed - 671'!$Q40*'Satış YS-Yen.Hed (Ayık) - 671'!F$2</f>
        <v>87.3125</v>
      </c>
      <c r="G27" s="276">
        <f>'SatışEkibi YS-Yen. Hed - 671'!$F$31*'SatışEkibi YS-Yen. Hed - 671'!$Q40*'Satış YS-Yen.Hed (Ayık) - 671'!G$2</f>
        <v>87.3125</v>
      </c>
      <c r="H27" s="276">
        <f>'SatışEkibi YS-Yen. Hed - 671'!$F$31*'SatışEkibi YS-Yen. Hed - 671'!$Q40*'Satış YS-Yen.Hed (Ayık) - 671'!H$2</f>
        <v>98.999999999999986</v>
      </c>
      <c r="I27" s="276">
        <f>'SatışEkibi YS-Yen. Hed - 671'!$F$31*'SatışEkibi YS-Yen. Hed - 671'!$Q40*'Satış YS-Yen.Hed (Ayık) - 671'!I$2</f>
        <v>82.5</v>
      </c>
      <c r="J27" s="276">
        <f>'SatışEkibi YS-Yen. Hed - 671'!$F$31*'SatışEkibi YS-Yen. Hed - 671'!$Q40*'Satış YS-Yen.Hed (Ayık) - 671'!J$2</f>
        <v>83.1875</v>
      </c>
      <c r="K27" s="276">
        <f>'SatışEkibi YS-Yen. Hed - 671'!$F$31*'SatışEkibi YS-Yen. Hed - 671'!$Q40*'Satış YS-Yen.Hed (Ayık) - 671'!K$2</f>
        <v>88</v>
      </c>
      <c r="L27" s="276">
        <f>'SatışEkibi YS-Yen. Hed - 671'!$F$31*'SatışEkibi YS-Yen. Hed - 671'!$Q40*'Satış YS-Yen.Hed (Ayık) - 671'!L$2</f>
        <v>103.12499999999999</v>
      </c>
      <c r="M27" s="276">
        <f>'SatışEkibi YS-Yen. Hed - 671'!$F$31*'SatışEkibi YS-Yen. Hed - 671'!$Q40*'Satış YS-Yen.Hed (Ayık) - 671'!M$2</f>
        <v>104.49999999999999</v>
      </c>
      <c r="N27" s="276">
        <f>'SatışEkibi YS-Yen. Hed - 671'!$F$31*'SatışEkibi YS-Yen. Hed - 671'!$Q40*'Satış YS-Yen.Hed (Ayık) - 671'!N$2</f>
        <v>118.9375</v>
      </c>
      <c r="O27" s="295">
        <f t="shared" si="13"/>
        <v>1100</v>
      </c>
      <c r="Q27" s="277" t="str">
        <f t="shared" si="12"/>
        <v>Varuna</v>
      </c>
      <c r="R27" s="278" t="str">
        <f t="shared" si="14"/>
        <v>Yeni Satış</v>
      </c>
      <c r="S27" s="279">
        <f t="shared" si="15"/>
        <v>246.12500000000003</v>
      </c>
      <c r="T27" s="279">
        <f t="shared" si="16"/>
        <v>273.625</v>
      </c>
      <c r="U27" s="279">
        <f t="shared" si="17"/>
        <v>253.6875</v>
      </c>
      <c r="V27" s="279">
        <f t="shared" si="18"/>
        <v>326.5625</v>
      </c>
      <c r="W27" s="279">
        <f t="shared" si="19"/>
        <v>1100</v>
      </c>
    </row>
    <row r="28" spans="1:23" s="269" customFormat="1" ht="16" hidden="1" customHeight="1" outlineLevel="1" x14ac:dyDescent="0.2">
      <c r="A28" s="293" t="s">
        <v>34</v>
      </c>
      <c r="B28" s="294" t="s">
        <v>26</v>
      </c>
      <c r="C28" s="276">
        <f>'SatışEkibi YS-Yen. Hed - 671'!$G$31*'SatışEkibi YS-Yen. Hed - 671'!$R40*'Satış YS-Yen.Hed (Ayık) - 671'!C$2</f>
        <v>71.250000000000014</v>
      </c>
      <c r="D28" s="276">
        <f>'SatışEkibi YS-Yen. Hed - 671'!$G$31*'SatışEkibi YS-Yen. Hed - 671'!$R40*'Satış YS-Yen.Hed (Ayık) - 671'!D$2</f>
        <v>71.250000000000014</v>
      </c>
      <c r="E28" s="276">
        <f>'SatışEkibi YS-Yen. Hed - 671'!$G$31*'SatışEkibi YS-Yen. Hed - 671'!$R40*'Satış YS-Yen.Hed (Ayık) - 671'!E$2</f>
        <v>81.25</v>
      </c>
      <c r="F28" s="276">
        <f>'SatışEkibi YS-Yen. Hed - 671'!$G$31*'SatışEkibi YS-Yen. Hed - 671'!$R40*'Satış YS-Yen.Hed (Ayık) - 671'!F$2</f>
        <v>79.375</v>
      </c>
      <c r="G28" s="276">
        <f>'SatışEkibi YS-Yen. Hed - 671'!$G$31*'SatışEkibi YS-Yen. Hed - 671'!$R40*'Satış YS-Yen.Hed (Ayık) - 671'!G$2</f>
        <v>79.375</v>
      </c>
      <c r="H28" s="276">
        <f>'SatışEkibi YS-Yen. Hed - 671'!$G$31*'SatışEkibi YS-Yen. Hed - 671'!$R40*'Satış YS-Yen.Hed (Ayık) - 671'!H$2</f>
        <v>89.999999999999986</v>
      </c>
      <c r="I28" s="276">
        <f>'SatışEkibi YS-Yen. Hed - 671'!$G$31*'SatışEkibi YS-Yen. Hed - 671'!$R40*'Satış YS-Yen.Hed (Ayık) - 671'!I$2</f>
        <v>75</v>
      </c>
      <c r="J28" s="276">
        <f>'SatışEkibi YS-Yen. Hed - 671'!$G$31*'SatışEkibi YS-Yen. Hed - 671'!$R40*'Satış YS-Yen.Hed (Ayık) - 671'!J$2</f>
        <v>75.625</v>
      </c>
      <c r="K28" s="276">
        <f>'SatışEkibi YS-Yen. Hed - 671'!$G$31*'SatışEkibi YS-Yen. Hed - 671'!$R40*'Satış YS-Yen.Hed (Ayık) - 671'!K$2</f>
        <v>80</v>
      </c>
      <c r="L28" s="276">
        <f>'SatışEkibi YS-Yen. Hed - 671'!$G$31*'SatışEkibi YS-Yen. Hed - 671'!$R40*'Satış YS-Yen.Hed (Ayık) - 671'!L$2</f>
        <v>93.749999999999986</v>
      </c>
      <c r="M28" s="276">
        <f>'SatışEkibi YS-Yen. Hed - 671'!$G$31*'SatışEkibi YS-Yen. Hed - 671'!$R40*'Satış YS-Yen.Hed (Ayık) - 671'!M$2</f>
        <v>94.999999999999986</v>
      </c>
      <c r="N28" s="276">
        <f>'SatışEkibi YS-Yen. Hed - 671'!$G$31*'SatışEkibi YS-Yen. Hed - 671'!$R40*'Satış YS-Yen.Hed (Ayık) - 671'!N$2</f>
        <v>108.125</v>
      </c>
      <c r="O28" s="295">
        <f t="shared" si="13"/>
        <v>1000</v>
      </c>
      <c r="Q28" s="277" t="str">
        <f t="shared" si="12"/>
        <v>Hosting</v>
      </c>
      <c r="R28" s="278" t="str">
        <f t="shared" si="14"/>
        <v>Yeni Satış</v>
      </c>
      <c r="S28" s="279">
        <f t="shared" si="15"/>
        <v>223.75000000000003</v>
      </c>
      <c r="T28" s="279">
        <f t="shared" si="16"/>
        <v>248.75</v>
      </c>
      <c r="U28" s="279">
        <f t="shared" si="17"/>
        <v>230.625</v>
      </c>
      <c r="V28" s="279">
        <f t="shared" si="18"/>
        <v>296.875</v>
      </c>
      <c r="W28" s="279">
        <f t="shared" si="19"/>
        <v>1000</v>
      </c>
    </row>
    <row r="29" spans="1:23" s="269" customFormat="1" ht="16" hidden="1" customHeight="1" outlineLevel="1" x14ac:dyDescent="0.2">
      <c r="A29" s="293" t="s">
        <v>34</v>
      </c>
      <c r="B29" s="294" t="s">
        <v>28</v>
      </c>
      <c r="C29" s="276">
        <f>'SatışEkibi YS-Yen. Hed - 671'!$G$31*'SatışEkibi YS-Yen. Hed - 671'!$R41*'Satış YS-Yen.Hed (Ayık) - 671'!C$2</f>
        <v>1112.2125000000001</v>
      </c>
      <c r="D29" s="276">
        <f>'SatışEkibi YS-Yen. Hed - 671'!$G$31*'SatışEkibi YS-Yen. Hed - 671'!$R41*'Satış YS-Yen.Hed (Ayık) - 671'!D$2</f>
        <v>1112.2125000000001</v>
      </c>
      <c r="E29" s="276">
        <f>'SatışEkibi YS-Yen. Hed - 671'!$G$31*'SatışEkibi YS-Yen. Hed - 671'!$R41*'Satış YS-Yen.Hed (Ayık) - 671'!E$2</f>
        <v>1268.3125</v>
      </c>
      <c r="F29" s="276">
        <f>'SatışEkibi YS-Yen. Hed - 671'!$G$31*'SatışEkibi YS-Yen. Hed - 671'!$R41*'Satış YS-Yen.Hed (Ayık) - 671'!F$2</f>
        <v>1239.04375</v>
      </c>
      <c r="G29" s="276">
        <f>'SatışEkibi YS-Yen. Hed - 671'!$G$31*'SatışEkibi YS-Yen. Hed - 671'!$R41*'Satış YS-Yen.Hed (Ayık) - 671'!G$2</f>
        <v>1239.04375</v>
      </c>
      <c r="H29" s="276">
        <f>'SatışEkibi YS-Yen. Hed - 671'!$G$31*'SatışEkibi YS-Yen. Hed - 671'!$R41*'Satış YS-Yen.Hed (Ayık) - 671'!H$2</f>
        <v>1404.8999999999996</v>
      </c>
      <c r="I29" s="276">
        <f>'SatışEkibi YS-Yen. Hed - 671'!$G$31*'SatışEkibi YS-Yen. Hed - 671'!$R41*'Satış YS-Yen.Hed (Ayık) - 671'!I$2</f>
        <v>1170.75</v>
      </c>
      <c r="J29" s="276">
        <f>'SatışEkibi YS-Yen. Hed - 671'!$G$31*'SatışEkibi YS-Yen. Hed - 671'!$R41*'Satış YS-Yen.Hed (Ayık) - 671'!J$2</f>
        <v>1180.5062499999999</v>
      </c>
      <c r="K29" s="276">
        <f>'SatışEkibi YS-Yen. Hed - 671'!$G$31*'SatışEkibi YS-Yen. Hed - 671'!$R41*'Satış YS-Yen.Hed (Ayık) - 671'!K$2</f>
        <v>1248.8</v>
      </c>
      <c r="L29" s="276">
        <f>'SatışEkibi YS-Yen. Hed - 671'!$G$31*'SatışEkibi YS-Yen. Hed - 671'!$R41*'Satış YS-Yen.Hed (Ayık) - 671'!L$2</f>
        <v>1463.4374999999998</v>
      </c>
      <c r="M29" s="276">
        <f>'SatışEkibi YS-Yen. Hed - 671'!$G$31*'SatışEkibi YS-Yen. Hed - 671'!$R41*'Satış YS-Yen.Hed (Ayık) - 671'!M$2</f>
        <v>1482.9499999999998</v>
      </c>
      <c r="N29" s="276">
        <f>'SatışEkibi YS-Yen. Hed - 671'!$G$31*'SatışEkibi YS-Yen. Hed - 671'!$R41*'Satış YS-Yen.Hed (Ayık) - 671'!N$2</f>
        <v>1687.83125</v>
      </c>
      <c r="O29" s="295">
        <f t="shared" si="13"/>
        <v>15609.999999999996</v>
      </c>
      <c r="Q29" s="277" t="str">
        <f t="shared" si="12"/>
        <v>Hosting</v>
      </c>
      <c r="R29" s="278" t="str">
        <f t="shared" si="14"/>
        <v>Yenileme</v>
      </c>
      <c r="S29" s="279">
        <f t="shared" si="15"/>
        <v>3492.7375000000002</v>
      </c>
      <c r="T29" s="279">
        <f t="shared" si="16"/>
        <v>3882.9874999999997</v>
      </c>
      <c r="U29" s="279">
        <f t="shared" si="17"/>
        <v>3600.0562499999996</v>
      </c>
      <c r="V29" s="279">
        <f t="shared" si="18"/>
        <v>4634.21875</v>
      </c>
      <c r="W29" s="279">
        <f t="shared" si="19"/>
        <v>15610</v>
      </c>
    </row>
    <row r="30" spans="1:23" s="269" customFormat="1" ht="16" hidden="1" customHeight="1" outlineLevel="1" x14ac:dyDescent="0.2">
      <c r="A30" s="293" t="s">
        <v>53</v>
      </c>
      <c r="B30" s="294" t="s">
        <v>26</v>
      </c>
      <c r="C30" s="276">
        <f>'SatışEkibi YS-Yen. Hed - 671'!$H$40*'Satış YS-Yen.Hed (Ayık) - 671'!C$2</f>
        <v>1425.0000000000002</v>
      </c>
      <c r="D30" s="276">
        <f>'SatışEkibi YS-Yen. Hed - 671'!$H$40*'Satış YS-Yen.Hed (Ayık) - 671'!D$2</f>
        <v>1425.0000000000002</v>
      </c>
      <c r="E30" s="276">
        <f>'SatışEkibi YS-Yen. Hed - 671'!$H$40*'Satış YS-Yen.Hed (Ayık) - 671'!E$2</f>
        <v>1625</v>
      </c>
      <c r="F30" s="276">
        <f>'SatışEkibi YS-Yen. Hed - 671'!$H$40*'Satış YS-Yen.Hed (Ayık) - 671'!F$2</f>
        <v>1587.5</v>
      </c>
      <c r="G30" s="276">
        <f>'SatışEkibi YS-Yen. Hed - 671'!$H$40*'Satış YS-Yen.Hed (Ayık) - 671'!G$2</f>
        <v>1587.5</v>
      </c>
      <c r="H30" s="276">
        <f>'SatışEkibi YS-Yen. Hed - 671'!$H$40*'Satış YS-Yen.Hed (Ayık) - 671'!H$2</f>
        <v>1799.9999999999995</v>
      </c>
      <c r="I30" s="276">
        <f>'SatışEkibi YS-Yen. Hed - 671'!$H$40*'Satış YS-Yen.Hed (Ayık) - 671'!I$2</f>
        <v>1500</v>
      </c>
      <c r="J30" s="276">
        <f>'SatışEkibi YS-Yen. Hed - 671'!$H$40*'Satış YS-Yen.Hed (Ayık) - 671'!J$2</f>
        <v>1512.5</v>
      </c>
      <c r="K30" s="276">
        <f>'SatışEkibi YS-Yen. Hed - 671'!$H$40*'Satış YS-Yen.Hed (Ayık) - 671'!K$2</f>
        <v>1600</v>
      </c>
      <c r="L30" s="276">
        <f>'SatışEkibi YS-Yen. Hed - 671'!$H$40*'Satış YS-Yen.Hed (Ayık) - 671'!L$2</f>
        <v>1874.9999999999998</v>
      </c>
      <c r="M30" s="276">
        <f>'SatışEkibi YS-Yen. Hed - 671'!$H$40*'Satış YS-Yen.Hed (Ayık) - 671'!M$2</f>
        <v>1899.9999999999998</v>
      </c>
      <c r="N30" s="276">
        <f>'SatışEkibi YS-Yen. Hed - 671'!$H$40*'Satış YS-Yen.Hed (Ayık) - 671'!N$2</f>
        <v>2162.5</v>
      </c>
      <c r="O30" s="295">
        <f>SUM(C30:N30)</f>
        <v>20000</v>
      </c>
      <c r="Q30" s="277" t="str">
        <f t="shared" si="12"/>
        <v>E-Dönüşüm</v>
      </c>
      <c r="R30" s="278" t="str">
        <f t="shared" si="14"/>
        <v>Yeni Satış</v>
      </c>
      <c r="S30" s="279">
        <f t="shared" si="15"/>
        <v>4475</v>
      </c>
      <c r="T30" s="279">
        <f t="shared" si="16"/>
        <v>4975</v>
      </c>
      <c r="U30" s="279">
        <f t="shared" si="17"/>
        <v>4612.5</v>
      </c>
      <c r="V30" s="279">
        <f t="shared" si="18"/>
        <v>5937.5</v>
      </c>
      <c r="W30" s="279">
        <f>SUM(S30:V30)</f>
        <v>20000</v>
      </c>
    </row>
    <row r="31" spans="1:23" s="269" customFormat="1" ht="16" hidden="1" customHeight="1" outlineLevel="1" x14ac:dyDescent="0.2">
      <c r="A31" s="293" t="s">
        <v>53</v>
      </c>
      <c r="B31" s="294" t="s">
        <v>28</v>
      </c>
      <c r="C31" s="276">
        <f>'SatışEkibi YS-Yen. Hed - 671'!$H$341*'Satış YS-Yen.Hed (Ayık) - 671'!C$2</f>
        <v>0</v>
      </c>
      <c r="D31" s="276">
        <f>'SatışEkibi YS-Yen. Hed - 671'!$H$341*'Satış YS-Yen.Hed (Ayık) - 671'!D$2</f>
        <v>0</v>
      </c>
      <c r="E31" s="276">
        <f>'SatışEkibi YS-Yen. Hed - 671'!$H$341*'Satış YS-Yen.Hed (Ayık) - 671'!E$2</f>
        <v>0</v>
      </c>
      <c r="F31" s="276">
        <f>'SatışEkibi YS-Yen. Hed - 671'!$H$341*'Satış YS-Yen.Hed (Ayık) - 671'!F$2</f>
        <v>0</v>
      </c>
      <c r="G31" s="276">
        <f>'SatışEkibi YS-Yen. Hed - 671'!$H$341*'Satış YS-Yen.Hed (Ayık) - 671'!G$2</f>
        <v>0</v>
      </c>
      <c r="H31" s="276">
        <f>'SatışEkibi YS-Yen. Hed - 671'!$H$341*'Satış YS-Yen.Hed (Ayık) - 671'!H$2</f>
        <v>0</v>
      </c>
      <c r="I31" s="276">
        <f>'SatışEkibi YS-Yen. Hed - 671'!$H$341*'Satış YS-Yen.Hed (Ayık) - 671'!I$2</f>
        <v>0</v>
      </c>
      <c r="J31" s="276">
        <f>'SatışEkibi YS-Yen. Hed - 671'!$H$341*'Satış YS-Yen.Hed (Ayık) - 671'!J$2</f>
        <v>0</v>
      </c>
      <c r="K31" s="276">
        <f>'SatışEkibi YS-Yen. Hed - 671'!$H$341*'Satış YS-Yen.Hed (Ayık) - 671'!K$2</f>
        <v>0</v>
      </c>
      <c r="L31" s="276">
        <f>'SatışEkibi YS-Yen. Hed - 671'!$H$341*'Satış YS-Yen.Hed (Ayık) - 671'!L$2</f>
        <v>0</v>
      </c>
      <c r="M31" s="276">
        <f>'SatışEkibi YS-Yen. Hed - 671'!$H$341*'Satış YS-Yen.Hed (Ayık) - 671'!M$2</f>
        <v>0</v>
      </c>
      <c r="N31" s="276">
        <f>'SatışEkibi YS-Yen. Hed - 671'!$H$341*'Satış YS-Yen.Hed (Ayık) - 671'!N$2</f>
        <v>0</v>
      </c>
      <c r="O31" s="295">
        <f>SUM(C31:N31)</f>
        <v>0</v>
      </c>
      <c r="Q31" s="277" t="str">
        <f t="shared" si="12"/>
        <v>E-Dönüşüm</v>
      </c>
      <c r="R31" s="278" t="str">
        <f t="shared" si="14"/>
        <v>Yenileme</v>
      </c>
      <c r="S31" s="279">
        <f t="shared" si="15"/>
        <v>0</v>
      </c>
      <c r="T31" s="279">
        <f t="shared" si="16"/>
        <v>0</v>
      </c>
      <c r="U31" s="279">
        <f t="shared" si="17"/>
        <v>0</v>
      </c>
      <c r="V31" s="279">
        <f t="shared" si="18"/>
        <v>0</v>
      </c>
      <c r="W31" s="279">
        <f>SUM(S31:V31)</f>
        <v>0</v>
      </c>
    </row>
    <row r="32" spans="1:23" s="269" customFormat="1" ht="16" hidden="1" customHeight="1" outlineLevel="1" x14ac:dyDescent="0.2">
      <c r="A32" s="293" t="s">
        <v>35</v>
      </c>
      <c r="B32" s="294" t="s">
        <v>26</v>
      </c>
      <c r="C32" s="276">
        <f>'SatışEkibi YS-Yen. Hed - 671'!$I$31*'SatışEkibi YS-Yen. Hed - 671'!$T40*'Satış YS-Yen.Hed (Ayık) - 671'!C$2</f>
        <v>285.00000000000006</v>
      </c>
      <c r="D32" s="276">
        <f>'SatışEkibi YS-Yen. Hed - 671'!$I$31*'SatışEkibi YS-Yen. Hed - 671'!$T40*'Satış YS-Yen.Hed (Ayık) - 671'!D$2</f>
        <v>285.00000000000006</v>
      </c>
      <c r="E32" s="276">
        <f>'SatışEkibi YS-Yen. Hed - 671'!$I$31*'SatışEkibi YS-Yen. Hed - 671'!$T40*'Satış YS-Yen.Hed (Ayık) - 671'!E$2</f>
        <v>325</v>
      </c>
      <c r="F32" s="276">
        <f>'SatışEkibi YS-Yen. Hed - 671'!$I$31*'SatışEkibi YS-Yen. Hed - 671'!$T40*'Satış YS-Yen.Hed (Ayık) - 671'!F$2</f>
        <v>317.5</v>
      </c>
      <c r="G32" s="276">
        <f>'SatışEkibi YS-Yen. Hed - 671'!$I$31*'SatışEkibi YS-Yen. Hed - 671'!$T40*'Satış YS-Yen.Hed (Ayık) - 671'!G$2</f>
        <v>317.5</v>
      </c>
      <c r="H32" s="276">
        <f>'SatışEkibi YS-Yen. Hed - 671'!$I$31*'SatışEkibi YS-Yen. Hed - 671'!$T40*'Satış YS-Yen.Hed (Ayık) - 671'!H$2</f>
        <v>359.99999999999994</v>
      </c>
      <c r="I32" s="276">
        <f>'SatışEkibi YS-Yen. Hed - 671'!$I$31*'SatışEkibi YS-Yen. Hed - 671'!$T40*'Satış YS-Yen.Hed (Ayık) - 671'!I$2</f>
        <v>300</v>
      </c>
      <c r="J32" s="276">
        <f>'SatışEkibi YS-Yen. Hed - 671'!$I$31*'SatışEkibi YS-Yen. Hed - 671'!$T40*'Satış YS-Yen.Hed (Ayık) - 671'!J$2</f>
        <v>302.5</v>
      </c>
      <c r="K32" s="276">
        <f>'SatışEkibi YS-Yen. Hed - 671'!$I$31*'SatışEkibi YS-Yen. Hed - 671'!$T40*'Satış YS-Yen.Hed (Ayık) - 671'!K$2</f>
        <v>320</v>
      </c>
      <c r="L32" s="276">
        <f>'SatışEkibi YS-Yen. Hed - 671'!$I$31*'SatışEkibi YS-Yen. Hed - 671'!$T40*'Satış YS-Yen.Hed (Ayık) - 671'!L$2</f>
        <v>374.99999999999994</v>
      </c>
      <c r="M32" s="276">
        <f>'SatışEkibi YS-Yen. Hed - 671'!$I$31*'SatışEkibi YS-Yen. Hed - 671'!$T40*'Satış YS-Yen.Hed (Ayık) - 671'!M$2</f>
        <v>379.99999999999994</v>
      </c>
      <c r="N32" s="276">
        <f>'SatışEkibi YS-Yen. Hed - 671'!$I$31*'SatışEkibi YS-Yen. Hed - 671'!$T40*'Satış YS-Yen.Hed (Ayık) - 671'!N$2</f>
        <v>432.5</v>
      </c>
      <c r="O32" s="295">
        <f t="shared" si="13"/>
        <v>4000</v>
      </c>
      <c r="Q32" s="277" t="str">
        <f t="shared" si="12"/>
        <v>BFH</v>
      </c>
      <c r="R32" s="278" t="str">
        <f t="shared" si="14"/>
        <v>Yeni Satış</v>
      </c>
      <c r="S32" s="279">
        <f t="shared" si="15"/>
        <v>895.00000000000011</v>
      </c>
      <c r="T32" s="279">
        <f t="shared" si="16"/>
        <v>995</v>
      </c>
      <c r="U32" s="279">
        <f t="shared" si="17"/>
        <v>922.5</v>
      </c>
      <c r="V32" s="279">
        <f t="shared" si="18"/>
        <v>1187.5</v>
      </c>
      <c r="W32" s="279">
        <f t="shared" si="19"/>
        <v>4000</v>
      </c>
    </row>
    <row r="33" spans="1:23" s="269" customFormat="1" ht="16" customHeight="1" collapsed="1" x14ac:dyDescent="0.2">
      <c r="A33" s="283" t="s">
        <v>30</v>
      </c>
      <c r="B33" s="284" t="s">
        <v>26</v>
      </c>
      <c r="C33" s="282">
        <f>SUMIF($B$21:$B$32,"Yeni Satış",C21:C32)</f>
        <v>5308.1250000000009</v>
      </c>
      <c r="D33" s="282">
        <f t="shared" ref="D33:N33" si="20">SUMIF($B$21:$B$32,"Yeni Satış",D21:D32)</f>
        <v>5308.1250000000009</v>
      </c>
      <c r="E33" s="282">
        <f t="shared" si="20"/>
        <v>6053.125</v>
      </c>
      <c r="F33" s="282">
        <f t="shared" si="20"/>
        <v>5913.4375</v>
      </c>
      <c r="G33" s="282">
        <f t="shared" si="20"/>
        <v>5913.4375</v>
      </c>
      <c r="H33" s="282">
        <f t="shared" si="20"/>
        <v>6704.9999999999982</v>
      </c>
      <c r="I33" s="282">
        <f t="shared" si="20"/>
        <v>5587.5</v>
      </c>
      <c r="J33" s="282">
        <f t="shared" si="20"/>
        <v>5634.0625</v>
      </c>
      <c r="K33" s="282">
        <f t="shared" si="20"/>
        <v>5960</v>
      </c>
      <c r="L33" s="282">
        <f t="shared" si="20"/>
        <v>6984.3749999999991</v>
      </c>
      <c r="M33" s="282">
        <f t="shared" si="20"/>
        <v>7077.4999999999991</v>
      </c>
      <c r="N33" s="282">
        <f t="shared" si="20"/>
        <v>8055.3125</v>
      </c>
      <c r="O33" s="296">
        <f>SUMIF(B21:B32,"Yeni Satış",O21:O32)</f>
        <v>74500</v>
      </c>
      <c r="Q33" s="283" t="s">
        <v>30</v>
      </c>
      <c r="R33" s="284" t="str">
        <f t="shared" si="14"/>
        <v>Yeni Satış</v>
      </c>
      <c r="S33" s="285">
        <f>SUMIF(R21:R32,"Yeni Satış",S21:S32)</f>
        <v>16669.375000000004</v>
      </c>
      <c r="T33" s="285">
        <f>SUMIF(R21:R32,"Yeni Satış",T21:T32)</f>
        <v>18531.875</v>
      </c>
      <c r="U33" s="285">
        <f>SUMIF(R21:R32,"Yeni Satış",U21:U32)</f>
        <v>17181.5625</v>
      </c>
      <c r="V33" s="285">
        <f>SUMIF(R21:R32,"Yeni Satış",V21:V32)</f>
        <v>22117.1875</v>
      </c>
      <c r="W33" s="285">
        <f t="shared" si="19"/>
        <v>74500</v>
      </c>
    </row>
    <row r="34" spans="1:23" s="269" customFormat="1" ht="16" customHeight="1" x14ac:dyDescent="0.2">
      <c r="A34" s="283" t="s">
        <v>30</v>
      </c>
      <c r="B34" s="284" t="s">
        <v>28</v>
      </c>
      <c r="C34" s="282">
        <f>SUMIF($B$21:$B$32,"Yenileme",C21:C32)</f>
        <v>5251.7662500000006</v>
      </c>
      <c r="D34" s="282">
        <f t="shared" ref="D34:N34" si="21">SUMIF($B$21:$B$32,"Yenileme",D21:D32)</f>
        <v>5251.7662500000006</v>
      </c>
      <c r="E34" s="282">
        <f t="shared" si="21"/>
        <v>5988.8562499999998</v>
      </c>
      <c r="F34" s="282">
        <f t="shared" si="21"/>
        <v>5850.6518749999996</v>
      </c>
      <c r="G34" s="282">
        <f t="shared" si="21"/>
        <v>5850.6518749999996</v>
      </c>
      <c r="H34" s="282">
        <f t="shared" si="21"/>
        <v>6633.8099999999986</v>
      </c>
      <c r="I34" s="282">
        <f t="shared" si="21"/>
        <v>5528.1750000000002</v>
      </c>
      <c r="J34" s="282">
        <f t="shared" si="21"/>
        <v>5574.2431250000009</v>
      </c>
      <c r="K34" s="282">
        <f t="shared" si="21"/>
        <v>5896.72</v>
      </c>
      <c r="L34" s="282">
        <f t="shared" si="21"/>
        <v>6910.2187499999991</v>
      </c>
      <c r="M34" s="282">
        <f t="shared" si="21"/>
        <v>7002.3549999999987</v>
      </c>
      <c r="N34" s="282">
        <f t="shared" si="21"/>
        <v>7969.7856250000004</v>
      </c>
      <c r="O34" s="296">
        <f>SUMIF(B21:B32,"Yenileme",O21:O32)</f>
        <v>73709</v>
      </c>
      <c r="Q34" s="283" t="s">
        <v>30</v>
      </c>
      <c r="R34" s="284" t="str">
        <f t="shared" si="14"/>
        <v>Yenileme</v>
      </c>
      <c r="S34" s="285">
        <f>SUMIF(R21:R32,"Yenileme",S21:S32)</f>
        <v>16492.388750000002</v>
      </c>
      <c r="T34" s="285">
        <f>SUMIF(R21:R32,"Yenileme",T21:T32)</f>
        <v>18335.11375</v>
      </c>
      <c r="U34" s="285">
        <f>SUMIF(R21:R32,"Yenileme",U21:U32)</f>
        <v>16999.138124999998</v>
      </c>
      <c r="V34" s="285">
        <f>SUMIF(R21:R32,"Yenileme",V21:V32)</f>
        <v>21882.359374999996</v>
      </c>
      <c r="W34" s="285">
        <f t="shared" si="19"/>
        <v>73709</v>
      </c>
    </row>
    <row r="35" spans="1:23" s="269" customFormat="1" ht="16" customHeight="1" x14ac:dyDescent="0.2">
      <c r="A35" s="297" t="s">
        <v>38</v>
      </c>
      <c r="B35" s="298" t="s">
        <v>144</v>
      </c>
      <c r="C35" s="288">
        <f>SUM(C33:C34)</f>
        <v>10559.891250000001</v>
      </c>
      <c r="D35" s="288">
        <f t="shared" ref="D35:N35" si="22">SUM(D33:D34)</f>
        <v>10559.891250000001</v>
      </c>
      <c r="E35" s="288">
        <f t="shared" si="22"/>
        <v>12041.981250000001</v>
      </c>
      <c r="F35" s="288">
        <f t="shared" si="22"/>
        <v>11764.089375</v>
      </c>
      <c r="G35" s="288">
        <f t="shared" si="22"/>
        <v>11764.089375</v>
      </c>
      <c r="H35" s="288">
        <f t="shared" si="22"/>
        <v>13338.809999999998</v>
      </c>
      <c r="I35" s="288">
        <f t="shared" si="22"/>
        <v>11115.674999999999</v>
      </c>
      <c r="J35" s="288">
        <f t="shared" si="22"/>
        <v>11208.305625000001</v>
      </c>
      <c r="K35" s="288">
        <f t="shared" si="22"/>
        <v>11856.720000000001</v>
      </c>
      <c r="L35" s="288">
        <f t="shared" si="22"/>
        <v>13894.593749999998</v>
      </c>
      <c r="M35" s="288">
        <f t="shared" si="22"/>
        <v>14079.854999999998</v>
      </c>
      <c r="N35" s="288">
        <f t="shared" si="22"/>
        <v>16025.098125</v>
      </c>
      <c r="O35" s="303">
        <f>O33+O34</f>
        <v>148209</v>
      </c>
      <c r="Q35" s="297" t="s">
        <v>38</v>
      </c>
      <c r="R35" s="298" t="str">
        <f t="shared" si="14"/>
        <v>YS + Yen.</v>
      </c>
      <c r="S35" s="302">
        <f>S33+S34</f>
        <v>33161.763750000006</v>
      </c>
      <c r="T35" s="302">
        <f>T33+T34</f>
        <v>36866.988750000004</v>
      </c>
      <c r="U35" s="302">
        <f>U33+U34</f>
        <v>34180.700624999998</v>
      </c>
      <c r="V35" s="302">
        <f>V33+V34</f>
        <v>43999.546875</v>
      </c>
      <c r="W35" s="291">
        <f>W33+W34</f>
        <v>148209</v>
      </c>
    </row>
    <row r="36" spans="1:23" s="269" customFormat="1" ht="16" customHeight="1" x14ac:dyDescent="0.2">
      <c r="S36" s="292"/>
      <c r="T36" s="292"/>
      <c r="U36" s="292"/>
      <c r="V36" s="292"/>
      <c r="W36" s="292"/>
    </row>
    <row r="37" spans="1:23" s="269" customFormat="1" x14ac:dyDescent="0.2">
      <c r="A37" s="264" t="s">
        <v>147</v>
      </c>
      <c r="B37" s="264"/>
      <c r="C37" s="266" t="s">
        <v>131</v>
      </c>
      <c r="D37" s="266" t="s">
        <v>132</v>
      </c>
      <c r="E37" s="266" t="s">
        <v>133</v>
      </c>
      <c r="F37" s="266" t="s">
        <v>134</v>
      </c>
      <c r="G37" s="266" t="s">
        <v>135</v>
      </c>
      <c r="H37" s="266" t="s">
        <v>136</v>
      </c>
      <c r="I37" s="266" t="s">
        <v>137</v>
      </c>
      <c r="J37" s="266" t="s">
        <v>138</v>
      </c>
      <c r="K37" s="266" t="s">
        <v>139</v>
      </c>
      <c r="L37" s="266" t="s">
        <v>140</v>
      </c>
      <c r="M37" s="266" t="s">
        <v>141</v>
      </c>
      <c r="N37" s="266" t="s">
        <v>142</v>
      </c>
      <c r="O37" s="266" t="s">
        <v>143</v>
      </c>
      <c r="Q37" s="301" t="str">
        <f t="shared" ref="Q37:Q51" si="23">A37</f>
        <v>Semih Balaban  —  Direkt Satış</v>
      </c>
      <c r="R37" s="301"/>
      <c r="S37" s="266" t="s">
        <v>154</v>
      </c>
      <c r="T37" s="266" t="s">
        <v>155</v>
      </c>
      <c r="U37" s="266" t="s">
        <v>156</v>
      </c>
      <c r="V37" s="266" t="s">
        <v>157</v>
      </c>
      <c r="W37" s="266" t="s">
        <v>143</v>
      </c>
    </row>
    <row r="38" spans="1:23" s="269" customFormat="1" ht="16" hidden="1" customHeight="1" outlineLevel="1" x14ac:dyDescent="0.2">
      <c r="A38" s="293" t="s">
        <v>25</v>
      </c>
      <c r="B38" s="294" t="s">
        <v>26</v>
      </c>
      <c r="C38" s="276">
        <f>'SatışEkibi YS-Yen. Hed - 671'!$B$31*'SatışEkibi YS-Yen. Hed - 671'!$M43*'Satış YS-Yen.Hed (Ayık) - 671'!C$2</f>
        <v>1246.8750000000002</v>
      </c>
      <c r="D38" s="276">
        <f>'SatışEkibi YS-Yen. Hed - 671'!$B$31*'SatışEkibi YS-Yen. Hed - 671'!$M43*'Satış YS-Yen.Hed (Ayık) - 671'!D$2</f>
        <v>1246.8750000000002</v>
      </c>
      <c r="E38" s="276">
        <f>'SatışEkibi YS-Yen. Hed - 671'!$B$31*'SatışEkibi YS-Yen. Hed - 671'!$M43*'Satış YS-Yen.Hed (Ayık) - 671'!E$2</f>
        <v>1421.875</v>
      </c>
      <c r="F38" s="276">
        <f>'SatışEkibi YS-Yen. Hed - 671'!$B$31*'SatışEkibi YS-Yen. Hed - 671'!$M43*'Satış YS-Yen.Hed (Ayık) - 671'!F$2</f>
        <v>1389.0625</v>
      </c>
      <c r="G38" s="276">
        <f>'SatışEkibi YS-Yen. Hed - 671'!$B$31*'SatışEkibi YS-Yen. Hed - 671'!$M43*'Satış YS-Yen.Hed (Ayık) - 671'!G$2</f>
        <v>1389.0625</v>
      </c>
      <c r="H38" s="276">
        <f>'SatışEkibi YS-Yen. Hed - 671'!$B$31*'SatışEkibi YS-Yen. Hed - 671'!$M43*'Satış YS-Yen.Hed (Ayık) - 671'!H$2</f>
        <v>1574.9999999999998</v>
      </c>
      <c r="I38" s="276">
        <f>'SatışEkibi YS-Yen. Hed - 671'!$B$31*'SatışEkibi YS-Yen. Hed - 671'!$M43*'Satış YS-Yen.Hed (Ayık) - 671'!I$2</f>
        <v>1312.5</v>
      </c>
      <c r="J38" s="276">
        <f>'SatışEkibi YS-Yen. Hed - 671'!$B$31*'SatışEkibi YS-Yen. Hed - 671'!$M43*'Satış YS-Yen.Hed (Ayık) - 671'!J$2</f>
        <v>1323.4375</v>
      </c>
      <c r="K38" s="276">
        <f>'SatışEkibi YS-Yen. Hed - 671'!$B$31*'SatışEkibi YS-Yen. Hed - 671'!$M43*'Satış YS-Yen.Hed (Ayık) - 671'!K$2</f>
        <v>1400</v>
      </c>
      <c r="L38" s="276">
        <f>'SatışEkibi YS-Yen. Hed - 671'!$B$31*'SatışEkibi YS-Yen. Hed - 671'!$M43*'Satış YS-Yen.Hed (Ayık) - 671'!L$2</f>
        <v>1640.6249999999998</v>
      </c>
      <c r="M38" s="276">
        <f>'SatışEkibi YS-Yen. Hed - 671'!$B$31*'SatışEkibi YS-Yen. Hed - 671'!$M43*'Satış YS-Yen.Hed (Ayık) - 671'!M$2</f>
        <v>1662.4999999999998</v>
      </c>
      <c r="N38" s="276">
        <f>'SatışEkibi YS-Yen. Hed - 671'!$B$31*'SatışEkibi YS-Yen. Hed - 671'!$M43*'Satış YS-Yen.Hed (Ayık) - 671'!N$2</f>
        <v>1892.1875</v>
      </c>
      <c r="O38" s="295">
        <f t="shared" ref="O38:O51" si="24">SUM(C38:N38)</f>
        <v>17500</v>
      </c>
      <c r="Q38" s="277" t="str">
        <f t="shared" si="23"/>
        <v>Enroute</v>
      </c>
      <c r="R38" s="278" t="str">
        <f t="shared" ref="R38:R54" si="25">B38</f>
        <v>Yeni Satış</v>
      </c>
      <c r="S38" s="279">
        <f t="shared" ref="S38:S51" si="26">SUM(C38:E38)</f>
        <v>3915.6250000000005</v>
      </c>
      <c r="T38" s="279">
        <f t="shared" ref="T38:T51" si="27">SUM(F38:H38)</f>
        <v>4353.125</v>
      </c>
      <c r="U38" s="279">
        <f t="shared" ref="U38:U51" si="28">SUM(I38:K38)</f>
        <v>4035.9375</v>
      </c>
      <c r="V38" s="279">
        <f t="shared" ref="V38:V51" si="29">SUM(L38:N38)</f>
        <v>5195.3125</v>
      </c>
      <c r="W38" s="279">
        <f t="shared" ref="W38:W53" si="30">SUM(S38:V38)</f>
        <v>17500</v>
      </c>
    </row>
    <row r="39" spans="1:23" s="269" customFormat="1" ht="16" hidden="1" customHeight="1" outlineLevel="1" x14ac:dyDescent="0.2">
      <c r="A39" s="293" t="s">
        <v>25</v>
      </c>
      <c r="B39" s="294" t="s">
        <v>28</v>
      </c>
      <c r="C39" s="276">
        <f>'SatışEkibi YS-Yen. Hed - 671'!$B$31*'SatışEkibi YS-Yen. Hed - 671'!$M44*'Satış YS-Yen.Hed (Ayık) - 671'!C$2</f>
        <v>1781.2500000000002</v>
      </c>
      <c r="D39" s="276">
        <f>'SatışEkibi YS-Yen. Hed - 671'!$B$31*'SatışEkibi YS-Yen. Hed - 671'!$M44*'Satış YS-Yen.Hed (Ayık) - 671'!D$2</f>
        <v>1781.2500000000002</v>
      </c>
      <c r="E39" s="276">
        <f>'SatışEkibi YS-Yen. Hed - 671'!$B$31*'SatışEkibi YS-Yen. Hed - 671'!$M44*'Satış YS-Yen.Hed (Ayık) - 671'!E$2</f>
        <v>2031.25</v>
      </c>
      <c r="F39" s="276">
        <f>'SatışEkibi YS-Yen. Hed - 671'!$B$31*'SatışEkibi YS-Yen. Hed - 671'!$M44*'Satış YS-Yen.Hed (Ayık) - 671'!F$2</f>
        <v>1984.375</v>
      </c>
      <c r="G39" s="276">
        <f>'SatışEkibi YS-Yen. Hed - 671'!$B$31*'SatışEkibi YS-Yen. Hed - 671'!$M44*'Satış YS-Yen.Hed (Ayık) - 671'!G$2</f>
        <v>1984.375</v>
      </c>
      <c r="H39" s="276">
        <f>'SatışEkibi YS-Yen. Hed - 671'!$B$31*'SatışEkibi YS-Yen. Hed - 671'!$M44*'Satış YS-Yen.Hed (Ayık) - 671'!H$2</f>
        <v>2249.9999999999995</v>
      </c>
      <c r="I39" s="276">
        <f>'SatışEkibi YS-Yen. Hed - 671'!$B$31*'SatışEkibi YS-Yen. Hed - 671'!$M44*'Satış YS-Yen.Hed (Ayık) - 671'!I$2</f>
        <v>1875</v>
      </c>
      <c r="J39" s="276">
        <f>'SatışEkibi YS-Yen. Hed - 671'!$B$31*'SatışEkibi YS-Yen. Hed - 671'!$M44*'Satış YS-Yen.Hed (Ayık) - 671'!J$2</f>
        <v>1890.625</v>
      </c>
      <c r="K39" s="276">
        <f>'SatışEkibi YS-Yen. Hed - 671'!$B$31*'SatışEkibi YS-Yen. Hed - 671'!$M44*'Satış YS-Yen.Hed (Ayık) - 671'!K$2</f>
        <v>2000</v>
      </c>
      <c r="L39" s="276">
        <f>'SatışEkibi YS-Yen. Hed - 671'!$B$31*'SatışEkibi YS-Yen. Hed - 671'!$M44*'Satış YS-Yen.Hed (Ayık) - 671'!L$2</f>
        <v>2343.7499999999995</v>
      </c>
      <c r="M39" s="276">
        <f>'SatışEkibi YS-Yen. Hed - 671'!$B$31*'SatışEkibi YS-Yen. Hed - 671'!$M44*'Satış YS-Yen.Hed (Ayık) - 671'!M$2</f>
        <v>2374.9999999999995</v>
      </c>
      <c r="N39" s="276">
        <f>'SatışEkibi YS-Yen. Hed - 671'!$B$31*'SatışEkibi YS-Yen. Hed - 671'!$M44*'Satış YS-Yen.Hed (Ayık) - 671'!N$2</f>
        <v>2703.125</v>
      </c>
      <c r="O39" s="295">
        <f t="shared" si="24"/>
        <v>25000</v>
      </c>
      <c r="Q39" s="277" t="str">
        <f t="shared" si="23"/>
        <v>Enroute</v>
      </c>
      <c r="R39" s="278" t="str">
        <f t="shared" si="25"/>
        <v>Yenileme</v>
      </c>
      <c r="S39" s="279">
        <f t="shared" si="26"/>
        <v>5593.75</v>
      </c>
      <c r="T39" s="279">
        <f t="shared" si="27"/>
        <v>6218.75</v>
      </c>
      <c r="U39" s="279">
        <f t="shared" si="28"/>
        <v>5765.625</v>
      </c>
      <c r="V39" s="279">
        <f t="shared" si="29"/>
        <v>7421.8749999999991</v>
      </c>
      <c r="W39" s="279">
        <f t="shared" si="30"/>
        <v>25000</v>
      </c>
    </row>
    <row r="40" spans="1:23" s="269" customFormat="1" ht="16" hidden="1" customHeight="1" outlineLevel="1" x14ac:dyDescent="0.2">
      <c r="A40" s="293" t="s">
        <v>29</v>
      </c>
      <c r="B40" s="294" t="s">
        <v>26</v>
      </c>
      <c r="C40" s="276">
        <f>'SatışEkibi YS-Yen. Hed - 671'!$C$31*'SatışEkibi YS-Yen. Hed - 671'!$N43*'Satış YS-Yen.Hed (Ayık) - 671'!C$2</f>
        <v>570.00000000000011</v>
      </c>
      <c r="D40" s="276">
        <f>'SatışEkibi YS-Yen. Hed - 671'!$C$31*'SatışEkibi YS-Yen. Hed - 671'!$N43*'Satış YS-Yen.Hed (Ayık) - 671'!D$2</f>
        <v>570.00000000000011</v>
      </c>
      <c r="E40" s="276">
        <f>'SatışEkibi YS-Yen. Hed - 671'!$C$31*'SatışEkibi YS-Yen. Hed - 671'!$N43*'Satış YS-Yen.Hed (Ayık) - 671'!E$2</f>
        <v>650</v>
      </c>
      <c r="F40" s="276">
        <f>'SatışEkibi YS-Yen. Hed - 671'!$C$31*'SatışEkibi YS-Yen. Hed - 671'!$N43*'Satış YS-Yen.Hed (Ayık) - 671'!F$2</f>
        <v>635</v>
      </c>
      <c r="G40" s="276">
        <f>'SatışEkibi YS-Yen. Hed - 671'!$C$31*'SatışEkibi YS-Yen. Hed - 671'!$N43*'Satış YS-Yen.Hed (Ayık) - 671'!G$2</f>
        <v>635</v>
      </c>
      <c r="H40" s="276">
        <f>'SatışEkibi YS-Yen. Hed - 671'!$C$31*'SatışEkibi YS-Yen. Hed - 671'!$N43*'Satış YS-Yen.Hed (Ayık) - 671'!H$2</f>
        <v>719.99999999999989</v>
      </c>
      <c r="I40" s="276">
        <f>'SatışEkibi YS-Yen. Hed - 671'!$C$31*'SatışEkibi YS-Yen. Hed - 671'!$N43*'Satış YS-Yen.Hed (Ayık) - 671'!I$2</f>
        <v>600</v>
      </c>
      <c r="J40" s="276">
        <f>'SatışEkibi YS-Yen. Hed - 671'!$C$31*'SatışEkibi YS-Yen. Hed - 671'!$N43*'Satış YS-Yen.Hed (Ayık) - 671'!J$2</f>
        <v>605</v>
      </c>
      <c r="K40" s="276">
        <f>'SatışEkibi YS-Yen. Hed - 671'!$C$31*'SatışEkibi YS-Yen. Hed - 671'!$N43*'Satış YS-Yen.Hed (Ayık) - 671'!K$2</f>
        <v>640</v>
      </c>
      <c r="L40" s="276">
        <f>'SatışEkibi YS-Yen. Hed - 671'!$C$31*'SatışEkibi YS-Yen. Hed - 671'!$N43*'Satış YS-Yen.Hed (Ayık) - 671'!L$2</f>
        <v>749.99999999999989</v>
      </c>
      <c r="M40" s="276">
        <f>'SatışEkibi YS-Yen. Hed - 671'!$C$31*'SatışEkibi YS-Yen. Hed - 671'!$N43*'Satış YS-Yen.Hed (Ayık) - 671'!M$2</f>
        <v>759.99999999999989</v>
      </c>
      <c r="N40" s="276">
        <f>'SatışEkibi YS-Yen. Hed - 671'!$C$31*'SatışEkibi YS-Yen. Hed - 671'!$N43*'Satış YS-Yen.Hed (Ayık) - 671'!N$2</f>
        <v>865</v>
      </c>
      <c r="O40" s="295">
        <f t="shared" si="24"/>
        <v>8000</v>
      </c>
      <c r="Q40" s="277" t="str">
        <f t="shared" si="23"/>
        <v>Stokbar</v>
      </c>
      <c r="R40" s="278" t="str">
        <f t="shared" si="25"/>
        <v>Yeni Satış</v>
      </c>
      <c r="S40" s="279">
        <f t="shared" si="26"/>
        <v>1790.0000000000002</v>
      </c>
      <c r="T40" s="279">
        <f t="shared" si="27"/>
        <v>1990</v>
      </c>
      <c r="U40" s="279">
        <f t="shared" si="28"/>
        <v>1845</v>
      </c>
      <c r="V40" s="279">
        <f t="shared" si="29"/>
        <v>2375</v>
      </c>
      <c r="W40" s="279">
        <f t="shared" si="30"/>
        <v>8000</v>
      </c>
    </row>
    <row r="41" spans="1:23" s="269" customFormat="1" ht="16" hidden="1" customHeight="1" outlineLevel="1" x14ac:dyDescent="0.2">
      <c r="A41" s="293" t="s">
        <v>29</v>
      </c>
      <c r="B41" s="294" t="s">
        <v>28</v>
      </c>
      <c r="C41" s="276">
        <f>'SatışEkibi YS-Yen. Hed - 671'!$C$31*'SatışEkibi YS-Yen. Hed - 671'!$N44*'Satış YS-Yen.Hed (Ayık) - 671'!C$2</f>
        <v>251.29875000000004</v>
      </c>
      <c r="D41" s="276">
        <f>'SatışEkibi YS-Yen. Hed - 671'!$C$31*'SatışEkibi YS-Yen. Hed - 671'!$N44*'Satış YS-Yen.Hed (Ayık) - 671'!D$2</f>
        <v>251.29875000000004</v>
      </c>
      <c r="E41" s="276">
        <f>'SatışEkibi YS-Yen. Hed - 671'!$C$31*'SatışEkibi YS-Yen. Hed - 671'!$N44*'Satış YS-Yen.Hed (Ayık) - 671'!E$2</f>
        <v>286.56875000000002</v>
      </c>
      <c r="F41" s="276">
        <f>'SatışEkibi YS-Yen. Hed - 671'!$C$31*'SatışEkibi YS-Yen. Hed - 671'!$N44*'Satış YS-Yen.Hed (Ayık) - 671'!F$2</f>
        <v>279.955625</v>
      </c>
      <c r="G41" s="276">
        <f>'SatışEkibi YS-Yen. Hed - 671'!$C$31*'SatışEkibi YS-Yen. Hed - 671'!$N44*'Satış YS-Yen.Hed (Ayık) - 671'!G$2</f>
        <v>279.955625</v>
      </c>
      <c r="H41" s="276">
        <f>'SatışEkibi YS-Yen. Hed - 671'!$C$31*'SatışEkibi YS-Yen. Hed - 671'!$N44*'Satış YS-Yen.Hed (Ayık) - 671'!H$2</f>
        <v>317.42999999999995</v>
      </c>
      <c r="I41" s="276">
        <f>'SatışEkibi YS-Yen. Hed - 671'!$C$31*'SatışEkibi YS-Yen. Hed - 671'!$N44*'Satış YS-Yen.Hed (Ayık) - 671'!I$2</f>
        <v>264.52499999999998</v>
      </c>
      <c r="J41" s="276">
        <f>'SatışEkibi YS-Yen. Hed - 671'!$C$31*'SatışEkibi YS-Yen. Hed - 671'!$N44*'Satış YS-Yen.Hed (Ayık) - 671'!J$2</f>
        <v>266.729375</v>
      </c>
      <c r="K41" s="276">
        <f>'SatışEkibi YS-Yen. Hed - 671'!$C$31*'SatışEkibi YS-Yen. Hed - 671'!$N44*'Satış YS-Yen.Hed (Ayık) - 671'!K$2</f>
        <v>282.16000000000003</v>
      </c>
      <c r="L41" s="276">
        <f>'SatışEkibi YS-Yen. Hed - 671'!$C$31*'SatışEkibi YS-Yen. Hed - 671'!$N44*'Satış YS-Yen.Hed (Ayık) - 671'!L$2</f>
        <v>330.65624999999994</v>
      </c>
      <c r="M41" s="276">
        <f>'SatışEkibi YS-Yen. Hed - 671'!$C$31*'SatışEkibi YS-Yen. Hed - 671'!$N44*'Satış YS-Yen.Hed (Ayık) - 671'!M$2</f>
        <v>335.06499999999994</v>
      </c>
      <c r="N41" s="276">
        <f>'SatışEkibi YS-Yen. Hed - 671'!$C$31*'SatışEkibi YS-Yen. Hed - 671'!$N44*'Satış YS-Yen.Hed (Ayık) - 671'!N$2</f>
        <v>381.356875</v>
      </c>
      <c r="O41" s="295">
        <f t="shared" si="24"/>
        <v>3527</v>
      </c>
      <c r="Q41" s="277" t="str">
        <f t="shared" si="23"/>
        <v>Stokbar</v>
      </c>
      <c r="R41" s="278" t="str">
        <f t="shared" si="25"/>
        <v>Yenileme</v>
      </c>
      <c r="S41" s="279">
        <f t="shared" si="26"/>
        <v>789.1662500000001</v>
      </c>
      <c r="T41" s="279">
        <f t="shared" si="27"/>
        <v>877.34124999999995</v>
      </c>
      <c r="U41" s="279">
        <f t="shared" si="28"/>
        <v>813.41437500000006</v>
      </c>
      <c r="V41" s="279">
        <f t="shared" si="29"/>
        <v>1047.0781249999998</v>
      </c>
      <c r="W41" s="279">
        <f t="shared" si="30"/>
        <v>3527</v>
      </c>
    </row>
    <row r="42" spans="1:23" s="269" customFormat="1" ht="16" hidden="1" customHeight="1" outlineLevel="1" x14ac:dyDescent="0.2">
      <c r="A42" s="293" t="s">
        <v>27</v>
      </c>
      <c r="B42" s="294" t="s">
        <v>26</v>
      </c>
      <c r="C42" s="276">
        <f>'SatışEkibi YS-Yen. Hed - 671'!$D$31*'SatışEkibi YS-Yen. Hed - 671'!$O43*'Satış YS-Yen.Hed (Ayık) - 671'!C$2</f>
        <v>142.50000000000003</v>
      </c>
      <c r="D42" s="276">
        <f>'SatışEkibi YS-Yen. Hed - 671'!$D$31*'SatışEkibi YS-Yen. Hed - 671'!$O43*'Satış YS-Yen.Hed (Ayık) - 671'!D$2</f>
        <v>142.50000000000003</v>
      </c>
      <c r="E42" s="276">
        <f>'SatışEkibi YS-Yen. Hed - 671'!$D$31*'SatışEkibi YS-Yen. Hed - 671'!$O43*'Satış YS-Yen.Hed (Ayık) - 671'!E$2</f>
        <v>162.50000000000003</v>
      </c>
      <c r="F42" s="276">
        <f>'SatışEkibi YS-Yen. Hed - 671'!$D$31*'SatışEkibi YS-Yen. Hed - 671'!$O43*'Satış YS-Yen.Hed (Ayık) - 671'!F$2</f>
        <v>158.75000000000003</v>
      </c>
      <c r="G42" s="276">
        <f>'SatışEkibi YS-Yen. Hed - 671'!$D$31*'SatışEkibi YS-Yen. Hed - 671'!$O43*'Satış YS-Yen.Hed (Ayık) - 671'!G$2</f>
        <v>158.75000000000003</v>
      </c>
      <c r="H42" s="276">
        <f>'SatışEkibi YS-Yen. Hed - 671'!$D$31*'SatışEkibi YS-Yen. Hed - 671'!$O43*'Satış YS-Yen.Hed (Ayık) - 671'!H$2</f>
        <v>180</v>
      </c>
      <c r="I42" s="276">
        <f>'SatışEkibi YS-Yen. Hed - 671'!$D$31*'SatışEkibi YS-Yen. Hed - 671'!$O43*'Satış YS-Yen.Hed (Ayık) - 671'!I$2</f>
        <v>150</v>
      </c>
      <c r="J42" s="276">
        <f>'SatışEkibi YS-Yen. Hed - 671'!$D$31*'SatışEkibi YS-Yen. Hed - 671'!$O43*'Satış YS-Yen.Hed (Ayık) - 671'!J$2</f>
        <v>151.25</v>
      </c>
      <c r="K42" s="276">
        <f>'SatışEkibi YS-Yen. Hed - 671'!$D$31*'SatışEkibi YS-Yen. Hed - 671'!$O43*'Satış YS-Yen.Hed (Ayık) - 671'!K$2</f>
        <v>160.00000000000003</v>
      </c>
      <c r="L42" s="276">
        <f>'SatışEkibi YS-Yen. Hed - 671'!$D$31*'SatışEkibi YS-Yen. Hed - 671'!$O43*'Satış YS-Yen.Hed (Ayık) - 671'!L$2</f>
        <v>187.5</v>
      </c>
      <c r="M42" s="276">
        <f>'SatışEkibi YS-Yen. Hed - 671'!$D$31*'SatışEkibi YS-Yen. Hed - 671'!$O43*'Satış YS-Yen.Hed (Ayık) - 671'!M$2</f>
        <v>190</v>
      </c>
      <c r="N42" s="276">
        <f>'SatışEkibi YS-Yen. Hed - 671'!$D$31*'SatışEkibi YS-Yen. Hed - 671'!$O43*'Satış YS-Yen.Hed (Ayık) - 671'!N$2</f>
        <v>216.25000000000003</v>
      </c>
      <c r="O42" s="295">
        <f t="shared" si="24"/>
        <v>2000</v>
      </c>
      <c r="Q42" s="277" t="str">
        <f t="shared" si="23"/>
        <v>Quest</v>
      </c>
      <c r="R42" s="278" t="str">
        <f t="shared" si="25"/>
        <v>Yeni Satış</v>
      </c>
      <c r="S42" s="279">
        <f t="shared" si="26"/>
        <v>447.50000000000011</v>
      </c>
      <c r="T42" s="279">
        <f t="shared" si="27"/>
        <v>497.50000000000006</v>
      </c>
      <c r="U42" s="279">
        <f t="shared" si="28"/>
        <v>461.25</v>
      </c>
      <c r="V42" s="279">
        <f t="shared" si="29"/>
        <v>593.75</v>
      </c>
      <c r="W42" s="279">
        <f t="shared" si="30"/>
        <v>2000.0000000000002</v>
      </c>
    </row>
    <row r="43" spans="1:23" s="269" customFormat="1" ht="16" hidden="1" customHeight="1" outlineLevel="1" x14ac:dyDescent="0.2">
      <c r="A43" s="293" t="s">
        <v>27</v>
      </c>
      <c r="B43" s="294" t="s">
        <v>28</v>
      </c>
      <c r="C43" s="276">
        <f>'SatışEkibi YS-Yen. Hed - 671'!$D$31*'SatışEkibi YS-Yen. Hed - 671'!$O44*'Satış YS-Yen.Hed (Ayık) - 671'!C$2</f>
        <v>229.06875000000002</v>
      </c>
      <c r="D43" s="276">
        <f>'SatışEkibi YS-Yen. Hed - 671'!$D$31*'SatışEkibi YS-Yen. Hed - 671'!$O44*'Satış YS-Yen.Hed (Ayık) - 671'!D$2</f>
        <v>229.06875000000002</v>
      </c>
      <c r="E43" s="276">
        <f>'SatışEkibi YS-Yen. Hed - 671'!$D$31*'SatışEkibi YS-Yen. Hed - 671'!$O44*'Satış YS-Yen.Hed (Ayık) - 671'!E$2</f>
        <v>261.21875</v>
      </c>
      <c r="F43" s="276">
        <f>'SatışEkibi YS-Yen. Hed - 671'!$D$31*'SatışEkibi YS-Yen. Hed - 671'!$O44*'Satış YS-Yen.Hed (Ayık) - 671'!F$2</f>
        <v>255.19062500000001</v>
      </c>
      <c r="G43" s="276">
        <f>'SatışEkibi YS-Yen. Hed - 671'!$D$31*'SatışEkibi YS-Yen. Hed - 671'!$O44*'Satış YS-Yen.Hed (Ayık) - 671'!G$2</f>
        <v>255.19062500000001</v>
      </c>
      <c r="H43" s="276">
        <f>'SatışEkibi YS-Yen. Hed - 671'!$D$31*'SatışEkibi YS-Yen. Hed - 671'!$O44*'Satış YS-Yen.Hed (Ayık) - 671'!H$2</f>
        <v>289.34999999999997</v>
      </c>
      <c r="I43" s="276">
        <f>'SatışEkibi YS-Yen. Hed - 671'!$D$31*'SatışEkibi YS-Yen. Hed - 671'!$O44*'Satış YS-Yen.Hed (Ayık) - 671'!I$2</f>
        <v>241.125</v>
      </c>
      <c r="J43" s="276">
        <f>'SatışEkibi YS-Yen. Hed - 671'!$D$31*'SatışEkibi YS-Yen. Hed - 671'!$O44*'Satış YS-Yen.Hed (Ayık) - 671'!J$2</f>
        <v>243.13437500000001</v>
      </c>
      <c r="K43" s="276">
        <f>'SatışEkibi YS-Yen. Hed - 671'!$D$31*'SatışEkibi YS-Yen. Hed - 671'!$O44*'Satış YS-Yen.Hed (Ayık) - 671'!K$2</f>
        <v>257.2</v>
      </c>
      <c r="L43" s="276">
        <f>'SatışEkibi YS-Yen. Hed - 671'!$D$31*'SatışEkibi YS-Yen. Hed - 671'!$O44*'Satış YS-Yen.Hed (Ayık) - 671'!L$2</f>
        <v>301.40624999999994</v>
      </c>
      <c r="M43" s="276">
        <f>'SatışEkibi YS-Yen. Hed - 671'!$D$31*'SatışEkibi YS-Yen. Hed - 671'!$O44*'Satış YS-Yen.Hed (Ayık) - 671'!M$2</f>
        <v>305.42499999999995</v>
      </c>
      <c r="N43" s="276">
        <f>'SatışEkibi YS-Yen. Hed - 671'!$D$31*'SatışEkibi YS-Yen. Hed - 671'!$O44*'Satış YS-Yen.Hed (Ayık) - 671'!N$2</f>
        <v>347.62187499999999</v>
      </c>
      <c r="O43" s="295">
        <f t="shared" si="24"/>
        <v>3215</v>
      </c>
      <c r="Q43" s="277" t="str">
        <f t="shared" si="23"/>
        <v>Quest</v>
      </c>
      <c r="R43" s="278" t="str">
        <f t="shared" si="25"/>
        <v>Yenileme</v>
      </c>
      <c r="S43" s="279">
        <f t="shared" si="26"/>
        <v>719.35625000000005</v>
      </c>
      <c r="T43" s="279">
        <f t="shared" si="27"/>
        <v>799.73125000000005</v>
      </c>
      <c r="U43" s="279">
        <f t="shared" si="28"/>
        <v>741.45937499999991</v>
      </c>
      <c r="V43" s="279">
        <f t="shared" si="29"/>
        <v>954.453125</v>
      </c>
      <c r="W43" s="279">
        <f t="shared" si="30"/>
        <v>3215</v>
      </c>
    </row>
    <row r="44" spans="1:23" s="269" customFormat="1" ht="16" hidden="1" customHeight="1" outlineLevel="1" x14ac:dyDescent="0.2">
      <c r="A44" s="293" t="s">
        <v>69</v>
      </c>
      <c r="B44" s="294" t="s">
        <v>26</v>
      </c>
      <c r="C44" s="276">
        <f>'SatışEkibi YS-Yen. Hed - 671'!$E$31*'SatışEkibi YS-Yen. Hed - 671'!$P43*'Satış YS-Yen.Hed (Ayık) - 671'!C$2</f>
        <v>1798.8635700000004</v>
      </c>
      <c r="D44" s="276">
        <f>'SatışEkibi YS-Yen. Hed - 671'!$E$31*'SatışEkibi YS-Yen. Hed - 671'!$P43*'Satış YS-Yen.Hed (Ayık) - 671'!D$2</f>
        <v>1798.8635700000004</v>
      </c>
      <c r="E44" s="276">
        <f>'SatışEkibi YS-Yen. Hed - 671'!$E$31*'SatışEkibi YS-Yen. Hed - 671'!$P43*'Satış YS-Yen.Hed (Ayık) - 671'!E$2</f>
        <v>2051.3356500000004</v>
      </c>
      <c r="F44" s="276">
        <f>'SatışEkibi YS-Yen. Hed - 671'!$E$31*'SatışEkibi YS-Yen. Hed - 671'!$P43*'Satış YS-Yen.Hed (Ayık) - 671'!F$2</f>
        <v>2003.9971350000003</v>
      </c>
      <c r="G44" s="276">
        <f>'SatışEkibi YS-Yen. Hed - 671'!$E$31*'SatışEkibi YS-Yen. Hed - 671'!$P43*'Satış YS-Yen.Hed (Ayık) - 671'!G$2</f>
        <v>2003.9971350000003</v>
      </c>
      <c r="H44" s="276">
        <f>'SatışEkibi YS-Yen. Hed - 671'!$E$31*'SatışEkibi YS-Yen. Hed - 671'!$P43*'Satış YS-Yen.Hed (Ayık) - 671'!H$2</f>
        <v>2272.2487199999996</v>
      </c>
      <c r="I44" s="276">
        <f>'SatışEkibi YS-Yen. Hed - 671'!$E$31*'SatışEkibi YS-Yen. Hed - 671'!$P43*'Satış YS-Yen.Hed (Ayık) - 671'!I$2</f>
        <v>1893.5406</v>
      </c>
      <c r="J44" s="276">
        <f>'SatışEkibi YS-Yen. Hed - 671'!$E$31*'SatışEkibi YS-Yen. Hed - 671'!$P43*'Satış YS-Yen.Hed (Ayık) - 671'!J$2</f>
        <v>1909.320105</v>
      </c>
      <c r="K44" s="276">
        <f>'SatışEkibi YS-Yen. Hed - 671'!$E$31*'SatışEkibi YS-Yen. Hed - 671'!$P43*'Satış YS-Yen.Hed (Ayık) - 671'!K$2</f>
        <v>2019.7766400000003</v>
      </c>
      <c r="L44" s="276">
        <f>'SatışEkibi YS-Yen. Hed - 671'!$E$31*'SatışEkibi YS-Yen. Hed - 671'!$P43*'Satış YS-Yen.Hed (Ayık) - 671'!L$2</f>
        <v>2366.9257499999999</v>
      </c>
      <c r="M44" s="276">
        <f>'SatışEkibi YS-Yen. Hed - 671'!$E$31*'SatışEkibi YS-Yen. Hed - 671'!$P43*'Satış YS-Yen.Hed (Ayık) - 671'!M$2</f>
        <v>2398.4847599999998</v>
      </c>
      <c r="N44" s="276">
        <f>'SatışEkibi YS-Yen. Hed - 671'!$E$31*'SatışEkibi YS-Yen. Hed - 671'!$P43*'Satış YS-Yen.Hed (Ayık) - 671'!N$2</f>
        <v>2729.8543650000001</v>
      </c>
      <c r="O44" s="295">
        <f t="shared" si="24"/>
        <v>25247.208000000002</v>
      </c>
      <c r="Q44" s="277" t="str">
        <f t="shared" si="23"/>
        <v>ServiceCore</v>
      </c>
      <c r="R44" s="278" t="str">
        <f t="shared" si="25"/>
        <v>Yeni Satış</v>
      </c>
      <c r="S44" s="279">
        <f t="shared" si="26"/>
        <v>5649.0627900000018</v>
      </c>
      <c r="T44" s="279">
        <f t="shared" si="27"/>
        <v>6280.2429900000006</v>
      </c>
      <c r="U44" s="279">
        <f t="shared" si="28"/>
        <v>5822.6373450000001</v>
      </c>
      <c r="V44" s="279">
        <f t="shared" si="29"/>
        <v>7495.2648749999998</v>
      </c>
      <c r="W44" s="279">
        <f t="shared" si="30"/>
        <v>25247.208000000002</v>
      </c>
    </row>
    <row r="45" spans="1:23" s="269" customFormat="1" ht="16" hidden="1" customHeight="1" outlineLevel="1" x14ac:dyDescent="0.2">
      <c r="A45" s="293" t="s">
        <v>69</v>
      </c>
      <c r="B45" s="294" t="s">
        <v>28</v>
      </c>
      <c r="C45" s="276">
        <f>'SatışEkibi YS-Yen. Hed - 671'!$E$31*'SatışEkibi YS-Yen. Hed - 671'!$P44*'Satış YS-Yen.Hed (Ayık) - 671'!C$2</f>
        <v>25.861742531249984</v>
      </c>
      <c r="D45" s="276">
        <f>'SatışEkibi YS-Yen. Hed - 671'!$E$31*'SatışEkibi YS-Yen. Hed - 671'!$P44*'Satış YS-Yen.Hed (Ayık) - 671'!D$2</f>
        <v>25.861742531249984</v>
      </c>
      <c r="E45" s="276">
        <f>'SatışEkibi YS-Yen. Hed - 671'!$E$31*'SatışEkibi YS-Yen. Hed - 671'!$P44*'Satış YS-Yen.Hed (Ayık) - 671'!E$2</f>
        <v>29.49146078124998</v>
      </c>
      <c r="F45" s="276">
        <f>'SatışEkibi YS-Yen. Hed - 671'!$E$31*'SatışEkibi YS-Yen. Hed - 671'!$P44*'Satış YS-Yen.Hed (Ayık) - 671'!F$2</f>
        <v>28.810888609374981</v>
      </c>
      <c r="G45" s="276">
        <f>'SatışEkibi YS-Yen. Hed - 671'!$E$31*'SatışEkibi YS-Yen. Hed - 671'!$P44*'Satış YS-Yen.Hed (Ayık) - 671'!G$2</f>
        <v>28.810888609374981</v>
      </c>
      <c r="H45" s="276">
        <f>'SatışEkibi YS-Yen. Hed - 671'!$E$31*'SatışEkibi YS-Yen. Hed - 671'!$P44*'Satış YS-Yen.Hed (Ayık) - 671'!H$2</f>
        <v>32.667464249999973</v>
      </c>
      <c r="I45" s="276">
        <f>'SatışEkibi YS-Yen. Hed - 671'!$E$31*'SatışEkibi YS-Yen. Hed - 671'!$P44*'Satış YS-Yen.Hed (Ayık) - 671'!I$2</f>
        <v>27.222886874999979</v>
      </c>
      <c r="J45" s="276">
        <f>'SatışEkibi YS-Yen. Hed - 671'!$E$31*'SatışEkibi YS-Yen. Hed - 671'!$P44*'Satış YS-Yen.Hed (Ayık) - 671'!J$2</f>
        <v>27.449744265624979</v>
      </c>
      <c r="K45" s="276">
        <f>'SatışEkibi YS-Yen. Hed - 671'!$E$31*'SatışEkibi YS-Yen. Hed - 671'!$P44*'Satış YS-Yen.Hed (Ayık) - 671'!K$2</f>
        <v>29.037745999999981</v>
      </c>
      <c r="L45" s="276">
        <f>'SatışEkibi YS-Yen. Hed - 671'!$E$31*'SatışEkibi YS-Yen. Hed - 671'!$P44*'Satış YS-Yen.Hed (Ayık) - 671'!L$2</f>
        <v>34.028608593749972</v>
      </c>
      <c r="M45" s="276">
        <f>'SatışEkibi YS-Yen. Hed - 671'!$E$31*'SatışEkibi YS-Yen. Hed - 671'!$P44*'Satış YS-Yen.Hed (Ayık) - 671'!M$2</f>
        <v>34.482323374999972</v>
      </c>
      <c r="N45" s="276">
        <f>'SatışEkibi YS-Yen. Hed - 671'!$E$31*'SatışEkibi YS-Yen. Hed - 671'!$P44*'Satış YS-Yen.Hed (Ayık) - 671'!N$2</f>
        <v>39.246328578124974</v>
      </c>
      <c r="O45" s="295">
        <f t="shared" si="24"/>
        <v>362.97182499999974</v>
      </c>
      <c r="Q45" s="277" t="str">
        <f t="shared" si="23"/>
        <v>ServiceCore</v>
      </c>
      <c r="R45" s="278" t="str">
        <f t="shared" si="25"/>
        <v>Yenileme</v>
      </c>
      <c r="S45" s="279">
        <f t="shared" si="26"/>
        <v>81.214945843749945</v>
      </c>
      <c r="T45" s="279">
        <f t="shared" si="27"/>
        <v>90.289241468749935</v>
      </c>
      <c r="U45" s="279">
        <f t="shared" si="28"/>
        <v>83.710377140624942</v>
      </c>
      <c r="V45" s="279">
        <f t="shared" si="29"/>
        <v>107.75726054687492</v>
      </c>
      <c r="W45" s="279">
        <f t="shared" si="30"/>
        <v>362.97182499999974</v>
      </c>
    </row>
    <row r="46" spans="1:23" s="269" customFormat="1" ht="16" hidden="1" customHeight="1" outlineLevel="1" x14ac:dyDescent="0.2">
      <c r="A46" s="293" t="s">
        <v>32</v>
      </c>
      <c r="B46" s="294" t="s">
        <v>26</v>
      </c>
      <c r="C46" s="276">
        <f>'SatışEkibi YS-Yen. Hed - 671'!$F$31*'SatışEkibi YS-Yen. Hed - 671'!$Q43*'Satış YS-Yen.Hed (Ayık) - 671'!C$2</f>
        <v>78.375000000000014</v>
      </c>
      <c r="D46" s="276">
        <f>'SatışEkibi YS-Yen. Hed - 671'!$F$31*'SatışEkibi YS-Yen. Hed - 671'!$Q43*'Satış YS-Yen.Hed (Ayık) - 671'!D$2</f>
        <v>78.375000000000014</v>
      </c>
      <c r="E46" s="276">
        <f>'SatışEkibi YS-Yen. Hed - 671'!$F$31*'SatışEkibi YS-Yen. Hed - 671'!$Q43*'Satış YS-Yen.Hed (Ayık) - 671'!E$2</f>
        <v>89.375</v>
      </c>
      <c r="F46" s="276">
        <f>'SatışEkibi YS-Yen. Hed - 671'!$F$31*'SatışEkibi YS-Yen. Hed - 671'!$Q43*'Satış YS-Yen.Hed (Ayık) - 671'!F$2</f>
        <v>87.3125</v>
      </c>
      <c r="G46" s="276">
        <f>'SatışEkibi YS-Yen. Hed - 671'!$F$31*'SatışEkibi YS-Yen. Hed - 671'!$Q43*'Satış YS-Yen.Hed (Ayık) - 671'!G$2</f>
        <v>87.3125</v>
      </c>
      <c r="H46" s="276">
        <f>'SatışEkibi YS-Yen. Hed - 671'!$F$31*'SatışEkibi YS-Yen. Hed - 671'!$Q43*'Satış YS-Yen.Hed (Ayık) - 671'!H$2</f>
        <v>98.999999999999986</v>
      </c>
      <c r="I46" s="276">
        <f>'SatışEkibi YS-Yen. Hed - 671'!$F$31*'SatışEkibi YS-Yen. Hed - 671'!$Q43*'Satış YS-Yen.Hed (Ayık) - 671'!I$2</f>
        <v>82.5</v>
      </c>
      <c r="J46" s="276">
        <f>'SatışEkibi YS-Yen. Hed - 671'!$F$31*'SatışEkibi YS-Yen. Hed - 671'!$Q43*'Satış YS-Yen.Hed (Ayık) - 671'!J$2</f>
        <v>83.1875</v>
      </c>
      <c r="K46" s="276">
        <f>'SatışEkibi YS-Yen. Hed - 671'!$F$31*'SatışEkibi YS-Yen. Hed - 671'!$Q43*'Satış YS-Yen.Hed (Ayık) - 671'!K$2</f>
        <v>88</v>
      </c>
      <c r="L46" s="276">
        <f>'SatışEkibi YS-Yen. Hed - 671'!$F$31*'SatışEkibi YS-Yen. Hed - 671'!$Q43*'Satış YS-Yen.Hed (Ayık) - 671'!L$2</f>
        <v>103.12499999999999</v>
      </c>
      <c r="M46" s="276">
        <f>'SatışEkibi YS-Yen. Hed - 671'!$F$31*'SatışEkibi YS-Yen. Hed - 671'!$Q43*'Satış YS-Yen.Hed (Ayık) - 671'!M$2</f>
        <v>104.49999999999999</v>
      </c>
      <c r="N46" s="276">
        <f>'SatışEkibi YS-Yen. Hed - 671'!$F$31*'SatışEkibi YS-Yen. Hed - 671'!$Q43*'Satış YS-Yen.Hed (Ayık) - 671'!N$2</f>
        <v>118.9375</v>
      </c>
      <c r="O46" s="295">
        <f t="shared" si="24"/>
        <v>1100</v>
      </c>
      <c r="Q46" s="277" t="str">
        <f t="shared" si="23"/>
        <v>Varuna</v>
      </c>
      <c r="R46" s="278" t="str">
        <f t="shared" si="25"/>
        <v>Yeni Satış</v>
      </c>
      <c r="S46" s="279">
        <f t="shared" si="26"/>
        <v>246.12500000000003</v>
      </c>
      <c r="T46" s="279">
        <f t="shared" si="27"/>
        <v>273.625</v>
      </c>
      <c r="U46" s="279">
        <f t="shared" si="28"/>
        <v>253.6875</v>
      </c>
      <c r="V46" s="279">
        <f t="shared" si="29"/>
        <v>326.5625</v>
      </c>
      <c r="W46" s="279">
        <f t="shared" si="30"/>
        <v>1100</v>
      </c>
    </row>
    <row r="47" spans="1:23" s="269" customFormat="1" ht="16" hidden="1" customHeight="1" outlineLevel="1" x14ac:dyDescent="0.2">
      <c r="A47" s="293" t="s">
        <v>34</v>
      </c>
      <c r="B47" s="294" t="s">
        <v>26</v>
      </c>
      <c r="C47" s="276">
        <f>'SatışEkibi YS-Yen. Hed - 671'!$G$31*'SatışEkibi YS-Yen. Hed - 671'!$R43*'Satış YS-Yen.Hed (Ayık) - 671'!C$2</f>
        <v>71.250000000000014</v>
      </c>
      <c r="D47" s="276">
        <f>'SatışEkibi YS-Yen. Hed - 671'!$G$31*'SatışEkibi YS-Yen. Hed - 671'!$R43*'Satış YS-Yen.Hed (Ayık) - 671'!D$2</f>
        <v>71.250000000000014</v>
      </c>
      <c r="E47" s="276">
        <f>'SatışEkibi YS-Yen. Hed - 671'!$G$31*'SatışEkibi YS-Yen. Hed - 671'!$R43*'Satış YS-Yen.Hed (Ayık) - 671'!E$2</f>
        <v>81.25</v>
      </c>
      <c r="F47" s="276">
        <f>'SatışEkibi YS-Yen. Hed - 671'!$G$31*'SatışEkibi YS-Yen. Hed - 671'!$R43*'Satış YS-Yen.Hed (Ayık) - 671'!F$2</f>
        <v>79.375</v>
      </c>
      <c r="G47" s="276">
        <f>'SatışEkibi YS-Yen. Hed - 671'!$G$31*'SatışEkibi YS-Yen. Hed - 671'!$R43*'Satış YS-Yen.Hed (Ayık) - 671'!G$2</f>
        <v>79.375</v>
      </c>
      <c r="H47" s="276">
        <f>'SatışEkibi YS-Yen. Hed - 671'!$G$31*'SatışEkibi YS-Yen. Hed - 671'!$R43*'Satış YS-Yen.Hed (Ayık) - 671'!H$2</f>
        <v>89.999999999999986</v>
      </c>
      <c r="I47" s="276">
        <f>'SatışEkibi YS-Yen. Hed - 671'!$G$31*'SatışEkibi YS-Yen. Hed - 671'!$R43*'Satış YS-Yen.Hed (Ayık) - 671'!I$2</f>
        <v>75</v>
      </c>
      <c r="J47" s="276">
        <f>'SatışEkibi YS-Yen. Hed - 671'!$G$31*'SatışEkibi YS-Yen. Hed - 671'!$R43*'Satış YS-Yen.Hed (Ayık) - 671'!J$2</f>
        <v>75.625</v>
      </c>
      <c r="K47" s="276">
        <f>'SatışEkibi YS-Yen. Hed - 671'!$G$31*'SatışEkibi YS-Yen. Hed - 671'!$R43*'Satış YS-Yen.Hed (Ayık) - 671'!K$2</f>
        <v>80</v>
      </c>
      <c r="L47" s="276">
        <f>'SatışEkibi YS-Yen. Hed - 671'!$G$31*'SatışEkibi YS-Yen. Hed - 671'!$R43*'Satış YS-Yen.Hed (Ayık) - 671'!L$2</f>
        <v>93.749999999999986</v>
      </c>
      <c r="M47" s="276">
        <f>'SatışEkibi YS-Yen. Hed - 671'!$G$31*'SatışEkibi YS-Yen. Hed - 671'!$R43*'Satış YS-Yen.Hed (Ayık) - 671'!M$2</f>
        <v>94.999999999999986</v>
      </c>
      <c r="N47" s="276">
        <f>'SatışEkibi YS-Yen. Hed - 671'!$G$31*'SatışEkibi YS-Yen. Hed - 671'!$R43*'Satış YS-Yen.Hed (Ayık) - 671'!N$2</f>
        <v>108.125</v>
      </c>
      <c r="O47" s="295">
        <f t="shared" si="24"/>
        <v>1000</v>
      </c>
      <c r="Q47" s="277" t="str">
        <f t="shared" si="23"/>
        <v>Hosting</v>
      </c>
      <c r="R47" s="278" t="str">
        <f t="shared" si="25"/>
        <v>Yeni Satış</v>
      </c>
      <c r="S47" s="279">
        <f t="shared" si="26"/>
        <v>223.75000000000003</v>
      </c>
      <c r="T47" s="279">
        <f t="shared" si="27"/>
        <v>248.75</v>
      </c>
      <c r="U47" s="279">
        <f t="shared" si="28"/>
        <v>230.625</v>
      </c>
      <c r="V47" s="279">
        <f t="shared" si="29"/>
        <v>296.875</v>
      </c>
      <c r="W47" s="279">
        <f t="shared" si="30"/>
        <v>1000</v>
      </c>
    </row>
    <row r="48" spans="1:23" s="269" customFormat="1" ht="16" hidden="1" customHeight="1" outlineLevel="1" x14ac:dyDescent="0.2">
      <c r="A48" s="293" t="s">
        <v>34</v>
      </c>
      <c r="B48" s="294" t="s">
        <v>28</v>
      </c>
      <c r="C48" s="276">
        <f>'SatışEkibi YS-Yen. Hed - 671'!$G$31*'SatışEkibi YS-Yen. Hed - 671'!$R44*'Satış YS-Yen.Hed (Ayık) - 671'!C$2</f>
        <v>301.10250000000002</v>
      </c>
      <c r="D48" s="276">
        <f>'SatışEkibi YS-Yen. Hed - 671'!$G$31*'SatışEkibi YS-Yen. Hed - 671'!$R44*'Satış YS-Yen.Hed (Ayık) - 671'!D$2</f>
        <v>301.10250000000002</v>
      </c>
      <c r="E48" s="276">
        <f>'SatışEkibi YS-Yen. Hed - 671'!$G$31*'SatışEkibi YS-Yen. Hed - 671'!$R44*'Satış YS-Yen.Hed (Ayık) - 671'!E$2</f>
        <v>343.36250000000001</v>
      </c>
      <c r="F48" s="276">
        <f>'SatışEkibi YS-Yen. Hed - 671'!$G$31*'SatışEkibi YS-Yen. Hed - 671'!$R44*'Satış YS-Yen.Hed (Ayık) - 671'!F$2</f>
        <v>335.43875000000003</v>
      </c>
      <c r="G48" s="276">
        <f>'SatışEkibi YS-Yen. Hed - 671'!$G$31*'SatışEkibi YS-Yen. Hed - 671'!$R44*'Satış YS-Yen.Hed (Ayık) - 671'!G$2</f>
        <v>335.43875000000003</v>
      </c>
      <c r="H48" s="276">
        <f>'SatışEkibi YS-Yen. Hed - 671'!$G$31*'SatışEkibi YS-Yen. Hed - 671'!$R44*'Satış YS-Yen.Hed (Ayık) - 671'!H$2</f>
        <v>380.33999999999992</v>
      </c>
      <c r="I48" s="276">
        <f>'SatışEkibi YS-Yen. Hed - 671'!$G$31*'SatışEkibi YS-Yen. Hed - 671'!$R44*'Satış YS-Yen.Hed (Ayık) - 671'!I$2</f>
        <v>316.95</v>
      </c>
      <c r="J48" s="276">
        <f>'SatışEkibi YS-Yen. Hed - 671'!$G$31*'SatışEkibi YS-Yen. Hed - 671'!$R44*'Satış YS-Yen.Hed (Ayık) - 671'!J$2</f>
        <v>319.59125</v>
      </c>
      <c r="K48" s="276">
        <f>'SatışEkibi YS-Yen. Hed - 671'!$G$31*'SatışEkibi YS-Yen. Hed - 671'!$R44*'Satış YS-Yen.Hed (Ayık) - 671'!K$2</f>
        <v>338.08</v>
      </c>
      <c r="L48" s="276">
        <f>'SatışEkibi YS-Yen. Hed - 671'!$G$31*'SatışEkibi YS-Yen. Hed - 671'!$R44*'Satış YS-Yen.Hed (Ayık) - 671'!L$2</f>
        <v>396.18749999999994</v>
      </c>
      <c r="M48" s="276">
        <f>'SatışEkibi YS-Yen. Hed - 671'!$G$31*'SatışEkibi YS-Yen. Hed - 671'!$R44*'Satış YS-Yen.Hed (Ayık) - 671'!M$2</f>
        <v>401.46999999999997</v>
      </c>
      <c r="N48" s="276">
        <f>'SatışEkibi YS-Yen. Hed - 671'!$G$31*'SatışEkibi YS-Yen. Hed - 671'!$R44*'Satış YS-Yen.Hed (Ayık) - 671'!N$2</f>
        <v>456.93624999999997</v>
      </c>
      <c r="O48" s="295">
        <f t="shared" si="24"/>
        <v>4226</v>
      </c>
      <c r="Q48" s="277" t="str">
        <f t="shared" si="23"/>
        <v>Hosting</v>
      </c>
      <c r="R48" s="278" t="str">
        <f t="shared" si="25"/>
        <v>Yenileme</v>
      </c>
      <c r="S48" s="279">
        <f t="shared" si="26"/>
        <v>945.56750000000011</v>
      </c>
      <c r="T48" s="279">
        <f t="shared" si="27"/>
        <v>1051.2175</v>
      </c>
      <c r="U48" s="279">
        <f t="shared" si="28"/>
        <v>974.62124999999992</v>
      </c>
      <c r="V48" s="279">
        <f t="shared" si="29"/>
        <v>1254.59375</v>
      </c>
      <c r="W48" s="279">
        <f t="shared" si="30"/>
        <v>4226</v>
      </c>
    </row>
    <row r="49" spans="1:23" s="269" customFormat="1" ht="16" hidden="1" customHeight="1" outlineLevel="1" x14ac:dyDescent="0.2">
      <c r="A49" s="293" t="s">
        <v>53</v>
      </c>
      <c r="B49" s="294" t="s">
        <v>26</v>
      </c>
      <c r="C49" s="276">
        <f>'SatışEkibi YS-Yen. Hed - 671'!$H$43*'Satış YS-Yen.Hed (Ayık) - 671'!C$2</f>
        <v>1068.7500000000002</v>
      </c>
      <c r="D49" s="276">
        <f>'SatışEkibi YS-Yen. Hed - 671'!$H$43*'Satış YS-Yen.Hed (Ayık) - 671'!D$2</f>
        <v>1068.7500000000002</v>
      </c>
      <c r="E49" s="276">
        <f>'SatışEkibi YS-Yen. Hed - 671'!$H$43*'Satış YS-Yen.Hed (Ayık) - 671'!E$2</f>
        <v>1218.75</v>
      </c>
      <c r="F49" s="276">
        <f>'SatışEkibi YS-Yen. Hed - 671'!$H$43*'Satış YS-Yen.Hed (Ayık) - 671'!F$2</f>
        <v>1190.625</v>
      </c>
      <c r="G49" s="276">
        <f>'SatışEkibi YS-Yen. Hed - 671'!$H$43*'Satış YS-Yen.Hed (Ayık) - 671'!G$2</f>
        <v>1190.625</v>
      </c>
      <c r="H49" s="276">
        <f>'SatışEkibi YS-Yen. Hed - 671'!$H$43*'Satış YS-Yen.Hed (Ayık) - 671'!H$2</f>
        <v>1349.9999999999998</v>
      </c>
      <c r="I49" s="276">
        <f>'SatışEkibi YS-Yen. Hed - 671'!$H$43*'Satış YS-Yen.Hed (Ayık) - 671'!I$2</f>
        <v>1125</v>
      </c>
      <c r="J49" s="276">
        <f>'SatışEkibi YS-Yen. Hed - 671'!$H$43*'Satış YS-Yen.Hed (Ayık) - 671'!J$2</f>
        <v>1134.375</v>
      </c>
      <c r="K49" s="276">
        <f>'SatışEkibi YS-Yen. Hed - 671'!$H$43*'Satış YS-Yen.Hed (Ayık) - 671'!K$2</f>
        <v>1200</v>
      </c>
      <c r="L49" s="276">
        <f>'SatışEkibi YS-Yen. Hed - 671'!$H$43*'Satış YS-Yen.Hed (Ayık) - 671'!L$2</f>
        <v>1406.2499999999998</v>
      </c>
      <c r="M49" s="276">
        <f>'SatışEkibi YS-Yen. Hed - 671'!$H$43*'Satış YS-Yen.Hed (Ayık) - 671'!M$2</f>
        <v>1424.9999999999998</v>
      </c>
      <c r="N49" s="276">
        <f>'SatışEkibi YS-Yen. Hed - 671'!$H$43*'Satış YS-Yen.Hed (Ayık) - 671'!N$2</f>
        <v>1621.875</v>
      </c>
      <c r="O49" s="295">
        <f>SUM(C49:N49)</f>
        <v>15000</v>
      </c>
      <c r="Q49" s="277" t="str">
        <f t="shared" si="23"/>
        <v>E-Dönüşüm</v>
      </c>
      <c r="R49" s="278" t="str">
        <f t="shared" si="25"/>
        <v>Yeni Satış</v>
      </c>
      <c r="S49" s="279">
        <f t="shared" si="26"/>
        <v>3356.2500000000005</v>
      </c>
      <c r="T49" s="279">
        <f t="shared" si="27"/>
        <v>3731.25</v>
      </c>
      <c r="U49" s="279">
        <f t="shared" si="28"/>
        <v>3459.375</v>
      </c>
      <c r="V49" s="279">
        <f t="shared" si="29"/>
        <v>4453.125</v>
      </c>
      <c r="W49" s="279">
        <f>SUM(S49:V49)</f>
        <v>15000</v>
      </c>
    </row>
    <row r="50" spans="1:23" s="269" customFormat="1" ht="16" hidden="1" customHeight="1" outlineLevel="1" x14ac:dyDescent="0.2">
      <c r="A50" s="293" t="s">
        <v>53</v>
      </c>
      <c r="B50" s="294" t="s">
        <v>28</v>
      </c>
      <c r="C50" s="276">
        <f>'SatışEkibi YS-Yen. Hed - 671'!$H$44*'Satış YS-Yen.Hed (Ayık) - 671'!C$2</f>
        <v>0</v>
      </c>
      <c r="D50" s="276">
        <f>'SatışEkibi YS-Yen. Hed - 671'!$H$44*'Satış YS-Yen.Hed (Ayık) - 671'!D$2</f>
        <v>0</v>
      </c>
      <c r="E50" s="276">
        <f>'SatışEkibi YS-Yen. Hed - 671'!$H$44*'Satış YS-Yen.Hed (Ayık) - 671'!E$2</f>
        <v>0</v>
      </c>
      <c r="F50" s="276">
        <f>'SatışEkibi YS-Yen. Hed - 671'!$H$44*'Satış YS-Yen.Hed (Ayık) - 671'!F$2</f>
        <v>0</v>
      </c>
      <c r="G50" s="276">
        <f>'SatışEkibi YS-Yen. Hed - 671'!$H$44*'Satış YS-Yen.Hed (Ayık) - 671'!G$2</f>
        <v>0</v>
      </c>
      <c r="H50" s="276">
        <f>'SatışEkibi YS-Yen. Hed - 671'!$H$44*'Satış YS-Yen.Hed (Ayık) - 671'!H$2</f>
        <v>0</v>
      </c>
      <c r="I50" s="276">
        <f>'SatışEkibi YS-Yen. Hed - 671'!$H$44*'Satış YS-Yen.Hed (Ayık) - 671'!I$2</f>
        <v>0</v>
      </c>
      <c r="J50" s="276">
        <f>'SatışEkibi YS-Yen. Hed - 671'!$H$44*'Satış YS-Yen.Hed (Ayık) - 671'!J$2</f>
        <v>0</v>
      </c>
      <c r="K50" s="276">
        <f>'SatışEkibi YS-Yen. Hed - 671'!$H$44*'Satış YS-Yen.Hed (Ayık) - 671'!K$2</f>
        <v>0</v>
      </c>
      <c r="L50" s="276">
        <f>'SatışEkibi YS-Yen. Hed - 671'!$H$44*'Satış YS-Yen.Hed (Ayık) - 671'!L$2</f>
        <v>0</v>
      </c>
      <c r="M50" s="276">
        <f>'SatışEkibi YS-Yen. Hed - 671'!$H$44*'Satış YS-Yen.Hed (Ayık) - 671'!M$2</f>
        <v>0</v>
      </c>
      <c r="N50" s="276">
        <f>'SatışEkibi YS-Yen. Hed - 671'!$H$44*'Satış YS-Yen.Hed (Ayık) - 671'!N$2</f>
        <v>0</v>
      </c>
      <c r="O50" s="295">
        <f>SUM(C50:N50)</f>
        <v>0</v>
      </c>
      <c r="Q50" s="277" t="str">
        <f t="shared" si="23"/>
        <v>E-Dönüşüm</v>
      </c>
      <c r="R50" s="278" t="str">
        <f t="shared" si="25"/>
        <v>Yenileme</v>
      </c>
      <c r="S50" s="279">
        <f t="shared" si="26"/>
        <v>0</v>
      </c>
      <c r="T50" s="279">
        <f t="shared" si="27"/>
        <v>0</v>
      </c>
      <c r="U50" s="279">
        <f t="shared" si="28"/>
        <v>0</v>
      </c>
      <c r="V50" s="279">
        <f t="shared" si="29"/>
        <v>0</v>
      </c>
      <c r="W50" s="279">
        <f>SUM(S50:V50)</f>
        <v>0</v>
      </c>
    </row>
    <row r="51" spans="1:23" s="269" customFormat="1" ht="16" hidden="1" customHeight="1" outlineLevel="1" x14ac:dyDescent="0.2">
      <c r="A51" s="293" t="s">
        <v>35</v>
      </c>
      <c r="B51" s="294" t="s">
        <v>26</v>
      </c>
      <c r="C51" s="276">
        <f>'SatışEkibi YS-Yen. Hed - 671'!$I$31*'SatışEkibi YS-Yen. Hed - 671'!$T43*'Satış YS-Yen.Hed (Ayık) - 671'!C$2</f>
        <v>213.75000000000003</v>
      </c>
      <c r="D51" s="276">
        <f>'SatışEkibi YS-Yen. Hed - 671'!$I$31*'SatışEkibi YS-Yen. Hed - 671'!$T43*'Satış YS-Yen.Hed (Ayık) - 671'!D$2</f>
        <v>213.75000000000003</v>
      </c>
      <c r="E51" s="276">
        <f>'SatışEkibi YS-Yen. Hed - 671'!$I$31*'SatışEkibi YS-Yen. Hed - 671'!$T43*'Satış YS-Yen.Hed (Ayık) - 671'!E$2</f>
        <v>243.75</v>
      </c>
      <c r="F51" s="276">
        <f>'SatışEkibi YS-Yen. Hed - 671'!$I$31*'SatışEkibi YS-Yen. Hed - 671'!$T43*'Satış YS-Yen.Hed (Ayık) - 671'!F$2</f>
        <v>238.125</v>
      </c>
      <c r="G51" s="276">
        <f>'SatışEkibi YS-Yen. Hed - 671'!$I$31*'SatışEkibi YS-Yen. Hed - 671'!$T43*'Satış YS-Yen.Hed (Ayık) - 671'!G$2</f>
        <v>238.125</v>
      </c>
      <c r="H51" s="276">
        <f>'SatışEkibi YS-Yen. Hed - 671'!$I$31*'SatışEkibi YS-Yen. Hed - 671'!$T43*'Satış YS-Yen.Hed (Ayık) - 671'!H$2</f>
        <v>269.99999999999994</v>
      </c>
      <c r="I51" s="276">
        <f>'SatışEkibi YS-Yen. Hed - 671'!$I$31*'SatışEkibi YS-Yen. Hed - 671'!$T43*'Satış YS-Yen.Hed (Ayık) - 671'!I$2</f>
        <v>225</v>
      </c>
      <c r="J51" s="276">
        <f>'SatışEkibi YS-Yen. Hed - 671'!$I$31*'SatışEkibi YS-Yen. Hed - 671'!$T43*'Satış YS-Yen.Hed (Ayık) - 671'!J$2</f>
        <v>226.875</v>
      </c>
      <c r="K51" s="276">
        <f>'SatışEkibi YS-Yen. Hed - 671'!$I$31*'SatışEkibi YS-Yen. Hed - 671'!$T43*'Satış YS-Yen.Hed (Ayık) - 671'!K$2</f>
        <v>240</v>
      </c>
      <c r="L51" s="276">
        <f>'SatışEkibi YS-Yen. Hed - 671'!$I$31*'SatışEkibi YS-Yen. Hed - 671'!$T43*'Satış YS-Yen.Hed (Ayık) - 671'!L$2</f>
        <v>281.24999999999994</v>
      </c>
      <c r="M51" s="276">
        <f>'SatışEkibi YS-Yen. Hed - 671'!$I$31*'SatışEkibi YS-Yen. Hed - 671'!$T43*'Satış YS-Yen.Hed (Ayık) - 671'!M$2</f>
        <v>284.99999999999994</v>
      </c>
      <c r="N51" s="276">
        <f>'SatışEkibi YS-Yen. Hed - 671'!$I$31*'SatışEkibi YS-Yen. Hed - 671'!$T43*'Satış YS-Yen.Hed (Ayık) - 671'!N$2</f>
        <v>324.375</v>
      </c>
      <c r="O51" s="295">
        <f t="shared" si="24"/>
        <v>3000</v>
      </c>
      <c r="Q51" s="277" t="str">
        <f t="shared" si="23"/>
        <v>BFH</v>
      </c>
      <c r="R51" s="278" t="str">
        <f t="shared" si="25"/>
        <v>Yeni Satış</v>
      </c>
      <c r="S51" s="279">
        <f t="shared" si="26"/>
        <v>671.25</v>
      </c>
      <c r="T51" s="279">
        <f t="shared" si="27"/>
        <v>746.25</v>
      </c>
      <c r="U51" s="279">
        <f t="shared" si="28"/>
        <v>691.875</v>
      </c>
      <c r="V51" s="279">
        <f t="shared" si="29"/>
        <v>890.62499999999989</v>
      </c>
      <c r="W51" s="279">
        <f t="shared" si="30"/>
        <v>3000</v>
      </c>
    </row>
    <row r="52" spans="1:23" s="269" customFormat="1" ht="16" customHeight="1" collapsed="1" x14ac:dyDescent="0.2">
      <c r="A52" s="283" t="s">
        <v>30</v>
      </c>
      <c r="B52" s="284" t="s">
        <v>26</v>
      </c>
      <c r="C52" s="282">
        <f>SUMIF($B$38:$B$51,"Yeni Satış",C38:C51)</f>
        <v>5190.3635700000013</v>
      </c>
      <c r="D52" s="282">
        <f t="shared" ref="D52:N52" si="31">SUMIF($B$38:$B$51,"Yeni Satış",D38:D51)</f>
        <v>5190.3635700000013</v>
      </c>
      <c r="E52" s="282">
        <f t="shared" si="31"/>
        <v>5918.8356500000009</v>
      </c>
      <c r="F52" s="282">
        <f t="shared" si="31"/>
        <v>5782.2471350000005</v>
      </c>
      <c r="G52" s="282">
        <f t="shared" si="31"/>
        <v>5782.2471350000005</v>
      </c>
      <c r="H52" s="282">
        <f t="shared" si="31"/>
        <v>6556.2487199999996</v>
      </c>
      <c r="I52" s="282">
        <f t="shared" si="31"/>
        <v>5463.5406000000003</v>
      </c>
      <c r="J52" s="282">
        <f t="shared" si="31"/>
        <v>5509.0701049999998</v>
      </c>
      <c r="K52" s="282">
        <f t="shared" si="31"/>
        <v>5827.77664</v>
      </c>
      <c r="L52" s="282">
        <f t="shared" si="31"/>
        <v>6829.4257499999994</v>
      </c>
      <c r="M52" s="282">
        <f t="shared" si="31"/>
        <v>6920.4847599999994</v>
      </c>
      <c r="N52" s="282">
        <f t="shared" si="31"/>
        <v>7876.6043650000001</v>
      </c>
      <c r="O52" s="296">
        <f>SUMIF(B38:B51,"Yeni Satış",O38:O51)</f>
        <v>72847.207999999999</v>
      </c>
      <c r="Q52" s="283" t="s">
        <v>30</v>
      </c>
      <c r="R52" s="284" t="str">
        <f t="shared" si="25"/>
        <v>Yeni Satış</v>
      </c>
      <c r="S52" s="285">
        <f>SUMIF(R38:R51,"Yeni Satış",S38:S51)</f>
        <v>16299.562790000004</v>
      </c>
      <c r="T52" s="285">
        <f>SUMIF(R38:R51,"Yeni Satış",T38:T51)</f>
        <v>18120.742989999999</v>
      </c>
      <c r="U52" s="285">
        <f>SUMIF(R38:R51,"Yeni Satış",U38:U51)</f>
        <v>16800.387344999999</v>
      </c>
      <c r="V52" s="285">
        <f>SUMIF(R38:R51,"Yeni Satış",V38:V51)</f>
        <v>21626.514875000001</v>
      </c>
      <c r="W52" s="285">
        <f t="shared" si="30"/>
        <v>72847.208000000013</v>
      </c>
    </row>
    <row r="53" spans="1:23" s="269" customFormat="1" ht="16" customHeight="1" x14ac:dyDescent="0.2">
      <c r="A53" s="283" t="s">
        <v>30</v>
      </c>
      <c r="B53" s="284" t="s">
        <v>28</v>
      </c>
      <c r="C53" s="282">
        <f>SUMIF($B$38:$B$51,"Yenileme",C38:C52)</f>
        <v>2588.5817425312503</v>
      </c>
      <c r="D53" s="282">
        <f t="shared" ref="D53:N53" si="32">SUMIF($B$38:$B$51,"Yenileme",D38:D52)</f>
        <v>2588.5817425312503</v>
      </c>
      <c r="E53" s="282">
        <f t="shared" si="32"/>
        <v>2951.8914607812499</v>
      </c>
      <c r="F53" s="282">
        <f t="shared" si="32"/>
        <v>2883.7708886093751</v>
      </c>
      <c r="G53" s="282">
        <f t="shared" si="32"/>
        <v>2883.7708886093751</v>
      </c>
      <c r="H53" s="282">
        <f t="shared" si="32"/>
        <v>3269.7874642499992</v>
      </c>
      <c r="I53" s="282">
        <f t="shared" si="32"/>
        <v>2724.8228868749998</v>
      </c>
      <c r="J53" s="282">
        <f t="shared" si="32"/>
        <v>2747.5297442656247</v>
      </c>
      <c r="K53" s="282">
        <f t="shared" si="32"/>
        <v>2906.4777459999996</v>
      </c>
      <c r="L53" s="282">
        <f t="shared" si="32"/>
        <v>3406.0286085937496</v>
      </c>
      <c r="M53" s="282">
        <f t="shared" si="32"/>
        <v>3451.4423233749994</v>
      </c>
      <c r="N53" s="282">
        <f t="shared" si="32"/>
        <v>3928.286328578125</v>
      </c>
      <c r="O53" s="296">
        <f>SUMIF(B38:B51,"Yenileme",O38:O51)</f>
        <v>36330.971825000001</v>
      </c>
      <c r="Q53" s="283" t="s">
        <v>30</v>
      </c>
      <c r="R53" s="284" t="str">
        <f t="shared" si="25"/>
        <v>Yenileme</v>
      </c>
      <c r="S53" s="285">
        <f>SUMIF(R38:R51,"Yenileme",S38:S51)</f>
        <v>8129.0549458437499</v>
      </c>
      <c r="T53" s="285">
        <f>SUMIF(R38:R51,"Yenileme",T38:T51)</f>
        <v>9037.3292414687494</v>
      </c>
      <c r="U53" s="285">
        <f>SUMIF(R38:R51,"Yenileme",U38:U51)</f>
        <v>8378.8303771406245</v>
      </c>
      <c r="V53" s="285">
        <f>SUMIF(R38:R51,"Yenileme",V38:V51)</f>
        <v>10785.757260546872</v>
      </c>
      <c r="W53" s="285">
        <f t="shared" si="30"/>
        <v>36330.971824999993</v>
      </c>
    </row>
    <row r="54" spans="1:23" s="269" customFormat="1" ht="16" customHeight="1" x14ac:dyDescent="0.2">
      <c r="A54" s="297" t="s">
        <v>38</v>
      </c>
      <c r="B54" s="298" t="s">
        <v>144</v>
      </c>
      <c r="C54" s="288">
        <f>SUM(C52:C53)</f>
        <v>7778.9453125312521</v>
      </c>
      <c r="D54" s="288">
        <f t="shared" ref="D54:N54" si="33">SUM(D52:D53)</f>
        <v>7778.9453125312521</v>
      </c>
      <c r="E54" s="288">
        <f t="shared" si="33"/>
        <v>8870.7271107812503</v>
      </c>
      <c r="F54" s="288">
        <f t="shared" si="33"/>
        <v>8666.0180236093765</v>
      </c>
      <c r="G54" s="288">
        <f t="shared" si="33"/>
        <v>8666.0180236093765</v>
      </c>
      <c r="H54" s="288">
        <f t="shared" si="33"/>
        <v>9826.0361842499988</v>
      </c>
      <c r="I54" s="288">
        <f t="shared" si="33"/>
        <v>8188.3634868749996</v>
      </c>
      <c r="J54" s="288">
        <f t="shared" si="33"/>
        <v>8256.5998492656254</v>
      </c>
      <c r="K54" s="288">
        <f t="shared" si="33"/>
        <v>8734.2543860000005</v>
      </c>
      <c r="L54" s="288">
        <f t="shared" si="33"/>
        <v>10235.45435859375</v>
      </c>
      <c r="M54" s="288">
        <f t="shared" si="33"/>
        <v>10371.927083374998</v>
      </c>
      <c r="N54" s="288">
        <f t="shared" si="33"/>
        <v>11804.890693578125</v>
      </c>
      <c r="O54" s="303">
        <f>O52+O53</f>
        <v>109178.179825</v>
      </c>
      <c r="Q54" s="297" t="s">
        <v>38</v>
      </c>
      <c r="R54" s="298" t="str">
        <f t="shared" si="25"/>
        <v>YS + Yen.</v>
      </c>
      <c r="S54" s="302">
        <f>S52+S53</f>
        <v>24428.617735843753</v>
      </c>
      <c r="T54" s="302">
        <f>T52+T53</f>
        <v>27158.072231468748</v>
      </c>
      <c r="U54" s="302">
        <f>U52+U53</f>
        <v>25179.217722140624</v>
      </c>
      <c r="V54" s="302">
        <f>V52+V53</f>
        <v>32412.272135546875</v>
      </c>
      <c r="W54" s="291">
        <f>W52+W53</f>
        <v>109178.179825</v>
      </c>
    </row>
    <row r="55" spans="1:23" s="269" customFormat="1" ht="16" customHeight="1" x14ac:dyDescent="0.2">
      <c r="S55" s="292"/>
      <c r="T55" s="292"/>
      <c r="U55" s="292"/>
      <c r="V55" s="292"/>
      <c r="W55" s="292"/>
    </row>
    <row r="56" spans="1:23" s="269" customFormat="1" x14ac:dyDescent="0.2">
      <c r="A56" s="264" t="s">
        <v>171</v>
      </c>
      <c r="B56" s="264"/>
      <c r="C56" s="266" t="s">
        <v>131</v>
      </c>
      <c r="D56" s="266" t="s">
        <v>132</v>
      </c>
      <c r="E56" s="266" t="s">
        <v>133</v>
      </c>
      <c r="F56" s="266" t="s">
        <v>134</v>
      </c>
      <c r="G56" s="266" t="s">
        <v>135</v>
      </c>
      <c r="H56" s="266" t="s">
        <v>136</v>
      </c>
      <c r="I56" s="266" t="s">
        <v>137</v>
      </c>
      <c r="J56" s="266" t="s">
        <v>138</v>
      </c>
      <c r="K56" s="266" t="s">
        <v>139</v>
      </c>
      <c r="L56" s="266" t="s">
        <v>140</v>
      </c>
      <c r="M56" s="266" t="s">
        <v>141</v>
      </c>
      <c r="N56" s="266" t="s">
        <v>142</v>
      </c>
      <c r="O56" s="266" t="s">
        <v>143</v>
      </c>
      <c r="Q56" s="301" t="str">
        <f t="shared" ref="Q56:Q67" si="34">A56</f>
        <v>Özge Güler - (Nigar Uygun)  —  Direkt Satış</v>
      </c>
      <c r="R56" s="301"/>
      <c r="S56" s="266" t="s">
        <v>154</v>
      </c>
      <c r="T56" s="266" t="s">
        <v>155</v>
      </c>
      <c r="U56" s="266" t="s">
        <v>156</v>
      </c>
      <c r="V56" s="266" t="s">
        <v>157</v>
      </c>
      <c r="W56" s="266" t="s">
        <v>143</v>
      </c>
    </row>
    <row r="57" spans="1:23" s="269" customFormat="1" ht="16" hidden="1" customHeight="1" outlineLevel="1" x14ac:dyDescent="0.2">
      <c r="A57" s="293" t="s">
        <v>25</v>
      </c>
      <c r="B57" s="294" t="s">
        <v>26</v>
      </c>
      <c r="C57" s="276">
        <f>'SatışEkibi YS-Yen. Hed - 671'!$B$31*'SatışEkibi YS-Yen. Hed - 671'!$M46*'Satış YS-Yen.Hed (Ayık) - 671'!C$2</f>
        <v>356.25000000000006</v>
      </c>
      <c r="D57" s="276">
        <f>'SatışEkibi YS-Yen. Hed - 671'!$B$31*'SatışEkibi YS-Yen. Hed - 671'!$M46*'Satış YS-Yen.Hed (Ayık) - 671'!D$2</f>
        <v>356.25000000000006</v>
      </c>
      <c r="E57" s="276">
        <f>'SatışEkibi YS-Yen. Hed - 671'!$B$31*'SatışEkibi YS-Yen. Hed - 671'!$M46*'Satış YS-Yen.Hed (Ayık) - 671'!E$2</f>
        <v>406.25</v>
      </c>
      <c r="F57" s="276">
        <f>'SatışEkibi YS-Yen. Hed - 671'!$B$31*'SatışEkibi YS-Yen. Hed - 671'!$M46*'Satış YS-Yen.Hed (Ayık) - 671'!F$2</f>
        <v>396.875</v>
      </c>
      <c r="G57" s="276">
        <f>'SatışEkibi YS-Yen. Hed - 671'!$B$31*'SatışEkibi YS-Yen. Hed - 671'!$M46*'Satış YS-Yen.Hed (Ayık) - 671'!G$2</f>
        <v>396.875</v>
      </c>
      <c r="H57" s="276">
        <f>'SatışEkibi YS-Yen. Hed - 671'!$B$31*'SatışEkibi YS-Yen. Hed - 671'!$M46*'Satış YS-Yen.Hed (Ayık) - 671'!H$2</f>
        <v>449.99999999999989</v>
      </c>
      <c r="I57" s="276">
        <f>'SatışEkibi YS-Yen. Hed - 671'!$B$31*'SatışEkibi YS-Yen. Hed - 671'!$M46*'Satış YS-Yen.Hed (Ayık) - 671'!I$2</f>
        <v>375</v>
      </c>
      <c r="J57" s="276">
        <f>'SatışEkibi YS-Yen. Hed - 671'!$B$31*'SatışEkibi YS-Yen. Hed - 671'!$M46*'Satış YS-Yen.Hed (Ayık) - 671'!J$2</f>
        <v>378.125</v>
      </c>
      <c r="K57" s="276">
        <f>'SatışEkibi YS-Yen. Hed - 671'!$B$31*'SatışEkibi YS-Yen. Hed - 671'!$M46*'Satış YS-Yen.Hed (Ayık) - 671'!K$2</f>
        <v>400</v>
      </c>
      <c r="L57" s="276">
        <f>'SatışEkibi YS-Yen. Hed - 671'!$B$31*'SatışEkibi YS-Yen. Hed - 671'!$M46*'Satış YS-Yen.Hed (Ayık) - 671'!L$2</f>
        <v>468.74999999999994</v>
      </c>
      <c r="M57" s="276">
        <f>'SatışEkibi YS-Yen. Hed - 671'!$B$31*'SatışEkibi YS-Yen. Hed - 671'!$M46*'Satış YS-Yen.Hed (Ayık) - 671'!M$2</f>
        <v>474.99999999999994</v>
      </c>
      <c r="N57" s="276">
        <f>'SatışEkibi YS-Yen. Hed - 671'!$B$31*'SatışEkibi YS-Yen. Hed - 671'!$M46*'Satış YS-Yen.Hed (Ayık) - 671'!N$2</f>
        <v>540.625</v>
      </c>
      <c r="O57" s="295">
        <f t="shared" ref="O57:O67" si="35">SUM(C57:N57)</f>
        <v>5000</v>
      </c>
      <c r="Q57" s="277" t="str">
        <f t="shared" si="34"/>
        <v>Enroute</v>
      </c>
      <c r="R57" s="278" t="str">
        <f t="shared" ref="R57:R70" si="36">B57</f>
        <v>Yeni Satış</v>
      </c>
      <c r="S57" s="279">
        <f t="shared" ref="S57:S67" si="37">SUM(C57:E57)</f>
        <v>1118.75</v>
      </c>
      <c r="T57" s="279">
        <f t="shared" ref="T57:T67" si="38">SUM(F57:H57)</f>
        <v>1243.75</v>
      </c>
      <c r="U57" s="279">
        <f t="shared" ref="U57:U67" si="39">SUM(I57:K57)</f>
        <v>1153.125</v>
      </c>
      <c r="V57" s="279">
        <f t="shared" ref="V57:V67" si="40">SUM(L57:N57)</f>
        <v>1484.375</v>
      </c>
      <c r="W57" s="279">
        <f t="shared" ref="W57:W69" si="41">SUM(S57:V57)</f>
        <v>5000</v>
      </c>
    </row>
    <row r="58" spans="1:23" s="269" customFormat="1" ht="16" hidden="1" customHeight="1" outlineLevel="1" x14ac:dyDescent="0.2">
      <c r="A58" s="293" t="s">
        <v>25</v>
      </c>
      <c r="B58" s="294" t="s">
        <v>28</v>
      </c>
      <c r="C58" s="276">
        <f>'SatışEkibi YS-Yen. Hed - 671'!$B$31*'SatışEkibi YS-Yen. Hed - 671'!$M47*'Satış YS-Yen.Hed (Ayık) - 671'!C$2</f>
        <v>623.43750000000011</v>
      </c>
      <c r="D58" s="276">
        <f>'SatışEkibi YS-Yen. Hed - 671'!$B$31*'SatışEkibi YS-Yen. Hed - 671'!$M47*'Satış YS-Yen.Hed (Ayık) - 671'!D$2</f>
        <v>623.43750000000011</v>
      </c>
      <c r="E58" s="276">
        <f>'SatışEkibi YS-Yen. Hed - 671'!$B$31*'SatışEkibi YS-Yen. Hed - 671'!$M47*'Satış YS-Yen.Hed (Ayık) - 671'!E$2</f>
        <v>710.9375</v>
      </c>
      <c r="F58" s="276">
        <f>'SatışEkibi YS-Yen. Hed - 671'!$B$31*'SatışEkibi YS-Yen. Hed - 671'!$M47*'Satış YS-Yen.Hed (Ayık) - 671'!F$2</f>
        <v>694.53125</v>
      </c>
      <c r="G58" s="276">
        <f>'SatışEkibi YS-Yen. Hed - 671'!$B$31*'SatışEkibi YS-Yen. Hed - 671'!$M47*'Satış YS-Yen.Hed (Ayık) - 671'!G$2</f>
        <v>694.53125</v>
      </c>
      <c r="H58" s="276">
        <f>'SatışEkibi YS-Yen. Hed - 671'!$B$31*'SatışEkibi YS-Yen. Hed - 671'!$M47*'Satış YS-Yen.Hed (Ayık) - 671'!H$2</f>
        <v>787.49999999999989</v>
      </c>
      <c r="I58" s="276">
        <f>'SatışEkibi YS-Yen. Hed - 671'!$B$31*'SatışEkibi YS-Yen. Hed - 671'!$M47*'Satış YS-Yen.Hed (Ayık) - 671'!I$2</f>
        <v>656.25</v>
      </c>
      <c r="J58" s="276">
        <f>'SatışEkibi YS-Yen. Hed - 671'!$B$31*'SatışEkibi YS-Yen. Hed - 671'!$M47*'Satış YS-Yen.Hed (Ayık) - 671'!J$2</f>
        <v>661.71875</v>
      </c>
      <c r="K58" s="276">
        <f>'SatışEkibi YS-Yen. Hed - 671'!$B$31*'SatışEkibi YS-Yen. Hed - 671'!$M47*'Satış YS-Yen.Hed (Ayık) - 671'!K$2</f>
        <v>700</v>
      </c>
      <c r="L58" s="276">
        <f>'SatışEkibi YS-Yen. Hed - 671'!$B$31*'SatışEkibi YS-Yen. Hed - 671'!$M47*'Satış YS-Yen.Hed (Ayık) - 671'!L$2</f>
        <v>820.31249999999989</v>
      </c>
      <c r="M58" s="276">
        <f>'SatışEkibi YS-Yen. Hed - 671'!$B$31*'SatışEkibi YS-Yen. Hed - 671'!$M47*'Satış YS-Yen.Hed (Ayık) - 671'!M$2</f>
        <v>831.24999999999989</v>
      </c>
      <c r="N58" s="276">
        <f>'SatışEkibi YS-Yen. Hed - 671'!$B$31*'SatışEkibi YS-Yen. Hed - 671'!$M47*'Satış YS-Yen.Hed (Ayık) - 671'!N$2</f>
        <v>946.09375</v>
      </c>
      <c r="O58" s="295">
        <f t="shared" si="35"/>
        <v>8750</v>
      </c>
      <c r="Q58" s="277" t="str">
        <f t="shared" si="34"/>
        <v>Enroute</v>
      </c>
      <c r="R58" s="278" t="str">
        <f t="shared" si="36"/>
        <v>Yenileme</v>
      </c>
      <c r="S58" s="279">
        <f t="shared" si="37"/>
        <v>1957.8125000000002</v>
      </c>
      <c r="T58" s="279">
        <f t="shared" si="38"/>
        <v>2176.5625</v>
      </c>
      <c r="U58" s="279">
        <f t="shared" si="39"/>
        <v>2017.96875</v>
      </c>
      <c r="V58" s="279">
        <f t="shared" si="40"/>
        <v>2597.65625</v>
      </c>
      <c r="W58" s="279">
        <f t="shared" si="41"/>
        <v>8750</v>
      </c>
    </row>
    <row r="59" spans="1:23" s="269" customFormat="1" ht="16" hidden="1" customHeight="1" outlineLevel="1" x14ac:dyDescent="0.2">
      <c r="A59" s="293" t="s">
        <v>29</v>
      </c>
      <c r="B59" s="294" t="s">
        <v>26</v>
      </c>
      <c r="C59" s="276">
        <f>'SatışEkibi YS-Yen. Hed - 671'!$C$31*'SatışEkibi YS-Yen. Hed - 671'!$N46*'Satış YS-Yen.Hed (Ayık) - 671'!C$2</f>
        <v>224.58</v>
      </c>
      <c r="D59" s="276">
        <f>'SatışEkibi YS-Yen. Hed - 671'!$C$31*'SatışEkibi YS-Yen. Hed - 671'!$N46*'Satış YS-Yen.Hed (Ayık) - 671'!D$2</f>
        <v>224.58</v>
      </c>
      <c r="E59" s="276">
        <f>'SatışEkibi YS-Yen. Hed - 671'!$C$31*'SatışEkibi YS-Yen. Hed - 671'!$N46*'Satış YS-Yen.Hed (Ayık) - 671'!E$2</f>
        <v>256.10000000000002</v>
      </c>
      <c r="F59" s="276">
        <f>'SatışEkibi YS-Yen. Hed - 671'!$C$31*'SatışEkibi YS-Yen. Hed - 671'!$N46*'Satış YS-Yen.Hed (Ayık) - 671'!F$2</f>
        <v>250.19</v>
      </c>
      <c r="G59" s="276">
        <f>'SatışEkibi YS-Yen. Hed - 671'!$C$31*'SatışEkibi YS-Yen. Hed - 671'!$N46*'Satış YS-Yen.Hed (Ayık) - 671'!G$2</f>
        <v>250.19</v>
      </c>
      <c r="H59" s="276">
        <f>'SatışEkibi YS-Yen. Hed - 671'!$C$31*'SatışEkibi YS-Yen. Hed - 671'!$N46*'Satış YS-Yen.Hed (Ayık) - 671'!H$2</f>
        <v>283.67999999999995</v>
      </c>
      <c r="I59" s="276">
        <f>'SatışEkibi YS-Yen. Hed - 671'!$C$31*'SatışEkibi YS-Yen. Hed - 671'!$N46*'Satış YS-Yen.Hed (Ayık) - 671'!I$2</f>
        <v>236.39999999999998</v>
      </c>
      <c r="J59" s="276">
        <f>'SatışEkibi YS-Yen. Hed - 671'!$C$31*'SatışEkibi YS-Yen. Hed - 671'!$N46*'Satış YS-Yen.Hed (Ayık) - 671'!J$2</f>
        <v>238.37</v>
      </c>
      <c r="K59" s="276">
        <f>'SatışEkibi YS-Yen. Hed - 671'!$C$31*'SatışEkibi YS-Yen. Hed - 671'!$N46*'Satış YS-Yen.Hed (Ayık) - 671'!K$2</f>
        <v>252.16</v>
      </c>
      <c r="L59" s="276">
        <f>'SatışEkibi YS-Yen. Hed - 671'!$C$31*'SatışEkibi YS-Yen. Hed - 671'!$N46*'Satış YS-Yen.Hed (Ayık) - 671'!L$2</f>
        <v>295.49999999999994</v>
      </c>
      <c r="M59" s="276">
        <f>'SatışEkibi YS-Yen. Hed - 671'!$C$31*'SatışEkibi YS-Yen. Hed - 671'!$N46*'Satış YS-Yen.Hed (Ayık) - 671'!M$2</f>
        <v>299.43999999999994</v>
      </c>
      <c r="N59" s="276">
        <f>'SatışEkibi YS-Yen. Hed - 671'!$C$31*'SatışEkibi YS-Yen. Hed - 671'!$N46*'Satış YS-Yen.Hed (Ayık) - 671'!N$2</f>
        <v>340.81</v>
      </c>
      <c r="O59" s="295">
        <f t="shared" si="35"/>
        <v>3152</v>
      </c>
      <c r="Q59" s="277" t="str">
        <f t="shared" si="34"/>
        <v>Stokbar</v>
      </c>
      <c r="R59" s="278" t="str">
        <f t="shared" si="36"/>
        <v>Yeni Satış</v>
      </c>
      <c r="S59" s="279">
        <f t="shared" si="37"/>
        <v>705.26</v>
      </c>
      <c r="T59" s="279">
        <f t="shared" si="38"/>
        <v>784.06</v>
      </c>
      <c r="U59" s="279">
        <f t="shared" si="39"/>
        <v>726.93</v>
      </c>
      <c r="V59" s="279">
        <f t="shared" si="40"/>
        <v>935.74999999999977</v>
      </c>
      <c r="W59" s="279">
        <f t="shared" si="41"/>
        <v>3152</v>
      </c>
    </row>
    <row r="60" spans="1:23" s="269" customFormat="1" ht="16" hidden="1" customHeight="1" outlineLevel="1" x14ac:dyDescent="0.2">
      <c r="A60" s="293" t="s">
        <v>29</v>
      </c>
      <c r="B60" s="294" t="s">
        <v>28</v>
      </c>
      <c r="C60" s="276">
        <f>'SatışEkibi YS-Yen. Hed - 671'!$C$31*'SatışEkibi YS-Yen. Hed - 671'!$N47*'Satış YS-Yen.Hed (Ayık) - 671'!C$2</f>
        <v>128.96250000000001</v>
      </c>
      <c r="D60" s="276">
        <f>'SatışEkibi YS-Yen. Hed - 671'!$C$31*'SatışEkibi YS-Yen. Hed - 671'!$N47*'Satış YS-Yen.Hed (Ayık) - 671'!D$2</f>
        <v>128.96250000000001</v>
      </c>
      <c r="E60" s="276">
        <f>'SatışEkibi YS-Yen. Hed - 671'!$C$31*'SatışEkibi YS-Yen. Hed - 671'!$N47*'Satış YS-Yen.Hed (Ayık) - 671'!E$2</f>
        <v>147.0625</v>
      </c>
      <c r="F60" s="276">
        <f>'SatışEkibi YS-Yen. Hed - 671'!$C$31*'SatışEkibi YS-Yen. Hed - 671'!$N47*'Satış YS-Yen.Hed (Ayık) - 671'!F$2</f>
        <v>143.66874999999999</v>
      </c>
      <c r="G60" s="276">
        <f>'SatışEkibi YS-Yen. Hed - 671'!$C$31*'SatışEkibi YS-Yen. Hed - 671'!$N47*'Satış YS-Yen.Hed (Ayık) - 671'!G$2</f>
        <v>143.66874999999999</v>
      </c>
      <c r="H60" s="276">
        <f>'SatışEkibi YS-Yen. Hed - 671'!$C$31*'SatışEkibi YS-Yen. Hed - 671'!$N47*'Satış YS-Yen.Hed (Ayık) - 671'!H$2</f>
        <v>162.89999999999998</v>
      </c>
      <c r="I60" s="276">
        <f>'SatışEkibi YS-Yen. Hed - 671'!$C$31*'SatışEkibi YS-Yen. Hed - 671'!$N47*'Satış YS-Yen.Hed (Ayık) - 671'!I$2</f>
        <v>135.75</v>
      </c>
      <c r="J60" s="276">
        <f>'SatışEkibi YS-Yen. Hed - 671'!$C$31*'SatışEkibi YS-Yen. Hed - 671'!$N47*'Satış YS-Yen.Hed (Ayık) - 671'!J$2</f>
        <v>136.88124999999999</v>
      </c>
      <c r="K60" s="276">
        <f>'SatışEkibi YS-Yen. Hed - 671'!$C$31*'SatışEkibi YS-Yen. Hed - 671'!$N47*'Satış YS-Yen.Hed (Ayık) - 671'!K$2</f>
        <v>144.80000000000001</v>
      </c>
      <c r="L60" s="276">
        <f>'SatışEkibi YS-Yen. Hed - 671'!$C$31*'SatışEkibi YS-Yen. Hed - 671'!$N47*'Satış YS-Yen.Hed (Ayık) - 671'!L$2</f>
        <v>169.68749999999997</v>
      </c>
      <c r="M60" s="276">
        <f>'SatışEkibi YS-Yen. Hed - 671'!$C$31*'SatışEkibi YS-Yen. Hed - 671'!$N47*'Satış YS-Yen.Hed (Ayık) - 671'!M$2</f>
        <v>171.95</v>
      </c>
      <c r="N60" s="276">
        <f>'SatışEkibi YS-Yen. Hed - 671'!$C$31*'SatışEkibi YS-Yen. Hed - 671'!$N47*'Satış YS-Yen.Hed (Ayık) - 671'!N$2</f>
        <v>195.70625000000001</v>
      </c>
      <c r="O60" s="295">
        <f t="shared" si="35"/>
        <v>1810</v>
      </c>
      <c r="Q60" s="277" t="str">
        <f t="shared" si="34"/>
        <v>Stokbar</v>
      </c>
      <c r="R60" s="278" t="str">
        <f t="shared" si="36"/>
        <v>Yenileme</v>
      </c>
      <c r="S60" s="279">
        <f t="shared" si="37"/>
        <v>404.98750000000001</v>
      </c>
      <c r="T60" s="279">
        <f t="shared" si="38"/>
        <v>450.23749999999995</v>
      </c>
      <c r="U60" s="279">
        <f t="shared" si="39"/>
        <v>417.43125000000003</v>
      </c>
      <c r="V60" s="279">
        <f t="shared" si="40"/>
        <v>537.34375</v>
      </c>
      <c r="W60" s="279">
        <f t="shared" si="41"/>
        <v>1810</v>
      </c>
    </row>
    <row r="61" spans="1:23" s="269" customFormat="1" ht="16" hidden="1" customHeight="1" outlineLevel="1" x14ac:dyDescent="0.2">
      <c r="A61" s="293" t="s">
        <v>27</v>
      </c>
      <c r="B61" s="294" t="s">
        <v>26</v>
      </c>
      <c r="C61" s="276">
        <f>'SatışEkibi YS-Yen. Hed - 671'!$D$31*'SatışEkibi YS-Yen. Hed - 671'!$O46*'Satış YS-Yen.Hed (Ayık) - 671'!C$2</f>
        <v>267.89999999999998</v>
      </c>
      <c r="D61" s="276">
        <f>'SatışEkibi YS-Yen. Hed - 671'!$D$31*'SatışEkibi YS-Yen. Hed - 671'!$O46*'Satış YS-Yen.Hed (Ayık) - 671'!D$2</f>
        <v>267.89999999999998</v>
      </c>
      <c r="E61" s="276">
        <f>'SatışEkibi YS-Yen. Hed - 671'!$D$31*'SatışEkibi YS-Yen. Hed - 671'!$O46*'Satış YS-Yen.Hed (Ayık) - 671'!E$2</f>
        <v>305.5</v>
      </c>
      <c r="F61" s="276">
        <f>'SatışEkibi YS-Yen. Hed - 671'!$D$31*'SatışEkibi YS-Yen. Hed - 671'!$O46*'Satış YS-Yen.Hed (Ayık) - 671'!F$2</f>
        <v>298.45</v>
      </c>
      <c r="G61" s="276">
        <f>'SatışEkibi YS-Yen. Hed - 671'!$D$31*'SatışEkibi YS-Yen. Hed - 671'!$O46*'Satış YS-Yen.Hed (Ayık) - 671'!G$2</f>
        <v>298.45</v>
      </c>
      <c r="H61" s="276">
        <f>'SatışEkibi YS-Yen. Hed - 671'!$D$31*'SatışEkibi YS-Yen. Hed - 671'!$O46*'Satış YS-Yen.Hed (Ayık) - 671'!H$2</f>
        <v>338.39999999999992</v>
      </c>
      <c r="I61" s="276">
        <f>'SatışEkibi YS-Yen. Hed - 671'!$D$31*'SatışEkibi YS-Yen. Hed - 671'!$O46*'Satış YS-Yen.Hed (Ayık) - 671'!I$2</f>
        <v>281.99999999999994</v>
      </c>
      <c r="J61" s="276">
        <f>'SatışEkibi YS-Yen. Hed - 671'!$D$31*'SatışEkibi YS-Yen. Hed - 671'!$O46*'Satış YS-Yen.Hed (Ayık) - 671'!J$2</f>
        <v>284.34999999999997</v>
      </c>
      <c r="K61" s="276">
        <f>'SatışEkibi YS-Yen. Hed - 671'!$D$31*'SatışEkibi YS-Yen. Hed - 671'!$O46*'Satış YS-Yen.Hed (Ayık) - 671'!K$2</f>
        <v>300.79999999999995</v>
      </c>
      <c r="L61" s="276">
        <f>'SatışEkibi YS-Yen. Hed - 671'!$D$31*'SatışEkibi YS-Yen. Hed - 671'!$O46*'Satış YS-Yen.Hed (Ayık) - 671'!L$2</f>
        <v>352.49999999999989</v>
      </c>
      <c r="M61" s="276">
        <f>'SatışEkibi YS-Yen. Hed - 671'!$D$31*'SatışEkibi YS-Yen. Hed - 671'!$O46*'Satış YS-Yen.Hed (Ayık) - 671'!M$2</f>
        <v>357.19999999999993</v>
      </c>
      <c r="N61" s="276">
        <f>'SatışEkibi YS-Yen. Hed - 671'!$D$31*'SatışEkibi YS-Yen. Hed - 671'!$O46*'Satış YS-Yen.Hed (Ayık) - 671'!N$2</f>
        <v>406.54999999999995</v>
      </c>
      <c r="O61" s="295">
        <f t="shared" si="35"/>
        <v>3760</v>
      </c>
      <c r="Q61" s="277" t="str">
        <f t="shared" si="34"/>
        <v>Quest</v>
      </c>
      <c r="R61" s="278" t="str">
        <f t="shared" si="36"/>
        <v>Yeni Satış</v>
      </c>
      <c r="S61" s="279">
        <f t="shared" si="37"/>
        <v>841.3</v>
      </c>
      <c r="T61" s="279">
        <f t="shared" si="38"/>
        <v>935.3</v>
      </c>
      <c r="U61" s="279">
        <f t="shared" si="39"/>
        <v>867.14999999999986</v>
      </c>
      <c r="V61" s="279">
        <f t="shared" si="40"/>
        <v>1116.2499999999998</v>
      </c>
      <c r="W61" s="279">
        <f t="shared" si="41"/>
        <v>3760</v>
      </c>
    </row>
    <row r="62" spans="1:23" s="269" customFormat="1" ht="16" hidden="1" customHeight="1" outlineLevel="1" x14ac:dyDescent="0.2">
      <c r="A62" s="293" t="s">
        <v>27</v>
      </c>
      <c r="B62" s="294" t="s">
        <v>28</v>
      </c>
      <c r="C62" s="276">
        <f>'SatışEkibi YS-Yen. Hed - 671'!$D$31*'SatışEkibi YS-Yen. Hed - 671'!$O47*'Satış YS-Yen.Hed (Ayık) - 671'!C$2</f>
        <v>78.375000000000014</v>
      </c>
      <c r="D62" s="276">
        <f>'SatışEkibi YS-Yen. Hed - 671'!$D$31*'SatışEkibi YS-Yen. Hed - 671'!$O47*'Satış YS-Yen.Hed (Ayık) - 671'!D$2</f>
        <v>78.375000000000014</v>
      </c>
      <c r="E62" s="276">
        <f>'SatışEkibi YS-Yen. Hed - 671'!$D$31*'SatışEkibi YS-Yen. Hed - 671'!$O47*'Satış YS-Yen.Hed (Ayık) - 671'!E$2</f>
        <v>89.375</v>
      </c>
      <c r="F62" s="276">
        <f>'SatışEkibi YS-Yen. Hed - 671'!$D$31*'SatışEkibi YS-Yen. Hed - 671'!$O47*'Satış YS-Yen.Hed (Ayık) - 671'!F$2</f>
        <v>87.3125</v>
      </c>
      <c r="G62" s="276">
        <f>'SatışEkibi YS-Yen. Hed - 671'!$D$31*'SatışEkibi YS-Yen. Hed - 671'!$O47*'Satış YS-Yen.Hed (Ayık) - 671'!G$2</f>
        <v>87.3125</v>
      </c>
      <c r="H62" s="276">
        <f>'SatışEkibi YS-Yen. Hed - 671'!$D$31*'SatışEkibi YS-Yen. Hed - 671'!$O47*'Satış YS-Yen.Hed (Ayık) - 671'!H$2</f>
        <v>98.999999999999986</v>
      </c>
      <c r="I62" s="276">
        <f>'SatışEkibi YS-Yen. Hed - 671'!$D$31*'SatışEkibi YS-Yen. Hed - 671'!$O47*'Satış YS-Yen.Hed (Ayık) - 671'!I$2</f>
        <v>82.5</v>
      </c>
      <c r="J62" s="276">
        <f>'SatışEkibi YS-Yen. Hed - 671'!$D$31*'SatışEkibi YS-Yen. Hed - 671'!$O47*'Satış YS-Yen.Hed (Ayık) - 671'!J$2</f>
        <v>83.1875</v>
      </c>
      <c r="K62" s="276">
        <f>'SatışEkibi YS-Yen. Hed - 671'!$D$31*'SatışEkibi YS-Yen. Hed - 671'!$O47*'Satış YS-Yen.Hed (Ayık) - 671'!K$2</f>
        <v>88</v>
      </c>
      <c r="L62" s="276">
        <f>'SatışEkibi YS-Yen. Hed - 671'!$D$31*'SatışEkibi YS-Yen. Hed - 671'!$O47*'Satış YS-Yen.Hed (Ayık) - 671'!L$2</f>
        <v>103.12499999999999</v>
      </c>
      <c r="M62" s="276">
        <f>'SatışEkibi YS-Yen. Hed - 671'!$D$31*'SatışEkibi YS-Yen. Hed - 671'!$O47*'Satış YS-Yen.Hed (Ayık) - 671'!M$2</f>
        <v>104.49999999999999</v>
      </c>
      <c r="N62" s="276">
        <f>'SatışEkibi YS-Yen. Hed - 671'!$D$31*'SatışEkibi YS-Yen. Hed - 671'!$O47*'Satış YS-Yen.Hed (Ayık) - 671'!N$2</f>
        <v>118.9375</v>
      </c>
      <c r="O62" s="295">
        <f t="shared" si="35"/>
        <v>1100</v>
      </c>
      <c r="Q62" s="277" t="str">
        <f t="shared" si="34"/>
        <v>Quest</v>
      </c>
      <c r="R62" s="278" t="str">
        <f t="shared" si="36"/>
        <v>Yenileme</v>
      </c>
      <c r="S62" s="279">
        <f t="shared" si="37"/>
        <v>246.12500000000003</v>
      </c>
      <c r="T62" s="279">
        <f t="shared" si="38"/>
        <v>273.625</v>
      </c>
      <c r="U62" s="279">
        <f t="shared" si="39"/>
        <v>253.6875</v>
      </c>
      <c r="V62" s="279">
        <f t="shared" si="40"/>
        <v>326.5625</v>
      </c>
      <c r="W62" s="279">
        <f t="shared" si="41"/>
        <v>1100</v>
      </c>
    </row>
    <row r="63" spans="1:23" s="269" customFormat="1" ht="16" hidden="1" customHeight="1" outlineLevel="1" x14ac:dyDescent="0.2">
      <c r="A63" s="293" t="s">
        <v>32</v>
      </c>
      <c r="B63" s="294" t="s">
        <v>26</v>
      </c>
      <c r="C63" s="276">
        <f>'SatışEkibi YS-Yen. Hed - 671'!$F$31*'SatışEkibi YS-Yen. Hed - 671'!$Q46*'Satış YS-Yen.Hed (Ayık) - 671'!C$2</f>
        <v>35.625000000000007</v>
      </c>
      <c r="D63" s="276">
        <f>'SatışEkibi YS-Yen. Hed - 671'!$F$31*'SatışEkibi YS-Yen. Hed - 671'!$Q46*'Satış YS-Yen.Hed (Ayık) - 671'!D$2</f>
        <v>35.625000000000007</v>
      </c>
      <c r="E63" s="276">
        <f>'SatışEkibi YS-Yen. Hed - 671'!$F$31*'SatışEkibi YS-Yen. Hed - 671'!$Q46*'Satış YS-Yen.Hed (Ayık) - 671'!E$2</f>
        <v>40.625</v>
      </c>
      <c r="F63" s="276">
        <f>'SatışEkibi YS-Yen. Hed - 671'!$F$31*'SatışEkibi YS-Yen. Hed - 671'!$Q46*'Satış YS-Yen.Hed (Ayık) - 671'!F$2</f>
        <v>39.6875</v>
      </c>
      <c r="G63" s="276">
        <f>'SatışEkibi YS-Yen. Hed - 671'!$F$31*'SatışEkibi YS-Yen. Hed - 671'!$Q46*'Satış YS-Yen.Hed (Ayık) - 671'!G$2</f>
        <v>39.6875</v>
      </c>
      <c r="H63" s="276">
        <f>'SatışEkibi YS-Yen. Hed - 671'!$F$31*'SatışEkibi YS-Yen. Hed - 671'!$Q46*'Satış YS-Yen.Hed (Ayık) - 671'!H$2</f>
        <v>44.999999999999993</v>
      </c>
      <c r="I63" s="276">
        <f>'SatışEkibi YS-Yen. Hed - 671'!$F$31*'SatışEkibi YS-Yen. Hed - 671'!$Q46*'Satış YS-Yen.Hed (Ayık) - 671'!I$2</f>
        <v>37.5</v>
      </c>
      <c r="J63" s="276">
        <f>'SatışEkibi YS-Yen. Hed - 671'!$F$31*'SatışEkibi YS-Yen. Hed - 671'!$Q46*'Satış YS-Yen.Hed (Ayık) - 671'!J$2</f>
        <v>37.8125</v>
      </c>
      <c r="K63" s="276">
        <f>'SatışEkibi YS-Yen. Hed - 671'!$F$31*'SatışEkibi YS-Yen. Hed - 671'!$Q46*'Satış YS-Yen.Hed (Ayık) - 671'!K$2</f>
        <v>40</v>
      </c>
      <c r="L63" s="276">
        <f>'SatışEkibi YS-Yen. Hed - 671'!$F$31*'SatışEkibi YS-Yen. Hed - 671'!$Q46*'Satış YS-Yen.Hed (Ayık) - 671'!L$2</f>
        <v>46.874999999999993</v>
      </c>
      <c r="M63" s="276">
        <f>'SatışEkibi YS-Yen. Hed - 671'!$F$31*'SatışEkibi YS-Yen. Hed - 671'!$Q46*'Satış YS-Yen.Hed (Ayık) - 671'!M$2</f>
        <v>47.499999999999993</v>
      </c>
      <c r="N63" s="276">
        <f>'SatışEkibi YS-Yen. Hed - 671'!$F$31*'SatışEkibi YS-Yen. Hed - 671'!$Q46*'Satış YS-Yen.Hed (Ayık) - 671'!N$2</f>
        <v>54.0625</v>
      </c>
      <c r="O63" s="295">
        <f t="shared" si="35"/>
        <v>500</v>
      </c>
      <c r="Q63" s="277" t="str">
        <f t="shared" si="34"/>
        <v>Varuna</v>
      </c>
      <c r="R63" s="278" t="str">
        <f t="shared" si="36"/>
        <v>Yeni Satış</v>
      </c>
      <c r="S63" s="279">
        <f t="shared" si="37"/>
        <v>111.87500000000001</v>
      </c>
      <c r="T63" s="279">
        <f t="shared" si="38"/>
        <v>124.375</v>
      </c>
      <c r="U63" s="279">
        <f t="shared" si="39"/>
        <v>115.3125</v>
      </c>
      <c r="V63" s="279">
        <f t="shared" si="40"/>
        <v>148.4375</v>
      </c>
      <c r="W63" s="279">
        <f t="shared" si="41"/>
        <v>500</v>
      </c>
    </row>
    <row r="64" spans="1:23" s="269" customFormat="1" hidden="1" outlineLevel="1" x14ac:dyDescent="0.2">
      <c r="A64" s="293" t="s">
        <v>34</v>
      </c>
      <c r="B64" s="294" t="s">
        <v>26</v>
      </c>
      <c r="C64" s="276">
        <f>'SatışEkibi YS-Yen. Hed - 671'!$G$31*'SatışEkibi YS-Yen. Hed - 671'!$R46*'Satış YS-Yen.Hed (Ayık) - 671'!C$2</f>
        <v>71.250000000000014</v>
      </c>
      <c r="D64" s="276">
        <f>'SatışEkibi YS-Yen. Hed - 671'!$G$31*'SatışEkibi YS-Yen. Hed - 671'!$R46*'Satış YS-Yen.Hed (Ayık) - 671'!D$2</f>
        <v>71.250000000000014</v>
      </c>
      <c r="E64" s="276">
        <f>'SatışEkibi YS-Yen. Hed - 671'!$G$31*'SatışEkibi YS-Yen. Hed - 671'!$R46*'Satış YS-Yen.Hed (Ayık) - 671'!E$2</f>
        <v>81.25</v>
      </c>
      <c r="F64" s="276">
        <f>'SatışEkibi YS-Yen. Hed - 671'!$G$31*'SatışEkibi YS-Yen. Hed - 671'!$R46*'Satış YS-Yen.Hed (Ayık) - 671'!F$2</f>
        <v>79.375</v>
      </c>
      <c r="G64" s="276">
        <f>'SatışEkibi YS-Yen. Hed - 671'!$G$31*'SatışEkibi YS-Yen. Hed - 671'!$R46*'Satış YS-Yen.Hed (Ayık) - 671'!G$2</f>
        <v>79.375</v>
      </c>
      <c r="H64" s="276">
        <f>'SatışEkibi YS-Yen. Hed - 671'!$G$31*'SatışEkibi YS-Yen. Hed - 671'!$R46*'Satış YS-Yen.Hed (Ayık) - 671'!H$2</f>
        <v>89.999999999999986</v>
      </c>
      <c r="I64" s="276">
        <f>'SatışEkibi YS-Yen. Hed - 671'!$G$31*'SatışEkibi YS-Yen. Hed - 671'!$R46*'Satış YS-Yen.Hed (Ayık) - 671'!I$2</f>
        <v>75</v>
      </c>
      <c r="J64" s="276">
        <f>'SatışEkibi YS-Yen. Hed - 671'!$G$31*'SatışEkibi YS-Yen. Hed - 671'!$R46*'Satış YS-Yen.Hed (Ayık) - 671'!J$2</f>
        <v>75.625</v>
      </c>
      <c r="K64" s="276">
        <f>'SatışEkibi YS-Yen. Hed - 671'!$G$31*'SatışEkibi YS-Yen. Hed - 671'!$R46*'Satış YS-Yen.Hed (Ayık) - 671'!K$2</f>
        <v>80</v>
      </c>
      <c r="L64" s="276">
        <f>'SatışEkibi YS-Yen. Hed - 671'!$G$31*'SatışEkibi YS-Yen. Hed - 671'!$R46*'Satış YS-Yen.Hed (Ayık) - 671'!L$2</f>
        <v>93.749999999999986</v>
      </c>
      <c r="M64" s="276">
        <f>'SatışEkibi YS-Yen. Hed - 671'!$G$31*'SatışEkibi YS-Yen. Hed - 671'!$R46*'Satış YS-Yen.Hed (Ayık) - 671'!M$2</f>
        <v>94.999999999999986</v>
      </c>
      <c r="N64" s="276">
        <f>'SatışEkibi YS-Yen. Hed - 671'!$G$31*'SatışEkibi YS-Yen. Hed - 671'!$R46*'Satış YS-Yen.Hed (Ayık) - 671'!N$2</f>
        <v>108.125</v>
      </c>
      <c r="O64" s="295">
        <f t="shared" si="35"/>
        <v>1000</v>
      </c>
      <c r="Q64" s="277" t="str">
        <f t="shared" si="34"/>
        <v>Hosting</v>
      </c>
      <c r="R64" s="278" t="str">
        <f t="shared" si="36"/>
        <v>Yeni Satış</v>
      </c>
      <c r="S64" s="279">
        <f t="shared" si="37"/>
        <v>223.75000000000003</v>
      </c>
      <c r="T64" s="279">
        <f t="shared" si="38"/>
        <v>248.75</v>
      </c>
      <c r="U64" s="279">
        <f t="shared" si="39"/>
        <v>230.625</v>
      </c>
      <c r="V64" s="279">
        <f t="shared" si="40"/>
        <v>296.875</v>
      </c>
      <c r="W64" s="279">
        <f t="shared" si="41"/>
        <v>1000</v>
      </c>
    </row>
    <row r="65" spans="1:23" s="269" customFormat="1" ht="16" hidden="1" customHeight="1" outlineLevel="1" x14ac:dyDescent="0.2">
      <c r="A65" s="293" t="s">
        <v>53</v>
      </c>
      <c r="B65" s="294" t="s">
        <v>26</v>
      </c>
      <c r="C65" s="276">
        <f>'SatışEkibi YS-Yen. Hed - 671'!$H$46*'Satış YS-Yen.Hed (Ayık) - 671'!C$2</f>
        <v>285.00000000000006</v>
      </c>
      <c r="D65" s="276">
        <f>'SatışEkibi YS-Yen. Hed - 671'!$H$46*'Satış YS-Yen.Hed (Ayık) - 671'!D$2</f>
        <v>285.00000000000006</v>
      </c>
      <c r="E65" s="276">
        <f>'SatışEkibi YS-Yen. Hed - 671'!$H$46*'Satış YS-Yen.Hed (Ayık) - 671'!E$2</f>
        <v>325</v>
      </c>
      <c r="F65" s="276">
        <f>'SatışEkibi YS-Yen. Hed - 671'!$H$46*'Satış YS-Yen.Hed (Ayık) - 671'!F$2</f>
        <v>317.5</v>
      </c>
      <c r="G65" s="276">
        <f>'SatışEkibi YS-Yen. Hed - 671'!$H$46*'Satış YS-Yen.Hed (Ayık) - 671'!G$2</f>
        <v>317.5</v>
      </c>
      <c r="H65" s="276">
        <f>'SatışEkibi YS-Yen. Hed - 671'!$H$46*'Satış YS-Yen.Hed (Ayık) - 671'!H$2</f>
        <v>359.99999999999994</v>
      </c>
      <c r="I65" s="276">
        <f>'SatışEkibi YS-Yen. Hed - 671'!$H$46*'Satış YS-Yen.Hed (Ayık) - 671'!I$2</f>
        <v>300</v>
      </c>
      <c r="J65" s="276">
        <f>'SatışEkibi YS-Yen. Hed - 671'!$H$46*'Satış YS-Yen.Hed (Ayık) - 671'!J$2</f>
        <v>302.5</v>
      </c>
      <c r="K65" s="276">
        <f>'SatışEkibi YS-Yen. Hed - 671'!$H$46*'Satış YS-Yen.Hed (Ayık) - 671'!K$2</f>
        <v>320</v>
      </c>
      <c r="L65" s="276">
        <f>'SatışEkibi YS-Yen. Hed - 671'!$H$46*'Satış YS-Yen.Hed (Ayık) - 671'!L$2</f>
        <v>374.99999999999994</v>
      </c>
      <c r="M65" s="276">
        <f>'SatışEkibi YS-Yen. Hed - 671'!$H$46*'Satış YS-Yen.Hed (Ayık) - 671'!M$2</f>
        <v>379.99999999999994</v>
      </c>
      <c r="N65" s="276">
        <f>'SatışEkibi YS-Yen. Hed - 671'!$H$46*'Satış YS-Yen.Hed (Ayık) - 671'!N$2</f>
        <v>432.5</v>
      </c>
      <c r="O65" s="295">
        <f>SUM(C65:N65)</f>
        <v>4000</v>
      </c>
      <c r="Q65" s="277" t="str">
        <f t="shared" si="34"/>
        <v>E-Dönüşüm</v>
      </c>
      <c r="R65" s="278" t="str">
        <f t="shared" si="36"/>
        <v>Yeni Satış</v>
      </c>
      <c r="S65" s="279">
        <f t="shared" si="37"/>
        <v>895.00000000000011</v>
      </c>
      <c r="T65" s="279">
        <f t="shared" si="38"/>
        <v>995</v>
      </c>
      <c r="U65" s="279">
        <f t="shared" si="39"/>
        <v>922.5</v>
      </c>
      <c r="V65" s="279">
        <f t="shared" si="40"/>
        <v>1187.5</v>
      </c>
      <c r="W65" s="279">
        <f>SUM(S65:V65)</f>
        <v>4000</v>
      </c>
    </row>
    <row r="66" spans="1:23" s="269" customFormat="1" ht="16" hidden="1" customHeight="1" outlineLevel="1" x14ac:dyDescent="0.2">
      <c r="A66" s="293" t="s">
        <v>53</v>
      </c>
      <c r="B66" s="294" t="s">
        <v>28</v>
      </c>
      <c r="C66" s="276">
        <f>'SatışEkibi YS-Yen. Hed - 671'!$H$47*'Satış YS-Yen.Hed (Ayık) - 671'!C$2</f>
        <v>0</v>
      </c>
      <c r="D66" s="276">
        <f>'SatışEkibi YS-Yen. Hed - 671'!$H$47*'Satış YS-Yen.Hed (Ayık) - 671'!D$2</f>
        <v>0</v>
      </c>
      <c r="E66" s="276">
        <f>'SatışEkibi YS-Yen. Hed - 671'!$H$47*'Satış YS-Yen.Hed (Ayık) - 671'!E$2</f>
        <v>0</v>
      </c>
      <c r="F66" s="276">
        <f>'SatışEkibi YS-Yen. Hed - 671'!$H$47*'Satış YS-Yen.Hed (Ayık) - 671'!F$2</f>
        <v>0</v>
      </c>
      <c r="G66" s="276">
        <f>'SatışEkibi YS-Yen. Hed - 671'!$H$47*'Satış YS-Yen.Hed (Ayık) - 671'!G$2</f>
        <v>0</v>
      </c>
      <c r="H66" s="276">
        <f>'SatışEkibi YS-Yen. Hed - 671'!$H$47*'Satış YS-Yen.Hed (Ayık) - 671'!H$2</f>
        <v>0</v>
      </c>
      <c r="I66" s="276">
        <f>'SatışEkibi YS-Yen. Hed - 671'!$H$47*'Satış YS-Yen.Hed (Ayık) - 671'!I$2</f>
        <v>0</v>
      </c>
      <c r="J66" s="276">
        <f>'SatışEkibi YS-Yen. Hed - 671'!$H$47*'Satış YS-Yen.Hed (Ayık) - 671'!J$2</f>
        <v>0</v>
      </c>
      <c r="K66" s="276">
        <f>'SatışEkibi YS-Yen. Hed - 671'!$H$47*'Satış YS-Yen.Hed (Ayık) - 671'!K$2</f>
        <v>0</v>
      </c>
      <c r="L66" s="276">
        <f>'SatışEkibi YS-Yen. Hed - 671'!$H$47*'Satış YS-Yen.Hed (Ayık) - 671'!L$2</f>
        <v>0</v>
      </c>
      <c r="M66" s="276">
        <f>'SatışEkibi YS-Yen. Hed - 671'!$H$47*'Satış YS-Yen.Hed (Ayık) - 671'!M$2</f>
        <v>0</v>
      </c>
      <c r="N66" s="276">
        <f>'SatışEkibi YS-Yen. Hed - 671'!$H$47*'Satış YS-Yen.Hed (Ayık) - 671'!N$2</f>
        <v>0</v>
      </c>
      <c r="O66" s="295">
        <f>SUM(C66:N66)</f>
        <v>0</v>
      </c>
      <c r="Q66" s="277" t="str">
        <f t="shared" si="34"/>
        <v>E-Dönüşüm</v>
      </c>
      <c r="R66" s="278" t="str">
        <f t="shared" si="36"/>
        <v>Yenileme</v>
      </c>
      <c r="S66" s="279">
        <f t="shared" si="37"/>
        <v>0</v>
      </c>
      <c r="T66" s="279">
        <f t="shared" si="38"/>
        <v>0</v>
      </c>
      <c r="U66" s="279">
        <f t="shared" si="39"/>
        <v>0</v>
      </c>
      <c r="V66" s="279">
        <f t="shared" si="40"/>
        <v>0</v>
      </c>
      <c r="W66" s="279">
        <f>SUM(S66:V66)</f>
        <v>0</v>
      </c>
    </row>
    <row r="67" spans="1:23" s="269" customFormat="1" ht="16" hidden="1" customHeight="1" outlineLevel="1" x14ac:dyDescent="0.2">
      <c r="A67" s="293" t="s">
        <v>35</v>
      </c>
      <c r="B67" s="294" t="s">
        <v>26</v>
      </c>
      <c r="C67" s="276">
        <f>'SatışEkibi YS-Yen. Hed - 671'!$I$31*'SatışEkibi YS-Yen. Hed - 671'!$T46*'Satış YS-Yen.Hed (Ayık) - 671'!C$2</f>
        <v>106.87500000000001</v>
      </c>
      <c r="D67" s="276">
        <f>'SatışEkibi YS-Yen. Hed - 671'!$I$31*'SatışEkibi YS-Yen. Hed - 671'!$T46*'Satış YS-Yen.Hed (Ayık) - 671'!D$2</f>
        <v>106.87500000000001</v>
      </c>
      <c r="E67" s="276">
        <f>'SatışEkibi YS-Yen. Hed - 671'!$I$31*'SatışEkibi YS-Yen. Hed - 671'!$T46*'Satış YS-Yen.Hed (Ayık) - 671'!E$2</f>
        <v>121.875</v>
      </c>
      <c r="F67" s="276">
        <f>'SatışEkibi YS-Yen. Hed - 671'!$I$31*'SatışEkibi YS-Yen. Hed - 671'!$T46*'Satış YS-Yen.Hed (Ayık) - 671'!F$2</f>
        <v>119.0625</v>
      </c>
      <c r="G67" s="276">
        <f>'SatışEkibi YS-Yen. Hed - 671'!$I$31*'SatışEkibi YS-Yen. Hed - 671'!$T46*'Satış YS-Yen.Hed (Ayık) - 671'!G$2</f>
        <v>119.0625</v>
      </c>
      <c r="H67" s="276">
        <f>'SatışEkibi YS-Yen. Hed - 671'!$I$31*'SatışEkibi YS-Yen. Hed - 671'!$T46*'Satış YS-Yen.Hed (Ayık) - 671'!H$2</f>
        <v>134.99999999999997</v>
      </c>
      <c r="I67" s="276">
        <f>'SatışEkibi YS-Yen. Hed - 671'!$I$31*'SatışEkibi YS-Yen. Hed - 671'!$T46*'Satış YS-Yen.Hed (Ayık) - 671'!I$2</f>
        <v>112.5</v>
      </c>
      <c r="J67" s="276">
        <f>'SatışEkibi YS-Yen. Hed - 671'!$I$31*'SatışEkibi YS-Yen. Hed - 671'!$T46*'Satış YS-Yen.Hed (Ayık) - 671'!J$2</f>
        <v>113.4375</v>
      </c>
      <c r="K67" s="276">
        <f>'SatışEkibi YS-Yen. Hed - 671'!$I$31*'SatışEkibi YS-Yen. Hed - 671'!$T46*'Satış YS-Yen.Hed (Ayık) - 671'!K$2</f>
        <v>120</v>
      </c>
      <c r="L67" s="276">
        <f>'SatışEkibi YS-Yen. Hed - 671'!$I$31*'SatışEkibi YS-Yen. Hed - 671'!$T46*'Satış YS-Yen.Hed (Ayık) - 671'!L$2</f>
        <v>140.62499999999997</v>
      </c>
      <c r="M67" s="276">
        <f>'SatışEkibi YS-Yen. Hed - 671'!$I$31*'SatışEkibi YS-Yen. Hed - 671'!$T46*'Satış YS-Yen.Hed (Ayık) - 671'!M$2</f>
        <v>142.49999999999997</v>
      </c>
      <c r="N67" s="276">
        <f>'SatışEkibi YS-Yen. Hed - 671'!$I$31*'SatışEkibi YS-Yen. Hed - 671'!$T46*'Satış YS-Yen.Hed (Ayık) - 671'!N$2</f>
        <v>162.1875</v>
      </c>
      <c r="O67" s="295">
        <f t="shared" si="35"/>
        <v>1500</v>
      </c>
      <c r="Q67" s="277" t="str">
        <f t="shared" si="34"/>
        <v>BFH</v>
      </c>
      <c r="R67" s="278" t="str">
        <f t="shared" si="36"/>
        <v>Yeni Satış</v>
      </c>
      <c r="S67" s="279">
        <f t="shared" si="37"/>
        <v>335.625</v>
      </c>
      <c r="T67" s="279">
        <f t="shared" si="38"/>
        <v>373.125</v>
      </c>
      <c r="U67" s="279">
        <f t="shared" si="39"/>
        <v>345.9375</v>
      </c>
      <c r="V67" s="279">
        <f t="shared" si="40"/>
        <v>445.31249999999994</v>
      </c>
      <c r="W67" s="279">
        <f t="shared" si="41"/>
        <v>1500</v>
      </c>
    </row>
    <row r="68" spans="1:23" s="269" customFormat="1" ht="16" customHeight="1" collapsed="1" x14ac:dyDescent="0.2">
      <c r="A68" s="283" t="s">
        <v>30</v>
      </c>
      <c r="B68" s="284" t="s">
        <v>26</v>
      </c>
      <c r="C68" s="282">
        <f>SUMIF($B$57:$B$67,"Yeni Satış",C57:C67)</f>
        <v>1347.48</v>
      </c>
      <c r="D68" s="282">
        <f t="shared" ref="D68:N68" si="42">SUMIF($B$57:$B$67,"Yeni Satış",D57:D67)</f>
        <v>1347.48</v>
      </c>
      <c r="E68" s="282">
        <f t="shared" si="42"/>
        <v>1536.6</v>
      </c>
      <c r="F68" s="282">
        <f t="shared" si="42"/>
        <v>1501.14</v>
      </c>
      <c r="G68" s="282">
        <f t="shared" si="42"/>
        <v>1501.14</v>
      </c>
      <c r="H68" s="282">
        <f t="shared" si="42"/>
        <v>1702.0799999999997</v>
      </c>
      <c r="I68" s="282">
        <f t="shared" si="42"/>
        <v>1418.3999999999999</v>
      </c>
      <c r="J68" s="282">
        <f t="shared" si="42"/>
        <v>1430.22</v>
      </c>
      <c r="K68" s="282">
        <f t="shared" si="42"/>
        <v>1512.96</v>
      </c>
      <c r="L68" s="282">
        <f t="shared" si="42"/>
        <v>1772.9999999999998</v>
      </c>
      <c r="M68" s="282">
        <f t="shared" si="42"/>
        <v>1796.6399999999999</v>
      </c>
      <c r="N68" s="282">
        <f t="shared" si="42"/>
        <v>2044.86</v>
      </c>
      <c r="O68" s="282">
        <f>SUMIF($B$5:$B$15,"Yeni Satış",O57:O67)</f>
        <v>17062</v>
      </c>
      <c r="Q68" s="283" t="s">
        <v>30</v>
      </c>
      <c r="R68" s="284" t="str">
        <f t="shared" si="36"/>
        <v>Yeni Satış</v>
      </c>
      <c r="S68" s="285">
        <f>SUMIF(R57:R67,"Yeni Satış",S57:S67)</f>
        <v>4231.5599999999995</v>
      </c>
      <c r="T68" s="285">
        <f>SUMIF(R57:R67,"Yeni Satış",T57:T67)</f>
        <v>4704.3599999999997</v>
      </c>
      <c r="U68" s="285">
        <f>SUMIF(R57:R67,"Yeni Satış",U57:U67)</f>
        <v>4361.58</v>
      </c>
      <c r="V68" s="285">
        <f>SUMIF(R57:R67,"Yeni Satış",V57:V67)</f>
        <v>5614.5</v>
      </c>
      <c r="W68" s="285">
        <f t="shared" si="41"/>
        <v>18912</v>
      </c>
    </row>
    <row r="69" spans="1:23" s="269" customFormat="1" ht="16" customHeight="1" x14ac:dyDescent="0.2">
      <c r="A69" s="283" t="s">
        <v>30</v>
      </c>
      <c r="B69" s="284" t="s">
        <v>28</v>
      </c>
      <c r="C69" s="282">
        <f>SUMIF($B$57:$B$67,"Yenileme",C57:C68)</f>
        <v>830.77500000000009</v>
      </c>
      <c r="D69" s="282">
        <f t="shared" ref="D69:N69" si="43">SUMIF($B$57:$B$67,"Yenileme",D57:D68)</f>
        <v>830.77500000000009</v>
      </c>
      <c r="E69" s="282">
        <f t="shared" si="43"/>
        <v>947.375</v>
      </c>
      <c r="F69" s="282">
        <f t="shared" si="43"/>
        <v>925.51250000000005</v>
      </c>
      <c r="G69" s="282">
        <f t="shared" si="43"/>
        <v>925.51250000000005</v>
      </c>
      <c r="H69" s="282">
        <f t="shared" si="43"/>
        <v>1049.3999999999999</v>
      </c>
      <c r="I69" s="282">
        <f t="shared" si="43"/>
        <v>874.5</v>
      </c>
      <c r="J69" s="282">
        <f t="shared" si="43"/>
        <v>881.78750000000002</v>
      </c>
      <c r="K69" s="282">
        <f t="shared" si="43"/>
        <v>932.8</v>
      </c>
      <c r="L69" s="282">
        <f t="shared" si="43"/>
        <v>1093.1249999999998</v>
      </c>
      <c r="M69" s="282">
        <f t="shared" si="43"/>
        <v>1107.6999999999998</v>
      </c>
      <c r="N69" s="282">
        <f t="shared" si="43"/>
        <v>1260.7375</v>
      </c>
      <c r="O69" s="282">
        <f>SUMIF($B$5:$B$15,"Yenileme",O57:O67)</f>
        <v>13510</v>
      </c>
      <c r="Q69" s="283" t="s">
        <v>30</v>
      </c>
      <c r="R69" s="284" t="str">
        <f t="shared" si="36"/>
        <v>Yenileme</v>
      </c>
      <c r="S69" s="285">
        <f>SUMIF(R57:R67,"Yenileme",S57:S67)</f>
        <v>2608.9250000000002</v>
      </c>
      <c r="T69" s="285">
        <f>SUMIF(R57:R67,"Yenileme",T57:T67)</f>
        <v>2900.4250000000002</v>
      </c>
      <c r="U69" s="285">
        <f>SUMIF(R57:R67,"Yenileme",U57:U67)</f>
        <v>2689.0875000000001</v>
      </c>
      <c r="V69" s="285">
        <f>SUMIF(R57:R67,"Yenileme",V57:V67)</f>
        <v>3461.5625</v>
      </c>
      <c r="W69" s="285">
        <f t="shared" si="41"/>
        <v>11660</v>
      </c>
    </row>
    <row r="70" spans="1:23" s="269" customFormat="1" ht="16" customHeight="1" x14ac:dyDescent="0.2">
      <c r="A70" s="297" t="s">
        <v>38</v>
      </c>
      <c r="B70" s="298" t="s">
        <v>144</v>
      </c>
      <c r="C70" s="288">
        <f>SUM(C68:C69)</f>
        <v>2178.2550000000001</v>
      </c>
      <c r="D70" s="288">
        <f t="shared" ref="D70:N70" si="44">SUM(D68:D69)</f>
        <v>2178.2550000000001</v>
      </c>
      <c r="E70" s="288">
        <f t="shared" si="44"/>
        <v>2483.9749999999999</v>
      </c>
      <c r="F70" s="288">
        <f t="shared" si="44"/>
        <v>2426.6525000000001</v>
      </c>
      <c r="G70" s="288">
        <f t="shared" si="44"/>
        <v>2426.6525000000001</v>
      </c>
      <c r="H70" s="288">
        <f t="shared" si="44"/>
        <v>2751.4799999999996</v>
      </c>
      <c r="I70" s="288">
        <f t="shared" si="44"/>
        <v>2292.8999999999996</v>
      </c>
      <c r="J70" s="288">
        <f t="shared" si="44"/>
        <v>2312.0075000000002</v>
      </c>
      <c r="K70" s="288">
        <f t="shared" si="44"/>
        <v>2445.7600000000002</v>
      </c>
      <c r="L70" s="288">
        <f t="shared" si="44"/>
        <v>2866.1249999999995</v>
      </c>
      <c r="M70" s="288">
        <f t="shared" si="44"/>
        <v>2904.3399999999997</v>
      </c>
      <c r="N70" s="288">
        <f t="shared" si="44"/>
        <v>3305.5974999999999</v>
      </c>
      <c r="O70" s="304">
        <f>O68+O69</f>
        <v>30572</v>
      </c>
      <c r="Q70" s="297" t="s">
        <v>38</v>
      </c>
      <c r="R70" s="298" t="str">
        <f t="shared" si="36"/>
        <v>YS + Yen.</v>
      </c>
      <c r="S70" s="302">
        <f>S68+S69</f>
        <v>6840.4849999999997</v>
      </c>
      <c r="T70" s="302">
        <f>T68+T69</f>
        <v>7604.7849999999999</v>
      </c>
      <c r="U70" s="302">
        <f>U68+U69</f>
        <v>7050.6674999999996</v>
      </c>
      <c r="V70" s="302">
        <f>V68+V69</f>
        <v>9076.0625</v>
      </c>
      <c r="W70" s="291">
        <f>W68+W69</f>
        <v>30572</v>
      </c>
    </row>
    <row r="71" spans="1:23" s="269" customFormat="1" ht="16" customHeight="1" x14ac:dyDescent="0.2">
      <c r="S71" s="292"/>
      <c r="T71" s="292"/>
      <c r="U71" s="292"/>
      <c r="V71" s="292"/>
      <c r="W71" s="292"/>
    </row>
    <row r="72" spans="1:23" s="269" customFormat="1" x14ac:dyDescent="0.2">
      <c r="A72" s="264" t="s">
        <v>148</v>
      </c>
      <c r="B72" s="264"/>
      <c r="C72" s="266" t="s">
        <v>131</v>
      </c>
      <c r="D72" s="266" t="s">
        <v>132</v>
      </c>
      <c r="E72" s="266" t="s">
        <v>133</v>
      </c>
      <c r="F72" s="266" t="s">
        <v>134</v>
      </c>
      <c r="G72" s="266" t="s">
        <v>135</v>
      </c>
      <c r="H72" s="266" t="s">
        <v>136</v>
      </c>
      <c r="I72" s="266" t="s">
        <v>137</v>
      </c>
      <c r="J72" s="266" t="s">
        <v>138</v>
      </c>
      <c r="K72" s="266" t="s">
        <v>139</v>
      </c>
      <c r="L72" s="266" t="s">
        <v>140</v>
      </c>
      <c r="M72" s="266" t="s">
        <v>141</v>
      </c>
      <c r="N72" s="266" t="s">
        <v>142</v>
      </c>
      <c r="O72" s="266" t="s">
        <v>143</v>
      </c>
      <c r="Q72" s="301" t="str">
        <f t="shared" ref="Q72:Q84" si="45">A72</f>
        <v>Özge Güler  —  Direkt Satış</v>
      </c>
      <c r="R72" s="301"/>
      <c r="S72" s="266" t="s">
        <v>154</v>
      </c>
      <c r="T72" s="266" t="s">
        <v>155</v>
      </c>
      <c r="U72" s="266" t="s">
        <v>156</v>
      </c>
      <c r="V72" s="266" t="s">
        <v>157</v>
      </c>
      <c r="W72" s="266" t="s">
        <v>143</v>
      </c>
    </row>
    <row r="73" spans="1:23" s="269" customFormat="1" ht="16" hidden="1" customHeight="1" outlineLevel="1" x14ac:dyDescent="0.2">
      <c r="A73" s="293" t="s">
        <v>25</v>
      </c>
      <c r="B73" s="294" t="s">
        <v>26</v>
      </c>
      <c r="C73" s="276">
        <f>'SatışEkibi YS-Yen. Hed - 671'!$B$31*'SatışEkibi YS-Yen. Hed - 671'!$M49*'Satış YS-Yen.Hed (Ayık) - 671'!C$2</f>
        <v>356.25000000000006</v>
      </c>
      <c r="D73" s="276">
        <f>'SatışEkibi YS-Yen. Hed - 671'!$B$31*'SatışEkibi YS-Yen. Hed - 671'!$M49*'Satış YS-Yen.Hed (Ayık) - 671'!D$2</f>
        <v>356.25000000000006</v>
      </c>
      <c r="E73" s="276">
        <f>'SatışEkibi YS-Yen. Hed - 671'!$B$31*'SatışEkibi YS-Yen. Hed - 671'!$M49*'Satış YS-Yen.Hed (Ayık) - 671'!E$2</f>
        <v>406.25</v>
      </c>
      <c r="F73" s="276">
        <f>'SatışEkibi YS-Yen. Hed - 671'!$B$31*'SatışEkibi YS-Yen. Hed - 671'!$M49*'Satış YS-Yen.Hed (Ayık) - 671'!F$2</f>
        <v>396.875</v>
      </c>
      <c r="G73" s="276">
        <f>'SatışEkibi YS-Yen. Hed - 671'!$B$31*'SatışEkibi YS-Yen. Hed - 671'!$M49*'Satış YS-Yen.Hed (Ayık) - 671'!G$2</f>
        <v>396.875</v>
      </c>
      <c r="H73" s="276">
        <f>'SatışEkibi YS-Yen. Hed - 671'!$B$31*'SatışEkibi YS-Yen. Hed - 671'!$M49*'Satış YS-Yen.Hed (Ayık) - 671'!H$2</f>
        <v>449.99999999999989</v>
      </c>
      <c r="I73" s="276">
        <f>'SatışEkibi YS-Yen. Hed - 671'!$B$31*'SatışEkibi YS-Yen. Hed - 671'!$M49*'Satış YS-Yen.Hed (Ayık) - 671'!I$2</f>
        <v>375</v>
      </c>
      <c r="J73" s="276">
        <f>'SatışEkibi YS-Yen. Hed - 671'!$B$31*'SatışEkibi YS-Yen. Hed - 671'!$M49*'Satış YS-Yen.Hed (Ayık) - 671'!J$2</f>
        <v>378.125</v>
      </c>
      <c r="K73" s="276">
        <f>'SatışEkibi YS-Yen. Hed - 671'!$B$31*'SatışEkibi YS-Yen. Hed - 671'!$M49*'Satış YS-Yen.Hed (Ayık) - 671'!K$2</f>
        <v>400</v>
      </c>
      <c r="L73" s="276">
        <f>'SatışEkibi YS-Yen. Hed - 671'!$B$31*'SatışEkibi YS-Yen. Hed - 671'!$M49*'Satış YS-Yen.Hed (Ayık) - 671'!L$2</f>
        <v>468.74999999999994</v>
      </c>
      <c r="M73" s="276">
        <f>'SatışEkibi YS-Yen. Hed - 671'!$B$31*'SatışEkibi YS-Yen. Hed - 671'!$M49*'Satış YS-Yen.Hed (Ayık) - 671'!M$2</f>
        <v>474.99999999999994</v>
      </c>
      <c r="N73" s="276">
        <f>'SatışEkibi YS-Yen. Hed - 671'!$B$31*'SatışEkibi YS-Yen. Hed - 671'!$M49*'Satış YS-Yen.Hed (Ayık) - 671'!N$2</f>
        <v>540.625</v>
      </c>
      <c r="O73" s="295">
        <f t="shared" ref="O73:O84" si="46">SUM(C73:N73)</f>
        <v>5000</v>
      </c>
      <c r="Q73" s="277" t="str">
        <f t="shared" si="45"/>
        <v>Enroute</v>
      </c>
      <c r="R73" s="278" t="str">
        <f t="shared" ref="R73:R87" si="47">B73</f>
        <v>Yeni Satış</v>
      </c>
      <c r="S73" s="279">
        <f t="shared" ref="S73:S84" si="48">SUM(C73:E73)</f>
        <v>1118.75</v>
      </c>
      <c r="T73" s="279">
        <f t="shared" ref="T73:T84" si="49">SUM(F73:H73)</f>
        <v>1243.75</v>
      </c>
      <c r="U73" s="279">
        <f t="shared" ref="U73:U84" si="50">SUM(I73:K73)</f>
        <v>1153.125</v>
      </c>
      <c r="V73" s="279">
        <f t="shared" ref="V73:V84" si="51">SUM(L73:N73)</f>
        <v>1484.375</v>
      </c>
      <c r="W73" s="279">
        <f t="shared" ref="W73:W86" si="52">SUM(S73:V73)</f>
        <v>5000</v>
      </c>
    </row>
    <row r="74" spans="1:23" s="269" customFormat="1" ht="16" hidden="1" customHeight="1" outlineLevel="1" x14ac:dyDescent="0.2">
      <c r="A74" s="293" t="s">
        <v>25</v>
      </c>
      <c r="B74" s="294" t="s">
        <v>28</v>
      </c>
      <c r="C74" s="276">
        <f>'SatışEkibi YS-Yen. Hed - 671'!$B$31*'SatışEkibi YS-Yen. Hed - 671'!$M50*'Satış YS-Yen.Hed (Ayık) - 671'!C$2</f>
        <v>926.25000000000011</v>
      </c>
      <c r="D74" s="276">
        <f>'SatışEkibi YS-Yen. Hed - 671'!$B$31*'SatışEkibi YS-Yen. Hed - 671'!$M50*'Satış YS-Yen.Hed (Ayık) - 671'!D$2</f>
        <v>926.25000000000011</v>
      </c>
      <c r="E74" s="276">
        <f>'SatışEkibi YS-Yen. Hed - 671'!$B$31*'SatışEkibi YS-Yen. Hed - 671'!$M50*'Satış YS-Yen.Hed (Ayık) - 671'!E$2</f>
        <v>1056.25</v>
      </c>
      <c r="F74" s="276">
        <f>'SatışEkibi YS-Yen. Hed - 671'!$B$31*'SatışEkibi YS-Yen. Hed - 671'!$M50*'Satış YS-Yen.Hed (Ayık) - 671'!F$2</f>
        <v>1031.875</v>
      </c>
      <c r="G74" s="276">
        <f>'SatışEkibi YS-Yen. Hed - 671'!$B$31*'SatışEkibi YS-Yen. Hed - 671'!$M50*'Satış YS-Yen.Hed (Ayık) - 671'!G$2</f>
        <v>1031.875</v>
      </c>
      <c r="H74" s="276">
        <f>'SatışEkibi YS-Yen. Hed - 671'!$B$31*'SatışEkibi YS-Yen. Hed - 671'!$M50*'Satış YS-Yen.Hed (Ayık) - 671'!H$2</f>
        <v>1169.9999999999998</v>
      </c>
      <c r="I74" s="276">
        <f>'SatışEkibi YS-Yen. Hed - 671'!$B$31*'SatışEkibi YS-Yen. Hed - 671'!$M50*'Satış YS-Yen.Hed (Ayık) - 671'!I$2</f>
        <v>975</v>
      </c>
      <c r="J74" s="276">
        <f>'SatışEkibi YS-Yen. Hed - 671'!$B$31*'SatışEkibi YS-Yen. Hed - 671'!$M50*'Satış YS-Yen.Hed (Ayık) - 671'!J$2</f>
        <v>983.125</v>
      </c>
      <c r="K74" s="276">
        <f>'SatışEkibi YS-Yen. Hed - 671'!$B$31*'SatışEkibi YS-Yen. Hed - 671'!$M50*'Satış YS-Yen.Hed (Ayık) - 671'!K$2</f>
        <v>1040</v>
      </c>
      <c r="L74" s="276">
        <f>'SatışEkibi YS-Yen. Hed - 671'!$B$31*'SatışEkibi YS-Yen. Hed - 671'!$M50*'Satış YS-Yen.Hed (Ayık) - 671'!L$2</f>
        <v>1218.7499999999998</v>
      </c>
      <c r="M74" s="276">
        <f>'SatışEkibi YS-Yen. Hed - 671'!$B$31*'SatışEkibi YS-Yen. Hed - 671'!$M50*'Satış YS-Yen.Hed (Ayık) - 671'!M$2</f>
        <v>1234.9999999999998</v>
      </c>
      <c r="N74" s="276">
        <f>'SatışEkibi YS-Yen. Hed - 671'!$B$31*'SatışEkibi YS-Yen. Hed - 671'!$M50*'Satış YS-Yen.Hed (Ayık) - 671'!N$2</f>
        <v>1405.625</v>
      </c>
      <c r="O74" s="295">
        <f t="shared" si="46"/>
        <v>13000</v>
      </c>
      <c r="Q74" s="277" t="str">
        <f t="shared" si="45"/>
        <v>Enroute</v>
      </c>
      <c r="R74" s="278" t="str">
        <f t="shared" si="47"/>
        <v>Yenileme</v>
      </c>
      <c r="S74" s="279">
        <f t="shared" si="48"/>
        <v>2908.75</v>
      </c>
      <c r="T74" s="279">
        <f t="shared" si="49"/>
        <v>3233.75</v>
      </c>
      <c r="U74" s="279">
        <f t="shared" si="50"/>
        <v>2998.125</v>
      </c>
      <c r="V74" s="279">
        <f t="shared" si="51"/>
        <v>3859.3749999999995</v>
      </c>
      <c r="W74" s="279">
        <f t="shared" si="52"/>
        <v>13000</v>
      </c>
    </row>
    <row r="75" spans="1:23" s="269" customFormat="1" ht="16" hidden="1" customHeight="1" outlineLevel="1" x14ac:dyDescent="0.2">
      <c r="A75" s="293" t="s">
        <v>29</v>
      </c>
      <c r="B75" s="294" t="s">
        <v>26</v>
      </c>
      <c r="C75" s="276">
        <f>'SatışEkibi YS-Yen. Hed - 671'!$C$31*'SatışEkibi YS-Yen. Hed - 671'!$N49*'Satış YS-Yen.Hed (Ayık) - 671'!C$2</f>
        <v>142.50000000000003</v>
      </c>
      <c r="D75" s="276">
        <f>'SatışEkibi YS-Yen. Hed - 671'!$C$31*'SatışEkibi YS-Yen. Hed - 671'!$N49*'Satış YS-Yen.Hed (Ayık) - 671'!D$2</f>
        <v>142.50000000000003</v>
      </c>
      <c r="E75" s="276">
        <f>'SatışEkibi YS-Yen. Hed - 671'!$C$31*'SatışEkibi YS-Yen. Hed - 671'!$N49*'Satış YS-Yen.Hed (Ayık) - 671'!E$2</f>
        <v>162.5</v>
      </c>
      <c r="F75" s="276">
        <f>'SatışEkibi YS-Yen. Hed - 671'!$C$31*'SatışEkibi YS-Yen. Hed - 671'!$N49*'Satış YS-Yen.Hed (Ayık) - 671'!F$2</f>
        <v>158.75</v>
      </c>
      <c r="G75" s="276">
        <f>'SatışEkibi YS-Yen. Hed - 671'!$C$31*'SatışEkibi YS-Yen. Hed - 671'!$N49*'Satış YS-Yen.Hed (Ayık) - 671'!G$2</f>
        <v>158.75</v>
      </c>
      <c r="H75" s="276">
        <f>'SatışEkibi YS-Yen. Hed - 671'!$C$31*'SatışEkibi YS-Yen. Hed - 671'!$N49*'Satış YS-Yen.Hed (Ayık) - 671'!H$2</f>
        <v>179.99999999999997</v>
      </c>
      <c r="I75" s="276">
        <f>'SatışEkibi YS-Yen. Hed - 671'!$C$31*'SatışEkibi YS-Yen. Hed - 671'!$N49*'Satış YS-Yen.Hed (Ayık) - 671'!I$2</f>
        <v>150</v>
      </c>
      <c r="J75" s="276">
        <f>'SatışEkibi YS-Yen. Hed - 671'!$C$31*'SatışEkibi YS-Yen. Hed - 671'!$N49*'Satış YS-Yen.Hed (Ayık) - 671'!J$2</f>
        <v>151.25</v>
      </c>
      <c r="K75" s="276">
        <f>'SatışEkibi YS-Yen. Hed - 671'!$C$31*'SatışEkibi YS-Yen. Hed - 671'!$N49*'Satış YS-Yen.Hed (Ayık) - 671'!K$2</f>
        <v>160</v>
      </c>
      <c r="L75" s="276">
        <f>'SatışEkibi YS-Yen. Hed - 671'!$C$31*'SatışEkibi YS-Yen. Hed - 671'!$N49*'Satış YS-Yen.Hed (Ayık) - 671'!L$2</f>
        <v>187.49999999999997</v>
      </c>
      <c r="M75" s="276">
        <f>'SatışEkibi YS-Yen. Hed - 671'!$C$31*'SatışEkibi YS-Yen. Hed - 671'!$N49*'Satış YS-Yen.Hed (Ayık) - 671'!M$2</f>
        <v>189.99999999999997</v>
      </c>
      <c r="N75" s="276">
        <f>'SatışEkibi YS-Yen. Hed - 671'!$C$31*'SatışEkibi YS-Yen. Hed - 671'!$N49*'Satış YS-Yen.Hed (Ayık) - 671'!N$2</f>
        <v>216.25</v>
      </c>
      <c r="O75" s="295">
        <f t="shared" si="46"/>
        <v>2000</v>
      </c>
      <c r="Q75" s="277" t="str">
        <f t="shared" si="45"/>
        <v>Stokbar</v>
      </c>
      <c r="R75" s="278" t="str">
        <f t="shared" si="47"/>
        <v>Yeni Satış</v>
      </c>
      <c r="S75" s="279">
        <f t="shared" si="48"/>
        <v>447.50000000000006</v>
      </c>
      <c r="T75" s="279">
        <f t="shared" si="49"/>
        <v>497.5</v>
      </c>
      <c r="U75" s="279">
        <f t="shared" si="50"/>
        <v>461.25</v>
      </c>
      <c r="V75" s="279">
        <f t="shared" si="51"/>
        <v>593.75</v>
      </c>
      <c r="W75" s="279">
        <f t="shared" si="52"/>
        <v>2000</v>
      </c>
    </row>
    <row r="76" spans="1:23" s="269" customFormat="1" ht="16" hidden="1" customHeight="1" outlineLevel="1" x14ac:dyDescent="0.2">
      <c r="A76" s="293" t="s">
        <v>29</v>
      </c>
      <c r="B76" s="294" t="s">
        <v>28</v>
      </c>
      <c r="C76" s="276">
        <f>'SatışEkibi YS-Yen. Hed - 671'!$C$31*'SatışEkibi YS-Yen. Hed - 671'!$N50*'Satış YS-Yen.Hed (Ayık) - 671'!C$2</f>
        <v>170.92875000000001</v>
      </c>
      <c r="D76" s="276">
        <f>'SatışEkibi YS-Yen. Hed - 671'!$C$31*'SatışEkibi YS-Yen. Hed - 671'!$N50*'Satış YS-Yen.Hed (Ayık) - 671'!D$2</f>
        <v>170.92875000000001</v>
      </c>
      <c r="E76" s="276">
        <f>'SatışEkibi YS-Yen. Hed - 671'!$C$31*'SatışEkibi YS-Yen. Hed - 671'!$N50*'Satış YS-Yen.Hed (Ayık) - 671'!E$2</f>
        <v>194.91875000000002</v>
      </c>
      <c r="F76" s="276">
        <f>'SatışEkibi YS-Yen. Hed - 671'!$C$31*'SatışEkibi YS-Yen. Hed - 671'!$N50*'Satış YS-Yen.Hed (Ayık) - 671'!F$2</f>
        <v>190.420625</v>
      </c>
      <c r="G76" s="276">
        <f>'SatışEkibi YS-Yen. Hed - 671'!$C$31*'SatışEkibi YS-Yen. Hed - 671'!$N50*'Satış YS-Yen.Hed (Ayık) - 671'!G$2</f>
        <v>190.420625</v>
      </c>
      <c r="H76" s="276">
        <f>'SatışEkibi YS-Yen. Hed - 671'!$C$31*'SatışEkibi YS-Yen. Hed - 671'!$N50*'Satış YS-Yen.Hed (Ayık) - 671'!H$2</f>
        <v>215.90999999999997</v>
      </c>
      <c r="I76" s="276">
        <f>'SatışEkibi YS-Yen. Hed - 671'!$C$31*'SatışEkibi YS-Yen. Hed - 671'!$N50*'Satış YS-Yen.Hed (Ayık) - 671'!I$2</f>
        <v>179.92499999999998</v>
      </c>
      <c r="J76" s="276">
        <f>'SatışEkibi YS-Yen. Hed - 671'!$C$31*'SatışEkibi YS-Yen. Hed - 671'!$N50*'Satış YS-Yen.Hed (Ayık) - 671'!J$2</f>
        <v>181.424375</v>
      </c>
      <c r="K76" s="276">
        <f>'SatışEkibi YS-Yen. Hed - 671'!$C$31*'SatışEkibi YS-Yen. Hed - 671'!$N50*'Satış YS-Yen.Hed (Ayık) - 671'!K$2</f>
        <v>191.92000000000002</v>
      </c>
      <c r="L76" s="276">
        <f>'SatışEkibi YS-Yen. Hed - 671'!$C$31*'SatışEkibi YS-Yen. Hed - 671'!$N50*'Satış YS-Yen.Hed (Ayık) - 671'!L$2</f>
        <v>224.90624999999997</v>
      </c>
      <c r="M76" s="276">
        <f>'SatışEkibi YS-Yen. Hed - 671'!$C$31*'SatışEkibi YS-Yen. Hed - 671'!$N50*'Satış YS-Yen.Hed (Ayık) - 671'!M$2</f>
        <v>227.90499999999997</v>
      </c>
      <c r="N76" s="276">
        <f>'SatışEkibi YS-Yen. Hed - 671'!$C$31*'SatışEkibi YS-Yen. Hed - 671'!$N50*'Satış YS-Yen.Hed (Ayık) - 671'!N$2</f>
        <v>259.39187499999997</v>
      </c>
      <c r="O76" s="295">
        <f t="shared" si="46"/>
        <v>2398.9999999999995</v>
      </c>
      <c r="Q76" s="277" t="str">
        <f t="shared" si="45"/>
        <v>Stokbar</v>
      </c>
      <c r="R76" s="278" t="str">
        <f t="shared" si="47"/>
        <v>Yenileme</v>
      </c>
      <c r="S76" s="279">
        <f t="shared" si="48"/>
        <v>536.77625</v>
      </c>
      <c r="T76" s="279">
        <f t="shared" si="49"/>
        <v>596.75125000000003</v>
      </c>
      <c r="U76" s="279">
        <f t="shared" si="50"/>
        <v>553.26937500000008</v>
      </c>
      <c r="V76" s="279">
        <f t="shared" si="51"/>
        <v>712.203125</v>
      </c>
      <c r="W76" s="279">
        <f t="shared" si="52"/>
        <v>2399</v>
      </c>
    </row>
    <row r="77" spans="1:23" s="269" customFormat="1" ht="16" hidden="1" customHeight="1" outlineLevel="1" x14ac:dyDescent="0.2">
      <c r="A77" s="293" t="s">
        <v>27</v>
      </c>
      <c r="B77" s="294" t="s">
        <v>26</v>
      </c>
      <c r="C77" s="276">
        <f>'SatışEkibi YS-Yen. Hed - 671'!$D$31*'SatışEkibi YS-Yen. Hed - 671'!$O49*'Satış YS-Yen.Hed (Ayık) - 671'!C$2</f>
        <v>224.08125000000001</v>
      </c>
      <c r="D77" s="276">
        <f>'SatışEkibi YS-Yen. Hed - 671'!$D$31*'SatışEkibi YS-Yen. Hed - 671'!$O49*'Satış YS-Yen.Hed (Ayık) - 671'!D$2</f>
        <v>224.08125000000001</v>
      </c>
      <c r="E77" s="276">
        <f>'SatışEkibi YS-Yen. Hed - 671'!$D$31*'SatışEkibi YS-Yen. Hed - 671'!$O49*'Satış YS-Yen.Hed (Ayık) - 671'!E$2</f>
        <v>255.53125</v>
      </c>
      <c r="F77" s="276">
        <f>'SatışEkibi YS-Yen. Hed - 671'!$D$31*'SatışEkibi YS-Yen. Hed - 671'!$O49*'Satış YS-Yen.Hed (Ayık) - 671'!F$2</f>
        <v>249.63437500000001</v>
      </c>
      <c r="G77" s="276">
        <f>'SatışEkibi YS-Yen. Hed - 671'!$D$31*'SatışEkibi YS-Yen. Hed - 671'!$O49*'Satış YS-Yen.Hed (Ayık) - 671'!G$2</f>
        <v>249.63437500000001</v>
      </c>
      <c r="H77" s="276">
        <f>'SatışEkibi YS-Yen. Hed - 671'!$D$31*'SatışEkibi YS-Yen. Hed - 671'!$O49*'Satış YS-Yen.Hed (Ayık) - 671'!H$2</f>
        <v>283.04999999999995</v>
      </c>
      <c r="I77" s="276">
        <f>'SatışEkibi YS-Yen. Hed - 671'!$D$31*'SatışEkibi YS-Yen. Hed - 671'!$O49*'Satış YS-Yen.Hed (Ayık) - 671'!I$2</f>
        <v>235.875</v>
      </c>
      <c r="J77" s="276">
        <f>'SatışEkibi YS-Yen. Hed - 671'!$D$31*'SatışEkibi YS-Yen. Hed - 671'!$O49*'Satış YS-Yen.Hed (Ayık) - 671'!J$2</f>
        <v>237.84062499999999</v>
      </c>
      <c r="K77" s="276">
        <f>'SatışEkibi YS-Yen. Hed - 671'!$D$31*'SatışEkibi YS-Yen. Hed - 671'!$O49*'Satış YS-Yen.Hed (Ayık) - 671'!K$2</f>
        <v>251.6</v>
      </c>
      <c r="L77" s="276">
        <f>'SatışEkibi YS-Yen. Hed - 671'!$D$31*'SatışEkibi YS-Yen. Hed - 671'!$O49*'Satış YS-Yen.Hed (Ayık) - 671'!L$2</f>
        <v>294.84374999999994</v>
      </c>
      <c r="M77" s="276">
        <f>'SatışEkibi YS-Yen. Hed - 671'!$D$31*'SatışEkibi YS-Yen. Hed - 671'!$O49*'Satış YS-Yen.Hed (Ayık) - 671'!M$2</f>
        <v>298.77499999999998</v>
      </c>
      <c r="N77" s="276">
        <f>'SatışEkibi YS-Yen. Hed - 671'!$D$31*'SatışEkibi YS-Yen. Hed - 671'!$O49*'Satış YS-Yen.Hed (Ayık) - 671'!N$2</f>
        <v>340.05312500000002</v>
      </c>
      <c r="O77" s="295">
        <f t="shared" si="46"/>
        <v>3145</v>
      </c>
      <c r="Q77" s="277" t="str">
        <f t="shared" si="45"/>
        <v>Quest</v>
      </c>
      <c r="R77" s="278" t="str">
        <f t="shared" si="47"/>
        <v>Yeni Satış</v>
      </c>
      <c r="S77" s="279">
        <f t="shared" si="48"/>
        <v>703.69375000000002</v>
      </c>
      <c r="T77" s="279">
        <f t="shared" si="49"/>
        <v>782.31874999999991</v>
      </c>
      <c r="U77" s="279">
        <f t="shared" si="50"/>
        <v>725.31562499999995</v>
      </c>
      <c r="V77" s="279">
        <f t="shared" si="51"/>
        <v>933.67187499999989</v>
      </c>
      <c r="W77" s="279">
        <f t="shared" si="52"/>
        <v>3145</v>
      </c>
    </row>
    <row r="78" spans="1:23" s="269" customFormat="1" ht="16" hidden="1" customHeight="1" outlineLevel="1" x14ac:dyDescent="0.2">
      <c r="A78" s="293" t="s">
        <v>27</v>
      </c>
      <c r="B78" s="294" t="s">
        <v>28</v>
      </c>
      <c r="C78" s="276">
        <f>'SatışEkibi YS-Yen. Hed - 671'!$D$31*'SatışEkibi YS-Yen. Hed - 671'!$O50*'Satış YS-Yen.Hed (Ayık) - 671'!C$2</f>
        <v>135.74040376302636</v>
      </c>
      <c r="D78" s="276">
        <f>'SatışEkibi YS-Yen. Hed - 671'!$D$31*'SatışEkibi YS-Yen. Hed - 671'!$O50*'Satış YS-Yen.Hed (Ayık) - 671'!D$2</f>
        <v>135.74040376302636</v>
      </c>
      <c r="E78" s="276">
        <f>'SatışEkibi YS-Yen. Hed - 671'!$D$31*'SatışEkibi YS-Yen. Hed - 671'!$O50*'Satış YS-Yen.Hed (Ayık) - 671'!E$2</f>
        <v>154.79168850169671</v>
      </c>
      <c r="F78" s="276">
        <f>'SatışEkibi YS-Yen. Hed - 671'!$D$31*'SatışEkibi YS-Yen. Hed - 671'!$O50*'Satış YS-Yen.Hed (Ayık) - 671'!F$2</f>
        <v>151.21957261319602</v>
      </c>
      <c r="G78" s="276">
        <f>'SatışEkibi YS-Yen. Hed - 671'!$D$31*'SatışEkibi YS-Yen. Hed - 671'!$O50*'Satış YS-Yen.Hed (Ayık) - 671'!G$2</f>
        <v>151.21957261319602</v>
      </c>
      <c r="H78" s="276">
        <f>'SatışEkibi YS-Yen. Hed - 671'!$D$31*'SatışEkibi YS-Yen. Hed - 671'!$O50*'Satış YS-Yen.Hed (Ayık) - 671'!H$2</f>
        <v>171.46156264803324</v>
      </c>
      <c r="I78" s="276">
        <f>'SatışEkibi YS-Yen. Hed - 671'!$D$31*'SatışEkibi YS-Yen. Hed - 671'!$O50*'Satış YS-Yen.Hed (Ayık) - 671'!I$2</f>
        <v>142.88463554002772</v>
      </c>
      <c r="J78" s="276">
        <f>'SatışEkibi YS-Yen. Hed - 671'!$D$31*'SatışEkibi YS-Yen. Hed - 671'!$O50*'Satış YS-Yen.Hed (Ayık) - 671'!J$2</f>
        <v>144.07534083619461</v>
      </c>
      <c r="K78" s="276">
        <f>'SatışEkibi YS-Yen. Hed - 671'!$D$31*'SatışEkibi YS-Yen. Hed - 671'!$O50*'Satış YS-Yen.Hed (Ayık) - 671'!K$2</f>
        <v>152.41027790936292</v>
      </c>
      <c r="L78" s="276">
        <f>'SatışEkibi YS-Yen. Hed - 671'!$D$31*'SatışEkibi YS-Yen. Hed - 671'!$O50*'Satış YS-Yen.Hed (Ayık) - 671'!L$2</f>
        <v>178.60579442503462</v>
      </c>
      <c r="M78" s="276">
        <f>'SatışEkibi YS-Yen. Hed - 671'!$D$31*'SatışEkibi YS-Yen. Hed - 671'!$O50*'Satış YS-Yen.Hed (Ayık) - 671'!M$2</f>
        <v>180.98720501736841</v>
      </c>
      <c r="N78" s="276">
        <f>'SatışEkibi YS-Yen. Hed - 671'!$D$31*'SatışEkibi YS-Yen. Hed - 671'!$O50*'Satış YS-Yen.Hed (Ayık) - 671'!N$2</f>
        <v>205.9920162368733</v>
      </c>
      <c r="O78" s="295">
        <f t="shared" si="46"/>
        <v>1905.1284738670363</v>
      </c>
      <c r="Q78" s="277" t="str">
        <f t="shared" si="45"/>
        <v>Quest</v>
      </c>
      <c r="R78" s="278" t="str">
        <f t="shared" si="47"/>
        <v>Yenileme</v>
      </c>
      <c r="S78" s="279">
        <f t="shared" si="48"/>
        <v>426.27249602774941</v>
      </c>
      <c r="T78" s="279">
        <f t="shared" si="49"/>
        <v>473.90070787442528</v>
      </c>
      <c r="U78" s="279">
        <f t="shared" si="50"/>
        <v>439.37025428558525</v>
      </c>
      <c r="V78" s="279">
        <f t="shared" si="51"/>
        <v>565.58501567927635</v>
      </c>
      <c r="W78" s="279">
        <f t="shared" si="52"/>
        <v>1905.1284738670361</v>
      </c>
    </row>
    <row r="79" spans="1:23" s="269" customFormat="1" ht="16" hidden="1" customHeight="1" outlineLevel="1" x14ac:dyDescent="0.2">
      <c r="A79" s="293" t="s">
        <v>32</v>
      </c>
      <c r="B79" s="294" t="s">
        <v>26</v>
      </c>
      <c r="C79" s="276">
        <f>'SatışEkibi YS-Yen. Hed - 671'!$F$31*'SatışEkibi YS-Yen. Hed - 671'!$Q49*'Satış YS-Yen.Hed (Ayık) - 671'!C$2</f>
        <v>53.437500000000007</v>
      </c>
      <c r="D79" s="276">
        <f>'SatışEkibi YS-Yen. Hed - 671'!$F$31*'SatışEkibi YS-Yen. Hed - 671'!$Q49*'Satış YS-Yen.Hed (Ayık) - 671'!D$2</f>
        <v>53.437500000000007</v>
      </c>
      <c r="E79" s="276">
        <f>'SatışEkibi YS-Yen. Hed - 671'!$F$31*'SatışEkibi YS-Yen. Hed - 671'!$Q49*'Satış YS-Yen.Hed (Ayık) - 671'!E$2</f>
        <v>60.9375</v>
      </c>
      <c r="F79" s="276">
        <f>'SatışEkibi YS-Yen. Hed - 671'!$F$31*'SatışEkibi YS-Yen. Hed - 671'!$Q49*'Satış YS-Yen.Hed (Ayık) - 671'!F$2</f>
        <v>59.53125</v>
      </c>
      <c r="G79" s="276">
        <f>'SatışEkibi YS-Yen. Hed - 671'!$F$31*'SatışEkibi YS-Yen. Hed - 671'!$Q49*'Satış YS-Yen.Hed (Ayık) - 671'!G$2</f>
        <v>59.53125</v>
      </c>
      <c r="H79" s="276">
        <f>'SatışEkibi YS-Yen. Hed - 671'!$F$31*'SatışEkibi YS-Yen. Hed - 671'!$Q49*'Satış YS-Yen.Hed (Ayık) - 671'!H$2</f>
        <v>67.499999999999986</v>
      </c>
      <c r="I79" s="276">
        <f>'SatışEkibi YS-Yen. Hed - 671'!$F$31*'SatışEkibi YS-Yen. Hed - 671'!$Q49*'Satış YS-Yen.Hed (Ayık) - 671'!I$2</f>
        <v>56.25</v>
      </c>
      <c r="J79" s="276">
        <f>'SatışEkibi YS-Yen. Hed - 671'!$F$31*'SatışEkibi YS-Yen. Hed - 671'!$Q49*'Satış YS-Yen.Hed (Ayık) - 671'!J$2</f>
        <v>56.71875</v>
      </c>
      <c r="K79" s="276">
        <f>'SatışEkibi YS-Yen. Hed - 671'!$F$31*'SatışEkibi YS-Yen. Hed - 671'!$Q49*'Satış YS-Yen.Hed (Ayık) - 671'!K$2</f>
        <v>60</v>
      </c>
      <c r="L79" s="276">
        <f>'SatışEkibi YS-Yen. Hed - 671'!$F$31*'SatışEkibi YS-Yen. Hed - 671'!$Q49*'Satış YS-Yen.Hed (Ayık) - 671'!L$2</f>
        <v>70.312499999999986</v>
      </c>
      <c r="M79" s="276">
        <f>'SatışEkibi YS-Yen. Hed - 671'!$F$31*'SatışEkibi YS-Yen. Hed - 671'!$Q49*'Satış YS-Yen.Hed (Ayık) - 671'!M$2</f>
        <v>71.249999999999986</v>
      </c>
      <c r="N79" s="276">
        <f>'SatışEkibi YS-Yen. Hed - 671'!$F$31*'SatışEkibi YS-Yen. Hed - 671'!$Q49*'Satış YS-Yen.Hed (Ayık) - 671'!N$2</f>
        <v>81.09375</v>
      </c>
      <c r="O79" s="295">
        <f t="shared" si="46"/>
        <v>750</v>
      </c>
      <c r="Q79" s="277" t="str">
        <f t="shared" si="45"/>
        <v>Varuna</v>
      </c>
      <c r="R79" s="278" t="str">
        <f t="shared" si="47"/>
        <v>Yeni Satış</v>
      </c>
      <c r="S79" s="279">
        <f t="shared" si="48"/>
        <v>167.8125</v>
      </c>
      <c r="T79" s="279">
        <f t="shared" si="49"/>
        <v>186.5625</v>
      </c>
      <c r="U79" s="279">
        <f t="shared" si="50"/>
        <v>172.96875</v>
      </c>
      <c r="V79" s="279">
        <f t="shared" si="51"/>
        <v>222.65624999999997</v>
      </c>
      <c r="W79" s="279">
        <f t="shared" si="52"/>
        <v>750</v>
      </c>
    </row>
    <row r="80" spans="1:23" s="269" customFormat="1" ht="16" hidden="1" customHeight="1" outlineLevel="1" x14ac:dyDescent="0.2">
      <c r="A80" s="293" t="s">
        <v>34</v>
      </c>
      <c r="B80" s="294" t="s">
        <v>26</v>
      </c>
      <c r="C80" s="276">
        <f>'SatışEkibi YS-Yen. Hed - 671'!$G$31*'SatışEkibi YS-Yen. Hed - 671'!$R49*'Satış YS-Yen.Hed (Ayık) - 671'!C$2</f>
        <v>71.250000000000014</v>
      </c>
      <c r="D80" s="276">
        <f>'SatışEkibi YS-Yen. Hed - 671'!$G$31*'SatışEkibi YS-Yen. Hed - 671'!$R49*'Satış YS-Yen.Hed (Ayık) - 671'!D$2</f>
        <v>71.250000000000014</v>
      </c>
      <c r="E80" s="276">
        <f>'SatışEkibi YS-Yen. Hed - 671'!$G$31*'SatışEkibi YS-Yen. Hed - 671'!$R49*'Satış YS-Yen.Hed (Ayık) - 671'!E$2</f>
        <v>81.25</v>
      </c>
      <c r="F80" s="276">
        <f>'SatışEkibi YS-Yen. Hed - 671'!$G$31*'SatışEkibi YS-Yen. Hed - 671'!$R49*'Satış YS-Yen.Hed (Ayık) - 671'!F$2</f>
        <v>79.375</v>
      </c>
      <c r="G80" s="276">
        <f>'SatışEkibi YS-Yen. Hed - 671'!$G$31*'SatışEkibi YS-Yen. Hed - 671'!$R49*'Satış YS-Yen.Hed (Ayık) - 671'!G$2</f>
        <v>79.375</v>
      </c>
      <c r="H80" s="276">
        <f>'SatışEkibi YS-Yen. Hed - 671'!$G$31*'SatışEkibi YS-Yen. Hed - 671'!$R49*'Satış YS-Yen.Hed (Ayık) - 671'!H$2</f>
        <v>89.999999999999986</v>
      </c>
      <c r="I80" s="276">
        <f>'SatışEkibi YS-Yen. Hed - 671'!$G$31*'SatışEkibi YS-Yen. Hed - 671'!$R49*'Satış YS-Yen.Hed (Ayık) - 671'!I$2</f>
        <v>75</v>
      </c>
      <c r="J80" s="276">
        <f>'SatışEkibi YS-Yen. Hed - 671'!$G$31*'SatışEkibi YS-Yen. Hed - 671'!$R49*'Satış YS-Yen.Hed (Ayık) - 671'!J$2</f>
        <v>75.625</v>
      </c>
      <c r="K80" s="276">
        <f>'SatışEkibi YS-Yen. Hed - 671'!$G$31*'SatışEkibi YS-Yen. Hed - 671'!$R49*'Satış YS-Yen.Hed (Ayık) - 671'!K$2</f>
        <v>80</v>
      </c>
      <c r="L80" s="276">
        <f>'SatışEkibi YS-Yen. Hed - 671'!$G$31*'SatışEkibi YS-Yen. Hed - 671'!$R49*'Satış YS-Yen.Hed (Ayık) - 671'!L$2</f>
        <v>93.749999999999986</v>
      </c>
      <c r="M80" s="276">
        <f>'SatışEkibi YS-Yen. Hed - 671'!$G$31*'SatışEkibi YS-Yen. Hed - 671'!$R49*'Satış YS-Yen.Hed (Ayık) - 671'!M$2</f>
        <v>94.999999999999986</v>
      </c>
      <c r="N80" s="276">
        <f>'SatışEkibi YS-Yen. Hed - 671'!$G$31*'SatışEkibi YS-Yen. Hed - 671'!$R49*'Satış YS-Yen.Hed (Ayık) - 671'!N$2</f>
        <v>108.125</v>
      </c>
      <c r="O80" s="295">
        <f t="shared" si="46"/>
        <v>1000</v>
      </c>
      <c r="Q80" s="277" t="str">
        <f t="shared" si="45"/>
        <v>Hosting</v>
      </c>
      <c r="R80" s="278" t="str">
        <f t="shared" si="47"/>
        <v>Yeni Satış</v>
      </c>
      <c r="S80" s="279">
        <f t="shared" si="48"/>
        <v>223.75000000000003</v>
      </c>
      <c r="T80" s="279">
        <f t="shared" si="49"/>
        <v>248.75</v>
      </c>
      <c r="U80" s="279">
        <f t="shared" si="50"/>
        <v>230.625</v>
      </c>
      <c r="V80" s="279">
        <f t="shared" si="51"/>
        <v>296.875</v>
      </c>
      <c r="W80" s="279">
        <f t="shared" si="52"/>
        <v>1000</v>
      </c>
    </row>
    <row r="81" spans="1:23" s="269" customFormat="1" ht="16" hidden="1" customHeight="1" outlineLevel="1" x14ac:dyDescent="0.2">
      <c r="A81" s="293" t="s">
        <v>34</v>
      </c>
      <c r="B81" s="294" t="s">
        <v>28</v>
      </c>
      <c r="C81" s="276">
        <f>'SatışEkibi YS-Yen. Hed - 671'!$G$31*'SatışEkibi YS-Yen. Hed - 671'!$R50*'Satış YS-Yen.Hed (Ayık) - 671'!C$2</f>
        <v>458.92125000000004</v>
      </c>
      <c r="D81" s="276">
        <f>'SatışEkibi YS-Yen. Hed - 671'!$G$31*'SatışEkibi YS-Yen. Hed - 671'!$R50*'Satış YS-Yen.Hed (Ayık) - 671'!D$2</f>
        <v>458.92125000000004</v>
      </c>
      <c r="E81" s="276">
        <f>'SatışEkibi YS-Yen. Hed - 671'!$G$31*'SatışEkibi YS-Yen. Hed - 671'!$R50*'Satış YS-Yen.Hed (Ayık) - 671'!E$2</f>
        <v>523.33125000000007</v>
      </c>
      <c r="F81" s="276">
        <f>'SatışEkibi YS-Yen. Hed - 671'!$G$31*'SatışEkibi YS-Yen. Hed - 671'!$R50*'Satış YS-Yen.Hed (Ayık) - 671'!F$2</f>
        <v>511.25437499999998</v>
      </c>
      <c r="G81" s="276">
        <f>'SatışEkibi YS-Yen. Hed - 671'!$G$31*'SatışEkibi YS-Yen. Hed - 671'!$R50*'Satış YS-Yen.Hed (Ayık) - 671'!G$2</f>
        <v>511.25437499999998</v>
      </c>
      <c r="H81" s="276">
        <f>'SatışEkibi YS-Yen. Hed - 671'!$G$31*'SatışEkibi YS-Yen. Hed - 671'!$R50*'Satış YS-Yen.Hed (Ayık) - 671'!H$2</f>
        <v>579.68999999999994</v>
      </c>
      <c r="I81" s="276">
        <f>'SatışEkibi YS-Yen. Hed - 671'!$G$31*'SatışEkibi YS-Yen. Hed - 671'!$R50*'Satış YS-Yen.Hed (Ayık) - 671'!I$2</f>
        <v>483.07499999999999</v>
      </c>
      <c r="J81" s="276">
        <f>'SatışEkibi YS-Yen. Hed - 671'!$G$31*'SatışEkibi YS-Yen. Hed - 671'!$R50*'Satış YS-Yen.Hed (Ayık) - 671'!J$2</f>
        <v>487.10062499999998</v>
      </c>
      <c r="K81" s="276">
        <f>'SatışEkibi YS-Yen. Hed - 671'!$G$31*'SatışEkibi YS-Yen. Hed - 671'!$R50*'Satış YS-Yen.Hed (Ayık) - 671'!K$2</f>
        <v>515.28</v>
      </c>
      <c r="L81" s="276">
        <f>'SatışEkibi YS-Yen. Hed - 671'!$G$31*'SatışEkibi YS-Yen. Hed - 671'!$R50*'Satış YS-Yen.Hed (Ayık) - 671'!L$2</f>
        <v>603.84374999999989</v>
      </c>
      <c r="M81" s="276">
        <f>'SatışEkibi YS-Yen. Hed - 671'!$G$31*'SatışEkibi YS-Yen. Hed - 671'!$R50*'Satış YS-Yen.Hed (Ayık) - 671'!M$2</f>
        <v>611.89499999999987</v>
      </c>
      <c r="N81" s="276">
        <f>'SatışEkibi YS-Yen. Hed - 671'!$G$31*'SatışEkibi YS-Yen. Hed - 671'!$R50*'Satış YS-Yen.Hed (Ayık) - 671'!N$2</f>
        <v>696.43312500000002</v>
      </c>
      <c r="O81" s="295">
        <f t="shared" si="46"/>
        <v>6441</v>
      </c>
      <c r="Q81" s="277" t="str">
        <f t="shared" si="45"/>
        <v>Hosting</v>
      </c>
      <c r="R81" s="278" t="str">
        <f t="shared" si="47"/>
        <v>Yenileme</v>
      </c>
      <c r="S81" s="279">
        <f t="shared" si="48"/>
        <v>1441.1737500000002</v>
      </c>
      <c r="T81" s="279">
        <f t="shared" si="49"/>
        <v>1602.19875</v>
      </c>
      <c r="U81" s="279">
        <f t="shared" si="50"/>
        <v>1485.4556250000001</v>
      </c>
      <c r="V81" s="279">
        <f t="shared" si="51"/>
        <v>1912.1718749999998</v>
      </c>
      <c r="W81" s="279">
        <f t="shared" si="52"/>
        <v>6441</v>
      </c>
    </row>
    <row r="82" spans="1:23" s="269" customFormat="1" ht="16" hidden="1" customHeight="1" outlineLevel="1" x14ac:dyDescent="0.2">
      <c r="A82" s="293" t="s">
        <v>53</v>
      </c>
      <c r="B82" s="294" t="s">
        <v>26</v>
      </c>
      <c r="C82" s="276">
        <f>'SatışEkibi YS-Yen. Hed - 671'!$H$49*'Satış YS-Yen.Hed (Ayık) - 671'!C$2</f>
        <v>285.00000000000006</v>
      </c>
      <c r="D82" s="276">
        <f>'SatışEkibi YS-Yen. Hed - 671'!$H$49*'Satış YS-Yen.Hed (Ayık) - 671'!D$2</f>
        <v>285.00000000000006</v>
      </c>
      <c r="E82" s="276">
        <f>'SatışEkibi YS-Yen. Hed - 671'!$H$49*'Satış YS-Yen.Hed (Ayık) - 671'!E$2</f>
        <v>325</v>
      </c>
      <c r="F82" s="276">
        <f>'SatışEkibi YS-Yen. Hed - 671'!$H$49*'Satış YS-Yen.Hed (Ayık) - 671'!F$2</f>
        <v>317.5</v>
      </c>
      <c r="G82" s="276">
        <f>'SatışEkibi YS-Yen. Hed - 671'!$H$49*'Satış YS-Yen.Hed (Ayık) - 671'!G$2</f>
        <v>317.5</v>
      </c>
      <c r="H82" s="276">
        <f>'SatışEkibi YS-Yen. Hed - 671'!$H$49*'Satış YS-Yen.Hed (Ayık) - 671'!H$2</f>
        <v>359.99999999999994</v>
      </c>
      <c r="I82" s="276">
        <f>'SatışEkibi YS-Yen. Hed - 671'!$H$49*'Satış YS-Yen.Hed (Ayık) - 671'!I$2</f>
        <v>300</v>
      </c>
      <c r="J82" s="276">
        <f>'SatışEkibi YS-Yen. Hed - 671'!$H$49*'Satış YS-Yen.Hed (Ayık) - 671'!J$2</f>
        <v>302.5</v>
      </c>
      <c r="K82" s="276">
        <f>'SatışEkibi YS-Yen. Hed - 671'!$H$49*'Satış YS-Yen.Hed (Ayık) - 671'!K$2</f>
        <v>320</v>
      </c>
      <c r="L82" s="276">
        <f>'SatışEkibi YS-Yen. Hed - 671'!$H$49*'Satış YS-Yen.Hed (Ayık) - 671'!L$2</f>
        <v>374.99999999999994</v>
      </c>
      <c r="M82" s="276">
        <f>'SatışEkibi YS-Yen. Hed - 671'!$H$49*'Satış YS-Yen.Hed (Ayık) - 671'!M$2</f>
        <v>379.99999999999994</v>
      </c>
      <c r="N82" s="276">
        <f>'SatışEkibi YS-Yen. Hed - 671'!$H$49*'Satış YS-Yen.Hed (Ayık) - 671'!N$2</f>
        <v>432.5</v>
      </c>
      <c r="O82" s="295">
        <f>SUM(C82:N82)</f>
        <v>4000</v>
      </c>
      <c r="Q82" s="277" t="str">
        <f t="shared" si="45"/>
        <v>E-Dönüşüm</v>
      </c>
      <c r="R82" s="278" t="str">
        <f t="shared" si="47"/>
        <v>Yeni Satış</v>
      </c>
      <c r="S82" s="279">
        <f t="shared" si="48"/>
        <v>895.00000000000011</v>
      </c>
      <c r="T82" s="279">
        <f t="shared" si="49"/>
        <v>995</v>
      </c>
      <c r="U82" s="279">
        <f t="shared" si="50"/>
        <v>922.5</v>
      </c>
      <c r="V82" s="279">
        <f t="shared" si="51"/>
        <v>1187.5</v>
      </c>
      <c r="W82" s="279">
        <f>SUM(S82:V82)</f>
        <v>4000</v>
      </c>
    </row>
    <row r="83" spans="1:23" s="269" customFormat="1" ht="16" hidden="1" customHeight="1" outlineLevel="1" x14ac:dyDescent="0.2">
      <c r="A83" s="293" t="s">
        <v>53</v>
      </c>
      <c r="B83" s="294" t="s">
        <v>28</v>
      </c>
      <c r="C83" s="276">
        <f>'SatışEkibi YS-Yen. Hed - 671'!$H$50*'Satış YS-Yen.Hed (Ayık) - 671'!C$2</f>
        <v>0</v>
      </c>
      <c r="D83" s="276">
        <f>'SatışEkibi YS-Yen. Hed - 671'!$H$50*'Satış YS-Yen.Hed (Ayık) - 671'!D$2</f>
        <v>0</v>
      </c>
      <c r="E83" s="276">
        <f>'SatışEkibi YS-Yen. Hed - 671'!$H$50*'Satış YS-Yen.Hed (Ayık) - 671'!E$2</f>
        <v>0</v>
      </c>
      <c r="F83" s="276">
        <f>'SatışEkibi YS-Yen. Hed - 671'!$H$50*'Satış YS-Yen.Hed (Ayık) - 671'!F$2</f>
        <v>0</v>
      </c>
      <c r="G83" s="276">
        <f>'SatışEkibi YS-Yen. Hed - 671'!$H$50*'Satış YS-Yen.Hed (Ayık) - 671'!G$2</f>
        <v>0</v>
      </c>
      <c r="H83" s="276">
        <f>'SatışEkibi YS-Yen. Hed - 671'!$H$50*'Satış YS-Yen.Hed (Ayık) - 671'!H$2</f>
        <v>0</v>
      </c>
      <c r="I83" s="276">
        <f>'SatışEkibi YS-Yen. Hed - 671'!$H$50*'Satış YS-Yen.Hed (Ayık) - 671'!I$2</f>
        <v>0</v>
      </c>
      <c r="J83" s="276">
        <f>'SatışEkibi YS-Yen. Hed - 671'!$H$50*'Satış YS-Yen.Hed (Ayık) - 671'!J$2</f>
        <v>0</v>
      </c>
      <c r="K83" s="276">
        <f>'SatışEkibi YS-Yen. Hed - 671'!$H$50*'Satış YS-Yen.Hed (Ayık) - 671'!K$2</f>
        <v>0</v>
      </c>
      <c r="L83" s="276">
        <f>'SatışEkibi YS-Yen. Hed - 671'!$H$50*'Satış YS-Yen.Hed (Ayık) - 671'!L$2</f>
        <v>0</v>
      </c>
      <c r="M83" s="276">
        <f>'SatışEkibi YS-Yen. Hed - 671'!$H$50*'Satış YS-Yen.Hed (Ayık) - 671'!M$2</f>
        <v>0</v>
      </c>
      <c r="N83" s="276">
        <f>'SatışEkibi YS-Yen. Hed - 671'!$H$50*'Satış YS-Yen.Hed (Ayık) - 671'!N$2</f>
        <v>0</v>
      </c>
      <c r="O83" s="295">
        <f>SUM(C83:N83)</f>
        <v>0</v>
      </c>
      <c r="Q83" s="277" t="str">
        <f t="shared" si="45"/>
        <v>E-Dönüşüm</v>
      </c>
      <c r="R83" s="278" t="str">
        <f t="shared" si="47"/>
        <v>Yenileme</v>
      </c>
      <c r="S83" s="279">
        <f t="shared" si="48"/>
        <v>0</v>
      </c>
      <c r="T83" s="279">
        <f t="shared" si="49"/>
        <v>0</v>
      </c>
      <c r="U83" s="279">
        <f t="shared" si="50"/>
        <v>0</v>
      </c>
      <c r="V83" s="279">
        <f t="shared" si="51"/>
        <v>0</v>
      </c>
      <c r="W83" s="279">
        <f>SUM(S83:V83)</f>
        <v>0</v>
      </c>
    </row>
    <row r="84" spans="1:23" s="269" customFormat="1" ht="16" hidden="1" customHeight="1" outlineLevel="1" x14ac:dyDescent="0.2">
      <c r="A84" s="293" t="s">
        <v>35</v>
      </c>
      <c r="B84" s="294" t="s">
        <v>26</v>
      </c>
      <c r="C84" s="276">
        <f>'SatışEkibi YS-Yen. Hed - 671'!$I$31*'SatışEkibi YS-Yen. Hed - 671'!$T49*'Satış YS-Yen.Hed (Ayık) - 671'!C$2</f>
        <v>102.31500000000001</v>
      </c>
      <c r="D84" s="276">
        <f>'SatışEkibi YS-Yen. Hed - 671'!$I$31*'SatışEkibi YS-Yen. Hed - 671'!$T49*'Satış YS-Yen.Hed (Ayık) - 671'!D$2</f>
        <v>102.31500000000001</v>
      </c>
      <c r="E84" s="276">
        <f>'SatışEkibi YS-Yen. Hed - 671'!$I$31*'SatışEkibi YS-Yen. Hed - 671'!$T49*'Satış YS-Yen.Hed (Ayık) - 671'!E$2</f>
        <v>116.675</v>
      </c>
      <c r="F84" s="276">
        <f>'SatışEkibi YS-Yen. Hed - 671'!$I$31*'SatışEkibi YS-Yen. Hed - 671'!$T49*'Satış YS-Yen.Hed (Ayık) - 671'!F$2</f>
        <v>113.9825</v>
      </c>
      <c r="G84" s="276">
        <f>'SatışEkibi YS-Yen. Hed - 671'!$I$31*'SatışEkibi YS-Yen. Hed - 671'!$T49*'Satış YS-Yen.Hed (Ayık) - 671'!G$2</f>
        <v>113.9825</v>
      </c>
      <c r="H84" s="276">
        <f>'SatışEkibi YS-Yen. Hed - 671'!$I$31*'SatışEkibi YS-Yen. Hed - 671'!$T49*'Satış YS-Yen.Hed (Ayık) - 671'!H$2</f>
        <v>129.23999999999998</v>
      </c>
      <c r="I84" s="276">
        <f>'SatışEkibi YS-Yen. Hed - 671'!$I$31*'SatışEkibi YS-Yen. Hed - 671'!$T49*'Satış YS-Yen.Hed (Ayık) - 671'!I$2</f>
        <v>107.7</v>
      </c>
      <c r="J84" s="276">
        <f>'SatışEkibi YS-Yen. Hed - 671'!$I$31*'SatışEkibi YS-Yen. Hed - 671'!$T49*'Satış YS-Yen.Hed (Ayık) - 671'!J$2</f>
        <v>108.5975</v>
      </c>
      <c r="K84" s="276">
        <f>'SatışEkibi YS-Yen. Hed - 671'!$I$31*'SatışEkibi YS-Yen. Hed - 671'!$T49*'Satış YS-Yen.Hed (Ayık) - 671'!K$2</f>
        <v>114.88</v>
      </c>
      <c r="L84" s="276">
        <f>'SatışEkibi YS-Yen. Hed - 671'!$I$31*'SatışEkibi YS-Yen. Hed - 671'!$T49*'Satış YS-Yen.Hed (Ayık) - 671'!L$2</f>
        <v>134.62499999999997</v>
      </c>
      <c r="M84" s="276">
        <f>'SatışEkibi YS-Yen. Hed - 671'!$I$31*'SatışEkibi YS-Yen. Hed - 671'!$T49*'Satış YS-Yen.Hed (Ayık) - 671'!M$2</f>
        <v>136.41999999999999</v>
      </c>
      <c r="N84" s="276">
        <f>'SatışEkibi YS-Yen. Hed - 671'!$I$31*'SatışEkibi YS-Yen. Hed - 671'!$T49*'Satış YS-Yen.Hed (Ayık) - 671'!N$2</f>
        <v>155.26750000000001</v>
      </c>
      <c r="O84" s="295">
        <f t="shared" si="46"/>
        <v>1436</v>
      </c>
      <c r="Q84" s="277" t="str">
        <f t="shared" si="45"/>
        <v>BFH</v>
      </c>
      <c r="R84" s="278" t="str">
        <f t="shared" si="47"/>
        <v>Yeni Satış</v>
      </c>
      <c r="S84" s="279">
        <f t="shared" si="48"/>
        <v>321.30500000000001</v>
      </c>
      <c r="T84" s="279">
        <f t="shared" si="49"/>
        <v>357.20499999999998</v>
      </c>
      <c r="U84" s="279">
        <f t="shared" si="50"/>
        <v>331.17750000000001</v>
      </c>
      <c r="V84" s="279">
        <f t="shared" si="51"/>
        <v>426.3125</v>
      </c>
      <c r="W84" s="279">
        <f t="shared" si="52"/>
        <v>1436</v>
      </c>
    </row>
    <row r="85" spans="1:23" s="269" customFormat="1" ht="16" customHeight="1" collapsed="1" x14ac:dyDescent="0.2">
      <c r="A85" s="283" t="s">
        <v>30</v>
      </c>
      <c r="B85" s="284" t="s">
        <v>26</v>
      </c>
      <c r="C85" s="282">
        <f>SUMIF($B$73:$B$84,"Yeni Satış",C73:C84)</f>
        <v>1234.8337500000002</v>
      </c>
      <c r="D85" s="282">
        <f t="shared" ref="D85:N85" si="53">SUMIF($B$73:$B$84,"Yeni Satış",D73:D84)</f>
        <v>1234.8337500000002</v>
      </c>
      <c r="E85" s="282">
        <f t="shared" si="53"/>
        <v>1408.14375</v>
      </c>
      <c r="F85" s="282">
        <f t="shared" si="53"/>
        <v>1375.6481250000002</v>
      </c>
      <c r="G85" s="282">
        <f t="shared" si="53"/>
        <v>1375.6481250000002</v>
      </c>
      <c r="H85" s="282">
        <f t="shared" si="53"/>
        <v>1559.7899999999997</v>
      </c>
      <c r="I85" s="282">
        <f t="shared" si="53"/>
        <v>1299.825</v>
      </c>
      <c r="J85" s="282">
        <f t="shared" si="53"/>
        <v>1310.6568750000001</v>
      </c>
      <c r="K85" s="282">
        <f t="shared" si="53"/>
        <v>1386.48</v>
      </c>
      <c r="L85" s="282">
        <f t="shared" si="53"/>
        <v>1624.7812499999998</v>
      </c>
      <c r="M85" s="282">
        <f t="shared" si="53"/>
        <v>1646.4449999999999</v>
      </c>
      <c r="N85" s="282">
        <f t="shared" si="53"/>
        <v>1873.9143749999998</v>
      </c>
      <c r="O85" s="296">
        <f>SUMIF(B73:B84,"Yeni Satış",O73:O84)</f>
        <v>17331</v>
      </c>
      <c r="Q85" s="283" t="s">
        <v>30</v>
      </c>
      <c r="R85" s="284" t="str">
        <f t="shared" si="47"/>
        <v>Yeni Satış</v>
      </c>
      <c r="S85" s="285">
        <f>SUMIF(R73:R84,"Yeni Satış",S73:S84)</f>
        <v>3877.8112499999997</v>
      </c>
      <c r="T85" s="285">
        <f>SUMIF(R73:R84,"Yeni Satış",T73:T84)</f>
        <v>4311.0862500000003</v>
      </c>
      <c r="U85" s="285">
        <f>SUMIF(R73:R84,"Yeni Satış",U73:U84)</f>
        <v>3996.961875</v>
      </c>
      <c r="V85" s="285">
        <f>SUMIF(R73:R84,"Yeni Satış",V73:V84)</f>
        <v>5145.140625</v>
      </c>
      <c r="W85" s="285">
        <f t="shared" si="52"/>
        <v>17331</v>
      </c>
    </row>
    <row r="86" spans="1:23" s="269" customFormat="1" ht="16" customHeight="1" x14ac:dyDescent="0.2">
      <c r="A86" s="283" t="s">
        <v>30</v>
      </c>
      <c r="B86" s="284" t="s">
        <v>28</v>
      </c>
      <c r="C86" s="282">
        <f>SUMIF($B$73:$B$84,"Yenileme",C73:C84)</f>
        <v>1691.8404037630264</v>
      </c>
      <c r="D86" s="282">
        <f t="shared" ref="D86:N86" si="54">SUMIF($B$73:$B$84,"Yenileme",D73:D84)</f>
        <v>1691.8404037630264</v>
      </c>
      <c r="E86" s="282">
        <f t="shared" si="54"/>
        <v>1929.2916885016966</v>
      </c>
      <c r="F86" s="282">
        <f t="shared" si="54"/>
        <v>1884.769572613196</v>
      </c>
      <c r="G86" s="282">
        <f t="shared" si="54"/>
        <v>1884.769572613196</v>
      </c>
      <c r="H86" s="282">
        <f t="shared" si="54"/>
        <v>2137.061562648033</v>
      </c>
      <c r="I86" s="282">
        <f t="shared" si="54"/>
        <v>1780.8846355400276</v>
      </c>
      <c r="J86" s="282">
        <f t="shared" si="54"/>
        <v>1795.7253408361946</v>
      </c>
      <c r="K86" s="282">
        <f t="shared" si="54"/>
        <v>1899.610277909363</v>
      </c>
      <c r="L86" s="282">
        <f t="shared" si="54"/>
        <v>2226.1057944250342</v>
      </c>
      <c r="M86" s="282">
        <f t="shared" si="54"/>
        <v>2255.7872050173683</v>
      </c>
      <c r="N86" s="282">
        <f t="shared" si="54"/>
        <v>2567.4420162368733</v>
      </c>
      <c r="O86" s="296">
        <f>SUMIF(B73:B84,"Yenileme",O73:O84)</f>
        <v>23745.128473867037</v>
      </c>
      <c r="Q86" s="283" t="s">
        <v>30</v>
      </c>
      <c r="R86" s="284" t="str">
        <f t="shared" si="47"/>
        <v>Yenileme</v>
      </c>
      <c r="S86" s="285">
        <f>SUMIF(R73:R84,"Yenileme",S73:S84)</f>
        <v>5312.972496027749</v>
      </c>
      <c r="T86" s="285">
        <f>SUMIF(R73:R84,"Yenileme",T73:T84)</f>
        <v>5906.600707874426</v>
      </c>
      <c r="U86" s="285">
        <f>SUMIF(R73:R84,"Yenileme",U73:U84)</f>
        <v>5476.2202542855848</v>
      </c>
      <c r="V86" s="285">
        <f>SUMIF(R73:R84,"Yenileme",V73:V84)</f>
        <v>7049.3350156792767</v>
      </c>
      <c r="W86" s="285">
        <f t="shared" si="52"/>
        <v>23745.128473867037</v>
      </c>
    </row>
    <row r="87" spans="1:23" s="269" customFormat="1" ht="16" customHeight="1" x14ac:dyDescent="0.2">
      <c r="A87" s="297" t="s">
        <v>38</v>
      </c>
      <c r="B87" s="298" t="s">
        <v>144</v>
      </c>
      <c r="C87" s="288">
        <f>SUM(C85:C86)</f>
        <v>2926.6741537630269</v>
      </c>
      <c r="D87" s="288">
        <f t="shared" ref="D87:N87" si="55">SUM(D85:D86)</f>
        <v>2926.6741537630269</v>
      </c>
      <c r="E87" s="288">
        <f t="shared" si="55"/>
        <v>3337.4354385016968</v>
      </c>
      <c r="F87" s="288">
        <f t="shared" si="55"/>
        <v>3260.4176976131962</v>
      </c>
      <c r="G87" s="288">
        <f t="shared" si="55"/>
        <v>3260.4176976131962</v>
      </c>
      <c r="H87" s="288">
        <f t="shared" si="55"/>
        <v>3696.851562648033</v>
      </c>
      <c r="I87" s="288">
        <f t="shared" si="55"/>
        <v>3080.7096355400276</v>
      </c>
      <c r="J87" s="288">
        <f t="shared" si="55"/>
        <v>3106.3822158361945</v>
      </c>
      <c r="K87" s="288">
        <f t="shared" si="55"/>
        <v>3286.0902779093631</v>
      </c>
      <c r="L87" s="288">
        <f t="shared" si="55"/>
        <v>3850.8870444250342</v>
      </c>
      <c r="M87" s="288">
        <f t="shared" si="55"/>
        <v>3902.232205017368</v>
      </c>
      <c r="N87" s="288">
        <f t="shared" si="55"/>
        <v>4441.3563912368736</v>
      </c>
      <c r="O87" s="304">
        <f>O85+O86</f>
        <v>41076.128473867037</v>
      </c>
      <c r="Q87" s="297" t="s">
        <v>38</v>
      </c>
      <c r="R87" s="298" t="str">
        <f t="shared" si="47"/>
        <v>YS + Yen.</v>
      </c>
      <c r="S87" s="302">
        <f>S85+S86</f>
        <v>9190.7837460277478</v>
      </c>
      <c r="T87" s="302">
        <f>T85+T86</f>
        <v>10217.686957874426</v>
      </c>
      <c r="U87" s="302">
        <f>U85+U86</f>
        <v>9473.1821292855857</v>
      </c>
      <c r="V87" s="302">
        <f>V85+V86</f>
        <v>12194.475640679277</v>
      </c>
      <c r="W87" s="291">
        <f>W85+W86</f>
        <v>41076.128473867037</v>
      </c>
    </row>
    <row r="88" spans="1:23" s="269" customFormat="1" ht="16" customHeight="1" x14ac:dyDescent="0.2">
      <c r="S88" s="292"/>
      <c r="T88" s="292"/>
      <c r="U88" s="292"/>
      <c r="V88" s="292"/>
      <c r="W88" s="292"/>
    </row>
    <row r="89" spans="1:23" s="269" customFormat="1" x14ac:dyDescent="0.2">
      <c r="A89" s="264" t="s">
        <v>149</v>
      </c>
      <c r="B89" s="264"/>
      <c r="C89" s="266" t="s">
        <v>131</v>
      </c>
      <c r="D89" s="266" t="s">
        <v>132</v>
      </c>
      <c r="E89" s="266" t="s">
        <v>133</v>
      </c>
      <c r="F89" s="266" t="s">
        <v>134</v>
      </c>
      <c r="G89" s="266" t="s">
        <v>135</v>
      </c>
      <c r="H89" s="266" t="s">
        <v>136</v>
      </c>
      <c r="I89" s="266" t="s">
        <v>137</v>
      </c>
      <c r="J89" s="266" t="s">
        <v>138</v>
      </c>
      <c r="K89" s="266" t="s">
        <v>139</v>
      </c>
      <c r="L89" s="266" t="s">
        <v>140</v>
      </c>
      <c r="M89" s="266" t="s">
        <v>141</v>
      </c>
      <c r="N89" s="266" t="s">
        <v>142</v>
      </c>
      <c r="O89" s="266" t="s">
        <v>143</v>
      </c>
      <c r="Q89" s="301" t="str">
        <f t="shared" ref="Q89:Q101" si="56">A89</f>
        <v>Melike Akgünlü  —  Direkt Satış</v>
      </c>
      <c r="R89" s="301"/>
      <c r="S89" s="266" t="s">
        <v>154</v>
      </c>
      <c r="T89" s="266" t="s">
        <v>155</v>
      </c>
      <c r="U89" s="266" t="s">
        <v>156</v>
      </c>
      <c r="V89" s="266" t="s">
        <v>157</v>
      </c>
      <c r="W89" s="266" t="s">
        <v>143</v>
      </c>
    </row>
    <row r="90" spans="1:23" s="269" customFormat="1" ht="16" hidden="1" customHeight="1" outlineLevel="1" x14ac:dyDescent="0.2">
      <c r="A90" s="293" t="s">
        <v>25</v>
      </c>
      <c r="B90" s="294" t="s">
        <v>26</v>
      </c>
      <c r="C90" s="276">
        <f>'SatışEkibi YS-Yen. Hed - 671'!$B$52*C$2</f>
        <v>540.07500000000005</v>
      </c>
      <c r="D90" s="276">
        <f>'SatışEkibi YS-Yen. Hed - 671'!$B$52*D$2</f>
        <v>540.07500000000005</v>
      </c>
      <c r="E90" s="276">
        <f>'SatışEkibi YS-Yen. Hed - 671'!$B$52*E$2</f>
        <v>615.875</v>
      </c>
      <c r="F90" s="276">
        <f>'SatışEkibi YS-Yen. Hed - 671'!$B$52*F$2</f>
        <v>601.66250000000002</v>
      </c>
      <c r="G90" s="276">
        <f>'SatışEkibi YS-Yen. Hed - 671'!$B$52*G$2</f>
        <v>601.66250000000002</v>
      </c>
      <c r="H90" s="276">
        <f>'SatışEkibi YS-Yen. Hed - 671'!$B$52*H$2</f>
        <v>682.19999999999982</v>
      </c>
      <c r="I90" s="276">
        <f>'SatışEkibi YS-Yen. Hed - 671'!$B$52*I$2</f>
        <v>568.5</v>
      </c>
      <c r="J90" s="276">
        <f>'SatışEkibi YS-Yen. Hed - 671'!$B$52*J$2</f>
        <v>573.23749999999995</v>
      </c>
      <c r="K90" s="276">
        <f>'SatışEkibi YS-Yen. Hed - 671'!$B$52*K$2</f>
        <v>606.4</v>
      </c>
      <c r="L90" s="276">
        <f>'SatışEkibi YS-Yen. Hed - 671'!$B$52*L$2</f>
        <v>710.62499999999989</v>
      </c>
      <c r="M90" s="276">
        <f>'SatışEkibi YS-Yen. Hed - 671'!$B$52*M$2</f>
        <v>720.09999999999991</v>
      </c>
      <c r="N90" s="276">
        <f>'SatışEkibi YS-Yen. Hed - 671'!$B$52*N$2</f>
        <v>819.58749999999998</v>
      </c>
      <c r="O90" s="295">
        <f t="shared" ref="O90:O101" si="57">SUM(C90:N90)</f>
        <v>7579.9999999999982</v>
      </c>
      <c r="Q90" s="277" t="str">
        <f t="shared" si="56"/>
        <v>Enroute</v>
      </c>
      <c r="R90" s="278" t="str">
        <f t="shared" ref="R90:R104" si="58">B90</f>
        <v>Yeni Satış</v>
      </c>
      <c r="S90" s="279">
        <f t="shared" ref="S90:S101" si="59">SUM(C90:E90)</f>
        <v>1696.0250000000001</v>
      </c>
      <c r="T90" s="279">
        <f t="shared" ref="T90:T101" si="60">SUM(F90:H90)</f>
        <v>1885.5249999999999</v>
      </c>
      <c r="U90" s="279">
        <f t="shared" ref="U90:U101" si="61">SUM(I90:K90)</f>
        <v>1748.1374999999998</v>
      </c>
      <c r="V90" s="279">
        <f t="shared" ref="V90:V101" si="62">SUM(L90:N90)</f>
        <v>2250.3125</v>
      </c>
      <c r="W90" s="279">
        <f t="shared" ref="W90:W103" si="63">SUM(S90:V90)</f>
        <v>7580</v>
      </c>
    </row>
    <row r="91" spans="1:23" s="269" customFormat="1" ht="16" hidden="1" customHeight="1" outlineLevel="1" x14ac:dyDescent="0.2">
      <c r="A91" s="293" t="s">
        <v>25</v>
      </c>
      <c r="B91" s="294" t="s">
        <v>28</v>
      </c>
      <c r="C91" s="276">
        <f>'SatışEkibi YS-Yen. Hed - 671'!$B$53*'Satış YS-Yen.Hed (Ayık) - 671'!C$2</f>
        <v>611.82375000000002</v>
      </c>
      <c r="D91" s="276">
        <f>'SatışEkibi YS-Yen. Hed - 671'!$B$53*'Satış YS-Yen.Hed (Ayık) - 671'!D$2</f>
        <v>611.82375000000002</v>
      </c>
      <c r="E91" s="276">
        <f>'SatışEkibi YS-Yen. Hed - 671'!$B$53*'Satış YS-Yen.Hed (Ayık) - 671'!E$2</f>
        <v>697.69375000000002</v>
      </c>
      <c r="F91" s="276">
        <f>'SatışEkibi YS-Yen. Hed - 671'!$B$53*'Satış YS-Yen.Hed (Ayık) - 671'!F$2</f>
        <v>681.59312499999999</v>
      </c>
      <c r="G91" s="276">
        <f>'SatışEkibi YS-Yen. Hed - 671'!$B$53*'Satış YS-Yen.Hed (Ayık) - 671'!G$2</f>
        <v>681.59312499999999</v>
      </c>
      <c r="H91" s="276">
        <f>'SatışEkibi YS-Yen. Hed - 671'!$B$53*'Satış YS-Yen.Hed (Ayık) - 671'!H$2</f>
        <v>772.82999999999981</v>
      </c>
      <c r="I91" s="276">
        <f>'SatışEkibi YS-Yen. Hed - 671'!$B$53*'Satış YS-Yen.Hed (Ayık) - 671'!I$2</f>
        <v>644.02499999999998</v>
      </c>
      <c r="J91" s="276">
        <f>'SatışEkibi YS-Yen. Hed - 671'!$B$53*'Satış YS-Yen.Hed (Ayık) - 671'!J$2</f>
        <v>649.39187500000003</v>
      </c>
      <c r="K91" s="276">
        <f>'SatışEkibi YS-Yen. Hed - 671'!$B$53*'Satış YS-Yen.Hed (Ayık) - 671'!K$2</f>
        <v>686.96</v>
      </c>
      <c r="L91" s="276">
        <f>'SatışEkibi YS-Yen. Hed - 671'!$B$53*'Satış YS-Yen.Hed (Ayık) - 671'!L$2</f>
        <v>805.03124999999989</v>
      </c>
      <c r="M91" s="276">
        <f>'SatışEkibi YS-Yen. Hed - 671'!$B$53*'Satış YS-Yen.Hed (Ayık) - 671'!M$2</f>
        <v>815.76499999999987</v>
      </c>
      <c r="N91" s="276">
        <f>'SatışEkibi YS-Yen. Hed - 671'!$B$53*'Satış YS-Yen.Hed (Ayık) - 671'!N$2</f>
        <v>928.46937500000001</v>
      </c>
      <c r="O91" s="295">
        <f t="shared" si="57"/>
        <v>8587</v>
      </c>
      <c r="Q91" s="277" t="str">
        <f t="shared" si="56"/>
        <v>Enroute</v>
      </c>
      <c r="R91" s="278" t="str">
        <f t="shared" si="58"/>
        <v>Yenileme</v>
      </c>
      <c r="S91" s="279">
        <f t="shared" si="59"/>
        <v>1921.3412499999999</v>
      </c>
      <c r="T91" s="279">
        <f t="shared" si="60"/>
        <v>2136.0162499999997</v>
      </c>
      <c r="U91" s="279">
        <f t="shared" si="61"/>
        <v>1980.3768749999999</v>
      </c>
      <c r="V91" s="279">
        <f t="shared" si="62"/>
        <v>2549.265625</v>
      </c>
      <c r="W91" s="279">
        <f t="shared" si="63"/>
        <v>8587</v>
      </c>
    </row>
    <row r="92" spans="1:23" s="269" customFormat="1" ht="16" hidden="1" customHeight="1" outlineLevel="1" x14ac:dyDescent="0.2">
      <c r="A92" s="293" t="s">
        <v>29</v>
      </c>
      <c r="B92" s="294" t="s">
        <v>26</v>
      </c>
      <c r="C92" s="276">
        <f>'SatışEkibi YS-Yen. Hed - 671'!$C$52*C$2</f>
        <v>498.75000000000006</v>
      </c>
      <c r="D92" s="276">
        <f>'SatışEkibi YS-Yen. Hed - 671'!$C$52*D$2</f>
        <v>498.75000000000006</v>
      </c>
      <c r="E92" s="276">
        <f>'SatışEkibi YS-Yen. Hed - 671'!$C$52*E$2</f>
        <v>568.75</v>
      </c>
      <c r="F92" s="276">
        <f>'SatışEkibi YS-Yen. Hed - 671'!$C$52*F$2</f>
        <v>555.625</v>
      </c>
      <c r="G92" s="276">
        <f>'SatışEkibi YS-Yen. Hed - 671'!$C$52*G$2</f>
        <v>555.625</v>
      </c>
      <c r="H92" s="276">
        <f>'SatışEkibi YS-Yen. Hed - 671'!$C$52*H$2</f>
        <v>629.99999999999989</v>
      </c>
      <c r="I92" s="276">
        <f>'SatışEkibi YS-Yen. Hed - 671'!$C$52*I$2</f>
        <v>525</v>
      </c>
      <c r="J92" s="276">
        <f>'SatışEkibi YS-Yen. Hed - 671'!$C$52*J$2</f>
        <v>529.375</v>
      </c>
      <c r="K92" s="276">
        <f>'SatışEkibi YS-Yen. Hed - 671'!$C$52*K$2</f>
        <v>560</v>
      </c>
      <c r="L92" s="276">
        <f>'SatışEkibi YS-Yen. Hed - 671'!$C$52*L$2</f>
        <v>656.24999999999989</v>
      </c>
      <c r="M92" s="276">
        <f>'SatışEkibi YS-Yen. Hed - 671'!$C$52*M$2</f>
        <v>664.99999999999989</v>
      </c>
      <c r="N92" s="276">
        <f>'SatışEkibi YS-Yen. Hed - 671'!$C$52*N$2</f>
        <v>756.875</v>
      </c>
      <c r="O92" s="295">
        <f t="shared" si="57"/>
        <v>7000</v>
      </c>
      <c r="Q92" s="277" t="str">
        <f t="shared" si="56"/>
        <v>Stokbar</v>
      </c>
      <c r="R92" s="278" t="str">
        <f t="shared" si="58"/>
        <v>Yeni Satış</v>
      </c>
      <c r="S92" s="279">
        <f t="shared" si="59"/>
        <v>1566.25</v>
      </c>
      <c r="T92" s="279">
        <f t="shared" si="60"/>
        <v>1741.25</v>
      </c>
      <c r="U92" s="279">
        <f t="shared" si="61"/>
        <v>1614.375</v>
      </c>
      <c r="V92" s="279">
        <f t="shared" si="62"/>
        <v>2078.125</v>
      </c>
      <c r="W92" s="279">
        <f t="shared" si="63"/>
        <v>7000</v>
      </c>
    </row>
    <row r="93" spans="1:23" s="269" customFormat="1" ht="16" hidden="1" customHeight="1" outlineLevel="1" x14ac:dyDescent="0.2">
      <c r="A93" s="293" t="s">
        <v>29</v>
      </c>
      <c r="B93" s="294" t="s">
        <v>28</v>
      </c>
      <c r="C93" s="276">
        <f>'SatışEkibi YS-Yen. Hed - 671'!$C$53*'Satış YS-Yen.Hed (Ayık) - 671'!C$2</f>
        <v>57.285000000000004</v>
      </c>
      <c r="D93" s="276">
        <f>'SatışEkibi YS-Yen. Hed - 671'!$C$53*'Satış YS-Yen.Hed (Ayık) - 671'!D$2</f>
        <v>57.285000000000004</v>
      </c>
      <c r="E93" s="276">
        <f>'SatışEkibi YS-Yen. Hed - 671'!$C$53*'Satış YS-Yen.Hed (Ayık) - 671'!E$2</f>
        <v>65.325000000000003</v>
      </c>
      <c r="F93" s="276">
        <f>'SatışEkibi YS-Yen. Hed - 671'!$C$53*'Satış YS-Yen.Hed (Ayık) - 671'!F$2</f>
        <v>63.817500000000003</v>
      </c>
      <c r="G93" s="276">
        <f>'SatışEkibi YS-Yen. Hed - 671'!$C$53*'Satış YS-Yen.Hed (Ayık) - 671'!G$2</f>
        <v>63.817500000000003</v>
      </c>
      <c r="H93" s="276">
        <f>'SatışEkibi YS-Yen. Hed - 671'!$C$53*'Satış YS-Yen.Hed (Ayık) - 671'!H$2</f>
        <v>72.359999999999985</v>
      </c>
      <c r="I93" s="276">
        <f>'SatışEkibi YS-Yen. Hed - 671'!$C$53*'Satış YS-Yen.Hed (Ayık) - 671'!I$2</f>
        <v>60.3</v>
      </c>
      <c r="J93" s="276">
        <f>'SatışEkibi YS-Yen. Hed - 671'!$C$53*'Satış YS-Yen.Hed (Ayık) - 671'!J$2</f>
        <v>60.802499999999995</v>
      </c>
      <c r="K93" s="276">
        <f>'SatışEkibi YS-Yen. Hed - 671'!$C$53*'Satış YS-Yen.Hed (Ayık) - 671'!K$2</f>
        <v>64.320000000000007</v>
      </c>
      <c r="L93" s="276">
        <f>'SatışEkibi YS-Yen. Hed - 671'!$C$53*'Satış YS-Yen.Hed (Ayık) - 671'!L$2</f>
        <v>75.374999999999986</v>
      </c>
      <c r="M93" s="276">
        <f>'SatışEkibi YS-Yen. Hed - 671'!$C$53*'Satış YS-Yen.Hed (Ayık) - 671'!M$2</f>
        <v>76.38</v>
      </c>
      <c r="N93" s="276">
        <f>'SatışEkibi YS-Yen. Hed - 671'!$C$53*'Satış YS-Yen.Hed (Ayık) - 671'!N$2</f>
        <v>86.932500000000005</v>
      </c>
      <c r="O93" s="295">
        <f t="shared" si="57"/>
        <v>804</v>
      </c>
      <c r="Q93" s="277" t="str">
        <f t="shared" si="56"/>
        <v>Stokbar</v>
      </c>
      <c r="R93" s="278" t="str">
        <f t="shared" si="58"/>
        <v>Yenileme</v>
      </c>
      <c r="S93" s="279">
        <f t="shared" si="59"/>
        <v>179.89500000000001</v>
      </c>
      <c r="T93" s="279">
        <f t="shared" si="60"/>
        <v>199.995</v>
      </c>
      <c r="U93" s="279">
        <f t="shared" si="61"/>
        <v>185.42250000000001</v>
      </c>
      <c r="V93" s="279">
        <f t="shared" si="62"/>
        <v>238.6875</v>
      </c>
      <c r="W93" s="279">
        <f t="shared" si="63"/>
        <v>804</v>
      </c>
    </row>
    <row r="94" spans="1:23" s="269" customFormat="1" ht="16" hidden="1" customHeight="1" outlineLevel="1" x14ac:dyDescent="0.2">
      <c r="A94" s="293" t="s">
        <v>27</v>
      </c>
      <c r="B94" s="294" t="s">
        <v>26</v>
      </c>
      <c r="C94" s="276">
        <f>'SatışEkibi YS-Yen. Hed - 671'!$D$52*C$2</f>
        <v>514.56750000000011</v>
      </c>
      <c r="D94" s="276">
        <f>'SatışEkibi YS-Yen. Hed - 671'!$D$52*D$2</f>
        <v>514.56750000000011</v>
      </c>
      <c r="E94" s="276">
        <f>'SatışEkibi YS-Yen. Hed - 671'!$D$52*E$2</f>
        <v>586.78750000000002</v>
      </c>
      <c r="F94" s="276">
        <f>'SatışEkibi YS-Yen. Hed - 671'!$D$52*F$2</f>
        <v>573.24625000000003</v>
      </c>
      <c r="G94" s="276">
        <f>'SatışEkibi YS-Yen. Hed - 671'!$D$52*G$2</f>
        <v>573.24625000000003</v>
      </c>
      <c r="H94" s="276">
        <f>'SatışEkibi YS-Yen. Hed - 671'!$D$52*H$2</f>
        <v>649.9799999999999</v>
      </c>
      <c r="I94" s="276">
        <f>'SatışEkibi YS-Yen. Hed - 671'!$D$52*I$2</f>
        <v>541.65</v>
      </c>
      <c r="J94" s="276">
        <f>'SatışEkibi YS-Yen. Hed - 671'!$D$52*J$2</f>
        <v>546.16374999999994</v>
      </c>
      <c r="K94" s="276">
        <f>'SatışEkibi YS-Yen. Hed - 671'!$D$52*K$2</f>
        <v>577.76</v>
      </c>
      <c r="L94" s="276">
        <f>'SatışEkibi YS-Yen. Hed - 671'!$D$52*L$2</f>
        <v>677.06249999999989</v>
      </c>
      <c r="M94" s="276">
        <f>'SatışEkibi YS-Yen. Hed - 671'!$D$52*M$2</f>
        <v>686.08999999999992</v>
      </c>
      <c r="N94" s="276">
        <f>'SatışEkibi YS-Yen. Hed - 671'!$D$52*N$2</f>
        <v>780.87874999999997</v>
      </c>
      <c r="O94" s="295">
        <f t="shared" si="57"/>
        <v>7222.0000000000009</v>
      </c>
      <c r="Q94" s="277" t="str">
        <f t="shared" si="56"/>
        <v>Quest</v>
      </c>
      <c r="R94" s="278" t="str">
        <f t="shared" si="58"/>
        <v>Yeni Satış</v>
      </c>
      <c r="S94" s="279">
        <f t="shared" si="59"/>
        <v>1615.9225000000001</v>
      </c>
      <c r="T94" s="279">
        <f t="shared" si="60"/>
        <v>1796.4724999999999</v>
      </c>
      <c r="U94" s="279">
        <f t="shared" si="61"/>
        <v>1665.5737499999998</v>
      </c>
      <c r="V94" s="279">
        <f t="shared" si="62"/>
        <v>2144.0312499999995</v>
      </c>
      <c r="W94" s="279">
        <f t="shared" si="63"/>
        <v>7222</v>
      </c>
    </row>
    <row r="95" spans="1:23" s="269" customFormat="1" ht="16" hidden="1" customHeight="1" outlineLevel="1" x14ac:dyDescent="0.2">
      <c r="A95" s="293" t="s">
        <v>27</v>
      </c>
      <c r="B95" s="294" t="s">
        <v>28</v>
      </c>
      <c r="C95" s="276">
        <f>'SatışEkibi YS-Yen. Hed - 671'!$D$53*'Satış YS-Yen.Hed (Ayık) - 671'!C$2</f>
        <v>74.328718815524283</v>
      </c>
      <c r="D95" s="276">
        <f>'SatışEkibi YS-Yen. Hed - 671'!$D$53*'Satış YS-Yen.Hed (Ayık) - 671'!D$2</f>
        <v>74.328718815524283</v>
      </c>
      <c r="E95" s="276">
        <f>'SatışEkibi YS-Yen. Hed - 671'!$D$53*'Satış YS-Yen.Hed (Ayık) - 671'!E$2</f>
        <v>84.760819701913647</v>
      </c>
      <c r="F95" s="276">
        <f>'SatışEkibi YS-Yen. Hed - 671'!$D$53*'Satış YS-Yen.Hed (Ayık) - 671'!F$2</f>
        <v>82.804800785715642</v>
      </c>
      <c r="G95" s="276">
        <f>'SatışEkibi YS-Yen. Hed - 671'!$D$53*'Satış YS-Yen.Hed (Ayık) - 671'!G$2</f>
        <v>82.804800785715642</v>
      </c>
      <c r="H95" s="276">
        <f>'SatışEkibi YS-Yen. Hed - 671'!$D$53*'Satış YS-Yen.Hed (Ayık) - 671'!H$2</f>
        <v>93.888907977504317</v>
      </c>
      <c r="I95" s="276">
        <f>'SatışEkibi YS-Yen. Hed - 671'!$D$53*'Satış YS-Yen.Hed (Ayık) - 671'!I$2</f>
        <v>78.240756647920279</v>
      </c>
      <c r="J95" s="276">
        <f>'SatışEkibi YS-Yen. Hed - 671'!$D$53*'Satış YS-Yen.Hed (Ayık) - 671'!J$2</f>
        <v>78.892762953319618</v>
      </c>
      <c r="K95" s="276">
        <f>'SatışEkibi YS-Yen. Hed - 671'!$D$53*'Satış YS-Yen.Hed (Ayık) - 671'!K$2</f>
        <v>83.456807091114968</v>
      </c>
      <c r="L95" s="276">
        <f>'SatışEkibi YS-Yen. Hed - 671'!$D$53*'Satış YS-Yen.Hed (Ayık) - 671'!L$2</f>
        <v>97.800945809900341</v>
      </c>
      <c r="M95" s="276">
        <f>'SatışEkibi YS-Yen. Hed - 671'!$D$53*'Satış YS-Yen.Hed (Ayık) - 671'!M$2</f>
        <v>99.10495842069902</v>
      </c>
      <c r="N95" s="276">
        <f>'SatışEkibi YS-Yen. Hed - 671'!$D$53*'Satış YS-Yen.Hed (Ayık) - 671'!N$2</f>
        <v>112.79709083408507</v>
      </c>
      <c r="O95" s="295">
        <f t="shared" si="57"/>
        <v>1043.2100886389373</v>
      </c>
      <c r="Q95" s="277" t="str">
        <f t="shared" si="56"/>
        <v>Quest</v>
      </c>
      <c r="R95" s="278" t="str">
        <f t="shared" si="58"/>
        <v>Yenileme</v>
      </c>
      <c r="S95" s="279">
        <f t="shared" si="59"/>
        <v>233.41825733296221</v>
      </c>
      <c r="T95" s="279">
        <f t="shared" si="60"/>
        <v>259.4985095489356</v>
      </c>
      <c r="U95" s="279">
        <f t="shared" si="61"/>
        <v>240.59032669235486</v>
      </c>
      <c r="V95" s="279">
        <f t="shared" si="62"/>
        <v>309.70299506468444</v>
      </c>
      <c r="W95" s="279">
        <f t="shared" si="63"/>
        <v>1043.2100886389371</v>
      </c>
    </row>
    <row r="96" spans="1:23" s="269" customFormat="1" ht="16" hidden="1" customHeight="1" outlineLevel="1" x14ac:dyDescent="0.2">
      <c r="A96" s="293" t="s">
        <v>32</v>
      </c>
      <c r="B96" s="294" t="s">
        <v>26</v>
      </c>
      <c r="C96" s="276">
        <f>'SatışEkibi YS-Yen. Hed - 671'!$F$52*'Satış YS-Yen.Hed (Ayık) - 671'!C$2</f>
        <v>89.062500000000014</v>
      </c>
      <c r="D96" s="276">
        <f>'SatışEkibi YS-Yen. Hed - 671'!$F$52*'Satış YS-Yen.Hed (Ayık) - 671'!D$2</f>
        <v>89.062500000000014</v>
      </c>
      <c r="E96" s="276">
        <f>'SatışEkibi YS-Yen. Hed - 671'!$F$52*'Satış YS-Yen.Hed (Ayık) - 671'!E$2</f>
        <v>101.5625</v>
      </c>
      <c r="F96" s="276">
        <f>'SatışEkibi YS-Yen. Hed - 671'!$F$52*'Satış YS-Yen.Hed (Ayık) - 671'!F$2</f>
        <v>99.21875</v>
      </c>
      <c r="G96" s="276">
        <f>'SatışEkibi YS-Yen. Hed - 671'!$F$52*'Satış YS-Yen.Hed (Ayık) - 671'!G$2</f>
        <v>99.21875</v>
      </c>
      <c r="H96" s="276">
        <f>'SatışEkibi YS-Yen. Hed - 671'!$F$52*'Satış YS-Yen.Hed (Ayık) - 671'!H$2</f>
        <v>112.49999999999997</v>
      </c>
      <c r="I96" s="276">
        <f>'SatışEkibi YS-Yen. Hed - 671'!$F$52*'Satış YS-Yen.Hed (Ayık) - 671'!I$2</f>
        <v>93.75</v>
      </c>
      <c r="J96" s="276">
        <f>'SatışEkibi YS-Yen. Hed - 671'!$F$52*'Satış YS-Yen.Hed (Ayık) - 671'!J$2</f>
        <v>94.53125</v>
      </c>
      <c r="K96" s="276">
        <f>'SatışEkibi YS-Yen. Hed - 671'!$F$52*'Satış YS-Yen.Hed (Ayık) - 671'!K$2</f>
        <v>100</v>
      </c>
      <c r="L96" s="276">
        <f>'SatışEkibi YS-Yen. Hed - 671'!$F$52*'Satış YS-Yen.Hed (Ayık) - 671'!L$2</f>
        <v>117.18749999999999</v>
      </c>
      <c r="M96" s="276">
        <f>'SatışEkibi YS-Yen. Hed - 671'!$F$52*'Satış YS-Yen.Hed (Ayık) - 671'!M$2</f>
        <v>118.74999999999999</v>
      </c>
      <c r="N96" s="276">
        <f>'SatışEkibi YS-Yen. Hed - 671'!$F$52*'Satış YS-Yen.Hed (Ayık) - 671'!N$2</f>
        <v>135.15625</v>
      </c>
      <c r="O96" s="295">
        <f t="shared" si="57"/>
        <v>1250</v>
      </c>
      <c r="Q96" s="277" t="str">
        <f t="shared" si="56"/>
        <v>Varuna</v>
      </c>
      <c r="R96" s="278" t="str">
        <f t="shared" si="58"/>
        <v>Yeni Satış</v>
      </c>
      <c r="S96" s="279">
        <f t="shared" si="59"/>
        <v>279.6875</v>
      </c>
      <c r="T96" s="279">
        <f t="shared" si="60"/>
        <v>310.9375</v>
      </c>
      <c r="U96" s="279">
        <f t="shared" si="61"/>
        <v>288.28125</v>
      </c>
      <c r="V96" s="279">
        <f t="shared" si="62"/>
        <v>371.09375</v>
      </c>
      <c r="W96" s="279">
        <f t="shared" si="63"/>
        <v>1250</v>
      </c>
    </row>
    <row r="97" spans="1:23" s="269" customFormat="1" ht="16" hidden="1" customHeight="1" outlineLevel="1" x14ac:dyDescent="0.2">
      <c r="A97" s="293" t="s">
        <v>34</v>
      </c>
      <c r="B97" s="294" t="s">
        <v>26</v>
      </c>
      <c r="C97" s="276">
        <f>'SatışEkibi YS-Yen. Hed - 671'!$G$52*'Satış YS-Yen.Hed (Ayık) - 671'!C$2</f>
        <v>113.78625000000001</v>
      </c>
      <c r="D97" s="276">
        <f>'SatışEkibi YS-Yen. Hed - 671'!$G$52*'Satış YS-Yen.Hed (Ayık) - 671'!D$2</f>
        <v>113.78625000000001</v>
      </c>
      <c r="E97" s="276">
        <f>'SatışEkibi YS-Yen. Hed - 671'!$G$52*'Satış YS-Yen.Hed (Ayık) - 671'!E$2</f>
        <v>129.75624999999999</v>
      </c>
      <c r="F97" s="276">
        <f>'SatışEkibi YS-Yen. Hed - 671'!$G$52*'Satış YS-Yen.Hed (Ayık) - 671'!F$2</f>
        <v>126.761875</v>
      </c>
      <c r="G97" s="276">
        <f>'SatışEkibi YS-Yen. Hed - 671'!$G$52*'Satış YS-Yen.Hed (Ayık) - 671'!G$2</f>
        <v>126.761875</v>
      </c>
      <c r="H97" s="276">
        <f>'SatışEkibi YS-Yen. Hed - 671'!$G$52*'Satış YS-Yen.Hed (Ayık) - 671'!H$2</f>
        <v>143.72999999999996</v>
      </c>
      <c r="I97" s="276">
        <f>'SatışEkibi YS-Yen. Hed - 671'!$G$52*'Satış YS-Yen.Hed (Ayık) - 671'!I$2</f>
        <v>119.77499999999999</v>
      </c>
      <c r="J97" s="276">
        <f>'SatışEkibi YS-Yen. Hed - 671'!$G$52*'Satış YS-Yen.Hed (Ayık) - 671'!J$2</f>
        <v>120.77312499999999</v>
      </c>
      <c r="K97" s="276">
        <f>'SatışEkibi YS-Yen. Hed - 671'!$G$52*'Satış YS-Yen.Hed (Ayık) - 671'!K$2</f>
        <v>127.76</v>
      </c>
      <c r="L97" s="276">
        <f>'SatışEkibi YS-Yen. Hed - 671'!$G$52*'Satış YS-Yen.Hed (Ayık) - 671'!L$2</f>
        <v>149.71874999999997</v>
      </c>
      <c r="M97" s="276">
        <f>'SatışEkibi YS-Yen. Hed - 671'!$G$52*'Satış YS-Yen.Hed (Ayık) - 671'!M$2</f>
        <v>151.71499999999997</v>
      </c>
      <c r="N97" s="276">
        <f>'SatışEkibi YS-Yen. Hed - 671'!$G$52*'Satış YS-Yen.Hed (Ayık) - 671'!N$2</f>
        <v>172.675625</v>
      </c>
      <c r="O97" s="295">
        <f t="shared" si="57"/>
        <v>1597</v>
      </c>
      <c r="Q97" s="277" t="str">
        <f t="shared" si="56"/>
        <v>Hosting</v>
      </c>
      <c r="R97" s="278" t="str">
        <f t="shared" si="58"/>
        <v>Yeni Satış</v>
      </c>
      <c r="S97" s="279">
        <f t="shared" si="59"/>
        <v>357.32875000000001</v>
      </c>
      <c r="T97" s="279">
        <f t="shared" si="60"/>
        <v>397.25374999999997</v>
      </c>
      <c r="U97" s="279">
        <f t="shared" si="61"/>
        <v>368.30812499999996</v>
      </c>
      <c r="V97" s="279">
        <f t="shared" si="62"/>
        <v>474.10937499999989</v>
      </c>
      <c r="W97" s="279">
        <f t="shared" si="63"/>
        <v>1597</v>
      </c>
    </row>
    <row r="98" spans="1:23" s="269" customFormat="1" ht="16" hidden="1" customHeight="1" outlineLevel="1" x14ac:dyDescent="0.2">
      <c r="A98" s="293" t="s">
        <v>34</v>
      </c>
      <c r="B98" s="294" t="s">
        <v>28</v>
      </c>
      <c r="C98" s="276">
        <f>'SatışEkibi YS-Yen. Hed - 671'!$G$53*'Satış YS-Yen.Hed (Ayık) - 671'!C$2</f>
        <v>141.36000000000001</v>
      </c>
      <c r="D98" s="276">
        <f>'SatışEkibi YS-Yen. Hed - 671'!$G$53*'Satış YS-Yen.Hed (Ayık) - 671'!D$2</f>
        <v>141.36000000000001</v>
      </c>
      <c r="E98" s="276">
        <f>'SatışEkibi YS-Yen. Hed - 671'!$G$53*'Satış YS-Yen.Hed (Ayık) - 671'!E$2</f>
        <v>161.20000000000002</v>
      </c>
      <c r="F98" s="276">
        <f>'SatışEkibi YS-Yen. Hed - 671'!$G$53*'Satış YS-Yen.Hed (Ayık) - 671'!F$2</f>
        <v>157.47999999999999</v>
      </c>
      <c r="G98" s="276">
        <f>'SatışEkibi YS-Yen. Hed - 671'!$G$53*'Satış YS-Yen.Hed (Ayık) - 671'!G$2</f>
        <v>157.47999999999999</v>
      </c>
      <c r="H98" s="276">
        <f>'SatışEkibi YS-Yen. Hed - 671'!$G$53*'Satış YS-Yen.Hed (Ayık) - 671'!H$2</f>
        <v>178.55999999999997</v>
      </c>
      <c r="I98" s="276">
        <f>'SatışEkibi YS-Yen. Hed - 671'!$G$53*'Satış YS-Yen.Hed (Ayık) - 671'!I$2</f>
        <v>148.79999999999998</v>
      </c>
      <c r="J98" s="276">
        <f>'SatışEkibi YS-Yen. Hed - 671'!$G$53*'Satış YS-Yen.Hed (Ayık) - 671'!J$2</f>
        <v>150.04</v>
      </c>
      <c r="K98" s="276">
        <f>'SatışEkibi YS-Yen. Hed - 671'!$G$53*'Satış YS-Yen.Hed (Ayık) - 671'!K$2</f>
        <v>158.72</v>
      </c>
      <c r="L98" s="276">
        <f>'SatışEkibi YS-Yen. Hed - 671'!$G$53*'Satış YS-Yen.Hed (Ayık) - 671'!L$2</f>
        <v>185.99999999999997</v>
      </c>
      <c r="M98" s="276">
        <f>'SatışEkibi YS-Yen. Hed - 671'!$G$53*'Satış YS-Yen.Hed (Ayık) - 671'!M$2</f>
        <v>188.47999999999996</v>
      </c>
      <c r="N98" s="276">
        <f>'SatışEkibi YS-Yen. Hed - 671'!$G$53*'Satış YS-Yen.Hed (Ayık) - 671'!N$2</f>
        <v>214.52</v>
      </c>
      <c r="O98" s="295">
        <f t="shared" si="57"/>
        <v>1984</v>
      </c>
      <c r="Q98" s="277" t="str">
        <f t="shared" si="56"/>
        <v>Hosting</v>
      </c>
      <c r="R98" s="278" t="str">
        <f t="shared" si="58"/>
        <v>Yenileme</v>
      </c>
      <c r="S98" s="279">
        <f t="shared" si="59"/>
        <v>443.92000000000007</v>
      </c>
      <c r="T98" s="279">
        <f t="shared" si="60"/>
        <v>493.52</v>
      </c>
      <c r="U98" s="279">
        <f t="shared" si="61"/>
        <v>457.55999999999995</v>
      </c>
      <c r="V98" s="279">
        <f t="shared" si="62"/>
        <v>588.99999999999989</v>
      </c>
      <c r="W98" s="279">
        <f t="shared" si="63"/>
        <v>1984</v>
      </c>
    </row>
    <row r="99" spans="1:23" s="269" customFormat="1" ht="16" hidden="1" customHeight="1" outlineLevel="1" x14ac:dyDescent="0.2">
      <c r="A99" s="293" t="s">
        <v>53</v>
      </c>
      <c r="B99" s="294" t="s">
        <v>26</v>
      </c>
      <c r="C99" s="276">
        <f>'SatışEkibi YS-Yen. Hed - 671'!$H$52*'Satış YS-Yen.Hed (Ayık) - 671'!C$2</f>
        <v>570.00000000000011</v>
      </c>
      <c r="D99" s="276">
        <f>'SatışEkibi YS-Yen. Hed - 671'!$H$52*'Satış YS-Yen.Hed (Ayık) - 671'!D$2</f>
        <v>570.00000000000011</v>
      </c>
      <c r="E99" s="276">
        <f>'SatışEkibi YS-Yen. Hed - 671'!$H$52*'Satış YS-Yen.Hed (Ayık) - 671'!E$2</f>
        <v>650</v>
      </c>
      <c r="F99" s="276">
        <f>'SatışEkibi YS-Yen. Hed - 671'!$H$52*'Satış YS-Yen.Hed (Ayık) - 671'!F$2</f>
        <v>635</v>
      </c>
      <c r="G99" s="276">
        <f>'SatışEkibi YS-Yen. Hed - 671'!$H$52*'Satış YS-Yen.Hed (Ayık) - 671'!G$2</f>
        <v>635</v>
      </c>
      <c r="H99" s="276">
        <f>'SatışEkibi YS-Yen. Hed - 671'!$H$52*'Satış YS-Yen.Hed (Ayık) - 671'!H$2</f>
        <v>719.99999999999989</v>
      </c>
      <c r="I99" s="276">
        <f>'SatışEkibi YS-Yen. Hed - 671'!$H$52*'Satış YS-Yen.Hed (Ayık) - 671'!I$2</f>
        <v>600</v>
      </c>
      <c r="J99" s="276">
        <f>'SatışEkibi YS-Yen. Hed - 671'!$H$52*'Satış YS-Yen.Hed (Ayık) - 671'!J$2</f>
        <v>605</v>
      </c>
      <c r="K99" s="276">
        <f>'SatışEkibi YS-Yen. Hed - 671'!$H$52*'Satış YS-Yen.Hed (Ayık) - 671'!K$2</f>
        <v>640</v>
      </c>
      <c r="L99" s="276">
        <f>'SatışEkibi YS-Yen. Hed - 671'!$H$52*'Satış YS-Yen.Hed (Ayık) - 671'!L$2</f>
        <v>749.99999999999989</v>
      </c>
      <c r="M99" s="276">
        <f>'SatışEkibi YS-Yen. Hed - 671'!$H$52*'Satış YS-Yen.Hed (Ayık) - 671'!M$2</f>
        <v>759.99999999999989</v>
      </c>
      <c r="N99" s="276">
        <f>'SatışEkibi YS-Yen. Hed - 671'!$H$52*'Satış YS-Yen.Hed (Ayık) - 671'!N$2</f>
        <v>865</v>
      </c>
      <c r="O99" s="295">
        <f>SUM(C99:N99)</f>
        <v>8000</v>
      </c>
      <c r="Q99" s="277" t="str">
        <f t="shared" si="56"/>
        <v>E-Dönüşüm</v>
      </c>
      <c r="R99" s="278" t="str">
        <f t="shared" si="58"/>
        <v>Yeni Satış</v>
      </c>
      <c r="S99" s="279">
        <f t="shared" si="59"/>
        <v>1790.0000000000002</v>
      </c>
      <c r="T99" s="279">
        <f t="shared" si="60"/>
        <v>1990</v>
      </c>
      <c r="U99" s="279">
        <f t="shared" si="61"/>
        <v>1845</v>
      </c>
      <c r="V99" s="279">
        <f t="shared" si="62"/>
        <v>2375</v>
      </c>
      <c r="W99" s="279">
        <f>SUM(S99:V99)</f>
        <v>8000</v>
      </c>
    </row>
    <row r="100" spans="1:23" s="269" customFormat="1" ht="16" hidden="1" customHeight="1" outlineLevel="1" x14ac:dyDescent="0.2">
      <c r="A100" s="293" t="s">
        <v>53</v>
      </c>
      <c r="B100" s="294" t="s">
        <v>28</v>
      </c>
      <c r="C100" s="276">
        <f>'SatışEkibi YS-Yen. Hed - 671'!$H$53*'Satış YS-Yen.Hed (Ayık) - 671'!C$2</f>
        <v>0</v>
      </c>
      <c r="D100" s="276">
        <f>'SatışEkibi YS-Yen. Hed - 671'!$H$53*'Satış YS-Yen.Hed (Ayık) - 671'!D$2</f>
        <v>0</v>
      </c>
      <c r="E100" s="276">
        <f>'SatışEkibi YS-Yen. Hed - 671'!$H$53*'Satış YS-Yen.Hed (Ayık) - 671'!E$2</f>
        <v>0</v>
      </c>
      <c r="F100" s="276">
        <f>'SatışEkibi YS-Yen. Hed - 671'!$H$53*'Satış YS-Yen.Hed (Ayık) - 671'!F$2</f>
        <v>0</v>
      </c>
      <c r="G100" s="276">
        <f>'SatışEkibi YS-Yen. Hed - 671'!$H$53*'Satış YS-Yen.Hed (Ayık) - 671'!G$2</f>
        <v>0</v>
      </c>
      <c r="H100" s="276">
        <f>'SatışEkibi YS-Yen. Hed - 671'!$H$53*'Satış YS-Yen.Hed (Ayık) - 671'!H$2</f>
        <v>0</v>
      </c>
      <c r="I100" s="276">
        <f>'SatışEkibi YS-Yen. Hed - 671'!$H$53*'Satış YS-Yen.Hed (Ayık) - 671'!I$2</f>
        <v>0</v>
      </c>
      <c r="J100" s="276">
        <f>'SatışEkibi YS-Yen. Hed - 671'!$H$53*'Satış YS-Yen.Hed (Ayık) - 671'!J$2</f>
        <v>0</v>
      </c>
      <c r="K100" s="276">
        <f>'SatışEkibi YS-Yen. Hed - 671'!$H$53*'Satış YS-Yen.Hed (Ayık) - 671'!K$2</f>
        <v>0</v>
      </c>
      <c r="L100" s="276">
        <f>'SatışEkibi YS-Yen. Hed - 671'!$H$53*'Satış YS-Yen.Hed (Ayık) - 671'!L$2</f>
        <v>0</v>
      </c>
      <c r="M100" s="276">
        <f>'SatışEkibi YS-Yen. Hed - 671'!$H$53*'Satış YS-Yen.Hed (Ayık) - 671'!M$2</f>
        <v>0</v>
      </c>
      <c r="N100" s="276">
        <f>'SatışEkibi YS-Yen. Hed - 671'!$H$53*'Satış YS-Yen.Hed (Ayık) - 671'!N$2</f>
        <v>0</v>
      </c>
      <c r="O100" s="295">
        <f>SUM(C100:N100)</f>
        <v>0</v>
      </c>
      <c r="Q100" s="277" t="str">
        <f t="shared" si="56"/>
        <v>E-Dönüşüm</v>
      </c>
      <c r="R100" s="278" t="str">
        <f t="shared" si="58"/>
        <v>Yenileme</v>
      </c>
      <c r="S100" s="279">
        <f t="shared" si="59"/>
        <v>0</v>
      </c>
      <c r="T100" s="279">
        <f t="shared" si="60"/>
        <v>0</v>
      </c>
      <c r="U100" s="279">
        <f t="shared" si="61"/>
        <v>0</v>
      </c>
      <c r="V100" s="279">
        <f t="shared" si="62"/>
        <v>0</v>
      </c>
      <c r="W100" s="279">
        <f>SUM(S100:V100)</f>
        <v>0</v>
      </c>
    </row>
    <row r="101" spans="1:23" s="269" customFormat="1" ht="16" hidden="1" customHeight="1" outlineLevel="1" x14ac:dyDescent="0.2">
      <c r="A101" s="293" t="s">
        <v>35</v>
      </c>
      <c r="B101" s="294" t="s">
        <v>26</v>
      </c>
      <c r="C101" s="276">
        <f>'SatışEkibi YS-Yen. Hed - 671'!$I$52*'Satış YS-Yen.Hed (Ayık) - 671'!C$2</f>
        <v>142.50000000000003</v>
      </c>
      <c r="D101" s="276">
        <f>'SatışEkibi YS-Yen. Hed - 671'!$I$52*'Satış YS-Yen.Hed (Ayık) - 671'!D$2</f>
        <v>142.50000000000003</v>
      </c>
      <c r="E101" s="276">
        <f>'SatışEkibi YS-Yen. Hed - 671'!$I$52*'Satış YS-Yen.Hed (Ayık) - 671'!E$2</f>
        <v>162.5</v>
      </c>
      <c r="F101" s="276">
        <f>'SatışEkibi YS-Yen. Hed - 671'!$I$52*'Satış YS-Yen.Hed (Ayık) - 671'!F$2</f>
        <v>158.75</v>
      </c>
      <c r="G101" s="276">
        <f>'SatışEkibi YS-Yen. Hed - 671'!$I$52*'Satış YS-Yen.Hed (Ayık) - 671'!G$2</f>
        <v>158.75</v>
      </c>
      <c r="H101" s="276">
        <f>'SatışEkibi YS-Yen. Hed - 671'!$I$52*'Satış YS-Yen.Hed (Ayık) - 671'!H$2</f>
        <v>179.99999999999997</v>
      </c>
      <c r="I101" s="276">
        <f>'SatışEkibi YS-Yen. Hed - 671'!$I$52*'Satış YS-Yen.Hed (Ayık) - 671'!I$2</f>
        <v>150</v>
      </c>
      <c r="J101" s="276">
        <f>'SatışEkibi YS-Yen. Hed - 671'!$I$52*'Satış YS-Yen.Hed (Ayık) - 671'!J$2</f>
        <v>151.25</v>
      </c>
      <c r="K101" s="276">
        <f>'SatışEkibi YS-Yen. Hed - 671'!$I$52*'Satış YS-Yen.Hed (Ayık) - 671'!K$2</f>
        <v>160</v>
      </c>
      <c r="L101" s="276">
        <f>'SatışEkibi YS-Yen. Hed - 671'!$I$52*'Satış YS-Yen.Hed (Ayık) - 671'!L$2</f>
        <v>187.49999999999997</v>
      </c>
      <c r="M101" s="276">
        <f>'SatışEkibi YS-Yen. Hed - 671'!$I$52*'Satış YS-Yen.Hed (Ayık) - 671'!M$2</f>
        <v>189.99999999999997</v>
      </c>
      <c r="N101" s="276">
        <f>'SatışEkibi YS-Yen. Hed - 671'!$I$52*'Satış YS-Yen.Hed (Ayık) - 671'!N$2</f>
        <v>216.25</v>
      </c>
      <c r="O101" s="295">
        <f t="shared" si="57"/>
        <v>2000</v>
      </c>
      <c r="Q101" s="277" t="str">
        <f t="shared" si="56"/>
        <v>BFH</v>
      </c>
      <c r="R101" s="278" t="str">
        <f t="shared" si="58"/>
        <v>Yeni Satış</v>
      </c>
      <c r="S101" s="279">
        <f t="shared" si="59"/>
        <v>447.50000000000006</v>
      </c>
      <c r="T101" s="279">
        <f t="shared" si="60"/>
        <v>497.5</v>
      </c>
      <c r="U101" s="279">
        <f t="shared" si="61"/>
        <v>461.25</v>
      </c>
      <c r="V101" s="279">
        <f t="shared" si="62"/>
        <v>593.75</v>
      </c>
      <c r="W101" s="279">
        <f t="shared" si="63"/>
        <v>2000</v>
      </c>
    </row>
    <row r="102" spans="1:23" s="269" customFormat="1" ht="16" customHeight="1" collapsed="1" x14ac:dyDescent="0.2">
      <c r="A102" s="283" t="s">
        <v>30</v>
      </c>
      <c r="B102" s="284" t="s">
        <v>26</v>
      </c>
      <c r="C102" s="282">
        <f>SUMIF($B$5:$B$15,"Yeni Satış",C90:C101)</f>
        <v>1400.8612188155244</v>
      </c>
      <c r="D102" s="282">
        <f t="shared" ref="D102:N102" si="64">SUMIF($B$5:$B$15,"Yeni Satış",D90:D101)</f>
        <v>1400.8612188155244</v>
      </c>
      <c r="E102" s="282">
        <f t="shared" si="64"/>
        <v>1597.4733197019139</v>
      </c>
      <c r="F102" s="282">
        <f t="shared" si="64"/>
        <v>1560.6085507857156</v>
      </c>
      <c r="G102" s="282">
        <f t="shared" si="64"/>
        <v>1560.6085507857156</v>
      </c>
      <c r="H102" s="282">
        <f t="shared" si="64"/>
        <v>1769.5089079775039</v>
      </c>
      <c r="I102" s="282">
        <f t="shared" si="64"/>
        <v>1474.5907566479202</v>
      </c>
      <c r="J102" s="282">
        <f t="shared" si="64"/>
        <v>1486.8790129533195</v>
      </c>
      <c r="K102" s="282">
        <f t="shared" si="64"/>
        <v>1572.8968070911151</v>
      </c>
      <c r="L102" s="282">
        <f t="shared" si="64"/>
        <v>1843.2384458099002</v>
      </c>
      <c r="M102" s="282">
        <f t="shared" si="64"/>
        <v>1867.814958420699</v>
      </c>
      <c r="N102" s="282">
        <f t="shared" si="64"/>
        <v>2125.8683408340853</v>
      </c>
      <c r="O102" s="296">
        <f>SUMIF(B90:B101,"Yeni Satış",O90:O101)</f>
        <v>34649</v>
      </c>
      <c r="Q102" s="283" t="s">
        <v>30</v>
      </c>
      <c r="R102" s="284" t="str">
        <f t="shared" si="58"/>
        <v>Yeni Satış</v>
      </c>
      <c r="S102" s="285">
        <f>SUMIF(R90:R101,"Yeni Satış",S90:S101)</f>
        <v>7752.7137499999999</v>
      </c>
      <c r="T102" s="285">
        <f>SUMIF(R90:R101,"Yeni Satış",T90:T101)</f>
        <v>8618.9387499999993</v>
      </c>
      <c r="U102" s="285">
        <f>SUMIF(R90:R101,"Yeni Satış",U90:U101)</f>
        <v>7990.9256249999989</v>
      </c>
      <c r="V102" s="285">
        <f>SUMIF(R90:R101,"Yeni Satış",V90:V101)</f>
        <v>10286.421875</v>
      </c>
      <c r="W102" s="285">
        <f t="shared" si="63"/>
        <v>34649</v>
      </c>
    </row>
    <row r="103" spans="1:23" s="269" customFormat="1" ht="16" customHeight="1" x14ac:dyDescent="0.2">
      <c r="A103" s="283" t="s">
        <v>30</v>
      </c>
      <c r="B103" s="284" t="s">
        <v>28</v>
      </c>
      <c r="C103" s="282">
        <f>SUMIF($B$5:$B$15,"Yenileme",C90:C102)</f>
        <v>1810.1775000000002</v>
      </c>
      <c r="D103" s="282">
        <f t="shared" ref="D103:N103" si="65">SUMIF($B$5:$B$15,"Yenileme",D90:D102)</f>
        <v>1810.1775000000002</v>
      </c>
      <c r="E103" s="282">
        <f t="shared" si="65"/>
        <v>2064.2375000000002</v>
      </c>
      <c r="F103" s="282">
        <f t="shared" si="65"/>
        <v>2016.6012499999999</v>
      </c>
      <c r="G103" s="282">
        <f t="shared" si="65"/>
        <v>2016.6012499999999</v>
      </c>
      <c r="H103" s="282">
        <f t="shared" si="65"/>
        <v>2286.5399999999995</v>
      </c>
      <c r="I103" s="282">
        <f t="shared" si="65"/>
        <v>1905.45</v>
      </c>
      <c r="J103" s="282">
        <f t="shared" si="65"/>
        <v>1921.3287499999999</v>
      </c>
      <c r="K103" s="282">
        <f t="shared" si="65"/>
        <v>2032.48</v>
      </c>
      <c r="L103" s="282">
        <f t="shared" si="65"/>
        <v>2381.8124999999995</v>
      </c>
      <c r="M103" s="282">
        <f t="shared" si="65"/>
        <v>2413.5699999999997</v>
      </c>
      <c r="N103" s="282">
        <f t="shared" si="65"/>
        <v>2747.0237500000003</v>
      </c>
      <c r="O103" s="296">
        <f>SUMIF(B90:B101,"Yenileme",O90:O101)</f>
        <v>12418.210088638938</v>
      </c>
      <c r="Q103" s="283" t="s">
        <v>30</v>
      </c>
      <c r="R103" s="284" t="str">
        <f t="shared" si="58"/>
        <v>Yenileme</v>
      </c>
      <c r="S103" s="285">
        <f>SUMIF(R90:R101,"Yenileme",S90:S101)</f>
        <v>2778.5745073329622</v>
      </c>
      <c r="T103" s="285">
        <f>SUMIF(R90:R101,"Yenileme",T90:T101)</f>
        <v>3089.0297595489351</v>
      </c>
      <c r="U103" s="285">
        <f>SUMIF(R90:R101,"Yenileme",U90:U101)</f>
        <v>2863.9497016923547</v>
      </c>
      <c r="V103" s="285">
        <f>SUMIF(R90:R101,"Yenileme",V90:V101)</f>
        <v>3686.6561200646843</v>
      </c>
      <c r="W103" s="285">
        <f t="shared" si="63"/>
        <v>12418.210088638936</v>
      </c>
    </row>
    <row r="104" spans="1:23" s="269" customFormat="1" ht="16" customHeight="1" x14ac:dyDescent="0.2">
      <c r="A104" s="297" t="s">
        <v>38</v>
      </c>
      <c r="B104" s="298" t="s">
        <v>144</v>
      </c>
      <c r="C104" s="288">
        <f>SUM(C102:C103)</f>
        <v>3211.0387188155246</v>
      </c>
      <c r="D104" s="288">
        <f t="shared" ref="D104:N104" si="66">SUM(D102:D103)</f>
        <v>3211.0387188155246</v>
      </c>
      <c r="E104" s="288">
        <f t="shared" si="66"/>
        <v>3661.7108197019143</v>
      </c>
      <c r="F104" s="288">
        <f t="shared" si="66"/>
        <v>3577.2098007857157</v>
      </c>
      <c r="G104" s="288">
        <f t="shared" si="66"/>
        <v>3577.2098007857157</v>
      </c>
      <c r="H104" s="288">
        <f t="shared" si="66"/>
        <v>4056.0489079775034</v>
      </c>
      <c r="I104" s="288">
        <f t="shared" si="66"/>
        <v>3380.0407566479203</v>
      </c>
      <c r="J104" s="288">
        <f t="shared" si="66"/>
        <v>3408.2077629533196</v>
      </c>
      <c r="K104" s="288">
        <f t="shared" si="66"/>
        <v>3605.3768070911151</v>
      </c>
      <c r="L104" s="288">
        <f t="shared" si="66"/>
        <v>4225.0509458098995</v>
      </c>
      <c r="M104" s="288">
        <f t="shared" si="66"/>
        <v>4281.3849584206982</v>
      </c>
      <c r="N104" s="288">
        <f t="shared" si="66"/>
        <v>4872.892090834086</v>
      </c>
      <c r="O104" s="304">
        <f>O102+O103</f>
        <v>47067.210088638938</v>
      </c>
      <c r="Q104" s="297" t="s">
        <v>38</v>
      </c>
      <c r="R104" s="298" t="str">
        <f t="shared" si="58"/>
        <v>YS + Yen.</v>
      </c>
      <c r="S104" s="302">
        <f>S102+S103</f>
        <v>10531.288257332963</v>
      </c>
      <c r="T104" s="302">
        <f>T102+T103</f>
        <v>11707.968509548935</v>
      </c>
      <c r="U104" s="302">
        <f>U102+U103</f>
        <v>10854.875326692354</v>
      </c>
      <c r="V104" s="302">
        <f>V102+V103</f>
        <v>13973.077995064685</v>
      </c>
      <c r="W104" s="291">
        <f>W102+W103</f>
        <v>47067.210088638938</v>
      </c>
    </row>
    <row r="105" spans="1:23" s="269" customFormat="1" ht="16" customHeight="1" x14ac:dyDescent="0.2">
      <c r="S105" s="292"/>
      <c r="T105" s="292"/>
      <c r="U105" s="292"/>
      <c r="V105" s="292"/>
      <c r="W105" s="292"/>
    </row>
    <row r="106" spans="1:23" s="269" customFormat="1" x14ac:dyDescent="0.2">
      <c r="A106" s="333" t="s">
        <v>170</v>
      </c>
      <c r="B106" s="333"/>
      <c r="C106" s="266" t="s">
        <v>131</v>
      </c>
      <c r="D106" s="266" t="s">
        <v>132</v>
      </c>
      <c r="E106" s="266" t="s">
        <v>133</v>
      </c>
      <c r="F106" s="266" t="s">
        <v>134</v>
      </c>
      <c r="G106" s="266" t="s">
        <v>135</v>
      </c>
      <c r="H106" s="266" t="s">
        <v>136</v>
      </c>
      <c r="I106" s="266" t="s">
        <v>137</v>
      </c>
      <c r="J106" s="266" t="s">
        <v>138</v>
      </c>
      <c r="K106" s="266" t="s">
        <v>139</v>
      </c>
      <c r="L106" s="266" t="s">
        <v>140</v>
      </c>
      <c r="M106" s="266" t="s">
        <v>141</v>
      </c>
      <c r="N106" s="266" t="s">
        <v>142</v>
      </c>
      <c r="O106" s="266" t="s">
        <v>143</v>
      </c>
      <c r="Q106" s="301" t="str">
        <f>A106</f>
        <v>Dilara Bogu  —  Direk Satış</v>
      </c>
      <c r="R106" s="301"/>
      <c r="S106" s="266" t="s">
        <v>154</v>
      </c>
      <c r="T106" s="266" t="s">
        <v>155</v>
      </c>
      <c r="U106" s="266" t="s">
        <v>156</v>
      </c>
      <c r="V106" s="266" t="s">
        <v>157</v>
      </c>
      <c r="W106" s="266" t="s">
        <v>143</v>
      </c>
    </row>
    <row r="107" spans="1:23" s="269" customFormat="1" ht="16" hidden="1" customHeight="1" outlineLevel="1" x14ac:dyDescent="0.2">
      <c r="A107" s="293" t="s">
        <v>32</v>
      </c>
      <c r="B107" s="294" t="s">
        <v>26</v>
      </c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>
        <f>SUM(C107:N107)</f>
        <v>0</v>
      </c>
      <c r="Q107" s="277" t="str">
        <f>A107</f>
        <v>Varuna</v>
      </c>
      <c r="R107" s="278" t="str">
        <f>B107</f>
        <v>Yeni Satış</v>
      </c>
      <c r="S107" s="279">
        <f>SUM(C107:E107)</f>
        <v>0</v>
      </c>
      <c r="T107" s="279">
        <f>SUM(F107:H107)</f>
        <v>0</v>
      </c>
      <c r="U107" s="279">
        <f>SUM(I107:K107)</f>
        <v>0</v>
      </c>
      <c r="V107" s="279">
        <f>SUM(L107:N107)</f>
        <v>0</v>
      </c>
      <c r="W107" s="279">
        <f>SUM(S107:V107)</f>
        <v>0</v>
      </c>
    </row>
    <row r="108" spans="1:23" s="269" customFormat="1" ht="16" hidden="1" customHeight="1" outlineLevel="1" x14ac:dyDescent="0.2">
      <c r="A108" s="293" t="s">
        <v>32</v>
      </c>
      <c r="B108" s="294" t="s">
        <v>28</v>
      </c>
      <c r="C108" s="295">
        <f>'SatışEkibi YS-Yen. Hed - 671'!$F$56*'Satış YS-Yen.Hed (Ayık) - 671'!C$2</f>
        <v>272.60250000000002</v>
      </c>
      <c r="D108" s="295">
        <f>'SatışEkibi YS-Yen. Hed - 671'!$F$56*'Satış YS-Yen.Hed (Ayık) - 671'!D$2</f>
        <v>272.60250000000002</v>
      </c>
      <c r="E108" s="295">
        <f>'SatışEkibi YS-Yen. Hed - 671'!$F$56*'Satış YS-Yen.Hed (Ayık) - 671'!E$2</f>
        <v>310.86250000000001</v>
      </c>
      <c r="F108" s="295">
        <f>'SatışEkibi YS-Yen. Hed - 671'!$F$56*'Satış YS-Yen.Hed (Ayık) - 671'!F$2</f>
        <v>303.68875000000003</v>
      </c>
      <c r="G108" s="295">
        <f>'SatışEkibi YS-Yen. Hed - 671'!$F$56*'Satış YS-Yen.Hed (Ayık) - 671'!G$2</f>
        <v>303.68875000000003</v>
      </c>
      <c r="H108" s="295">
        <f>'SatışEkibi YS-Yen. Hed - 671'!$F$56*'Satış YS-Yen.Hed (Ayık) - 671'!H$2</f>
        <v>344.33999999999992</v>
      </c>
      <c r="I108" s="295">
        <f>'SatışEkibi YS-Yen. Hed - 671'!$F$56*'Satış YS-Yen.Hed (Ayık) - 671'!I$2</f>
        <v>286.95</v>
      </c>
      <c r="J108" s="295">
        <f>'SatışEkibi YS-Yen. Hed - 671'!$F$56*'Satış YS-Yen.Hed (Ayık) - 671'!J$2</f>
        <v>289.34125</v>
      </c>
      <c r="K108" s="295">
        <f>'SatışEkibi YS-Yen. Hed - 671'!$F$56*'Satış YS-Yen.Hed (Ayık) - 671'!K$2</f>
        <v>306.08</v>
      </c>
      <c r="L108" s="295">
        <f>'SatışEkibi YS-Yen. Hed - 671'!$F$56*'Satış YS-Yen.Hed (Ayık) - 671'!L$2</f>
        <v>358.68749999999994</v>
      </c>
      <c r="M108" s="295">
        <f>'SatışEkibi YS-Yen. Hed - 671'!$F$56*'Satış YS-Yen.Hed (Ayık) - 671'!M$2</f>
        <v>363.46999999999997</v>
      </c>
      <c r="N108" s="295">
        <f>'SatışEkibi YS-Yen. Hed - 671'!$F$56*'Satış YS-Yen.Hed (Ayık) - 671'!N$2</f>
        <v>413.68624999999997</v>
      </c>
      <c r="O108" s="295">
        <f>SUM(C108:N108)</f>
        <v>3826</v>
      </c>
      <c r="Q108" s="277" t="str">
        <f>A108</f>
        <v>Varuna</v>
      </c>
      <c r="R108" s="278" t="str">
        <f>B108</f>
        <v>Yenileme</v>
      </c>
      <c r="S108" s="279">
        <f>SUM(C108:E108)</f>
        <v>856.06750000000011</v>
      </c>
      <c r="T108" s="279">
        <f>SUM(F108:H108)</f>
        <v>951.71749999999997</v>
      </c>
      <c r="U108" s="279">
        <f>SUM(I108:K108)</f>
        <v>882.37124999999992</v>
      </c>
      <c r="V108" s="279">
        <f>SUM(L108:N108)</f>
        <v>1135.84375</v>
      </c>
      <c r="W108" s="279">
        <f>SUM(S108:V108)</f>
        <v>3826</v>
      </c>
    </row>
    <row r="109" spans="1:23" s="269" customFormat="1" ht="16" customHeight="1" collapsed="1" x14ac:dyDescent="0.2">
      <c r="A109" s="283" t="s">
        <v>30</v>
      </c>
      <c r="B109" s="284" t="s">
        <v>26</v>
      </c>
      <c r="C109" s="282">
        <f>C107</f>
        <v>0</v>
      </c>
      <c r="D109" s="282">
        <f t="shared" ref="D109:N110" si="67">D107</f>
        <v>0</v>
      </c>
      <c r="E109" s="282">
        <f t="shared" si="67"/>
        <v>0</v>
      </c>
      <c r="F109" s="282">
        <f t="shared" si="67"/>
        <v>0</v>
      </c>
      <c r="G109" s="282">
        <f t="shared" si="67"/>
        <v>0</v>
      </c>
      <c r="H109" s="282">
        <f t="shared" si="67"/>
        <v>0</v>
      </c>
      <c r="I109" s="282">
        <f t="shared" si="67"/>
        <v>0</v>
      </c>
      <c r="J109" s="282">
        <f t="shared" si="67"/>
        <v>0</v>
      </c>
      <c r="K109" s="282">
        <f t="shared" si="67"/>
        <v>0</v>
      </c>
      <c r="L109" s="282">
        <f t="shared" si="67"/>
        <v>0</v>
      </c>
      <c r="M109" s="282">
        <f t="shared" si="67"/>
        <v>0</v>
      </c>
      <c r="N109" s="282">
        <f t="shared" si="67"/>
        <v>0</v>
      </c>
      <c r="O109" s="296">
        <f>SUMIF(B107:B108,"Yeni Satış",O107:O108)</f>
        <v>0</v>
      </c>
      <c r="Q109" s="283" t="s">
        <v>30</v>
      </c>
      <c r="R109" s="284" t="str">
        <f>B109</f>
        <v>Yeni Satış</v>
      </c>
      <c r="S109" s="285">
        <f>SUMIF(R107:R108,"Yeni Satış",S107:S108)</f>
        <v>0</v>
      </c>
      <c r="T109" s="285">
        <f>SUMIF(R107:R108,"Yeni Satış",T107:T108)</f>
        <v>0</v>
      </c>
      <c r="U109" s="285">
        <f>SUMIF(R107:R108,"Yeni Satış",U107:U108)</f>
        <v>0</v>
      </c>
      <c r="V109" s="285">
        <f>SUMIF(R107:R108,"Yeni Satış",V107:V108)</f>
        <v>0</v>
      </c>
      <c r="W109" s="285">
        <f>SUM(S109:V109)</f>
        <v>0</v>
      </c>
    </row>
    <row r="110" spans="1:23" s="269" customFormat="1" ht="16" customHeight="1" x14ac:dyDescent="0.2">
      <c r="A110" s="283" t="s">
        <v>30</v>
      </c>
      <c r="B110" s="284" t="s">
        <v>28</v>
      </c>
      <c r="C110" s="282">
        <f>C108</f>
        <v>272.60250000000002</v>
      </c>
      <c r="D110" s="282">
        <f t="shared" si="67"/>
        <v>272.60250000000002</v>
      </c>
      <c r="E110" s="282">
        <f t="shared" si="67"/>
        <v>310.86250000000001</v>
      </c>
      <c r="F110" s="282">
        <f t="shared" si="67"/>
        <v>303.68875000000003</v>
      </c>
      <c r="G110" s="282">
        <f t="shared" si="67"/>
        <v>303.68875000000003</v>
      </c>
      <c r="H110" s="282">
        <f t="shared" si="67"/>
        <v>344.33999999999992</v>
      </c>
      <c r="I110" s="282">
        <f t="shared" si="67"/>
        <v>286.95</v>
      </c>
      <c r="J110" s="282">
        <f t="shared" si="67"/>
        <v>289.34125</v>
      </c>
      <c r="K110" s="282">
        <f t="shared" si="67"/>
        <v>306.08</v>
      </c>
      <c r="L110" s="282">
        <f t="shared" si="67"/>
        <v>358.68749999999994</v>
      </c>
      <c r="M110" s="282">
        <f t="shared" si="67"/>
        <v>363.46999999999997</v>
      </c>
      <c r="N110" s="282">
        <f t="shared" si="67"/>
        <v>413.68624999999997</v>
      </c>
      <c r="O110" s="296">
        <f>SUMIF(B107:B108,"Yenileme",O107:O108)</f>
        <v>3826</v>
      </c>
      <c r="Q110" s="283" t="s">
        <v>30</v>
      </c>
      <c r="R110" s="284" t="str">
        <f>B110</f>
        <v>Yenileme</v>
      </c>
      <c r="S110" s="285">
        <f>SUMIF(R107:R108,"Yenileme",S107:S108)</f>
        <v>856.06750000000011</v>
      </c>
      <c r="T110" s="285">
        <f>SUMIF(R107:R108,"Yenileme",T107:T108)</f>
        <v>951.71749999999997</v>
      </c>
      <c r="U110" s="285">
        <f>SUMIF(R107:R108,"Yenileme",U107:U108)</f>
        <v>882.37124999999992</v>
      </c>
      <c r="V110" s="285">
        <f>SUMIF(R107:R108,"Yenileme",V107:V108)</f>
        <v>1135.84375</v>
      </c>
      <c r="W110" s="285">
        <f>SUM(S110:V110)</f>
        <v>3826</v>
      </c>
    </row>
    <row r="111" spans="1:23" s="269" customFormat="1" ht="16" customHeight="1" x14ac:dyDescent="0.2">
      <c r="A111" s="297" t="s">
        <v>38</v>
      </c>
      <c r="B111" s="298" t="s">
        <v>144</v>
      </c>
      <c r="C111" s="288">
        <f>SUM(C109:C110)</f>
        <v>272.60250000000002</v>
      </c>
      <c r="D111" s="288">
        <f t="shared" ref="D111:N111" si="68">SUM(D109:D110)</f>
        <v>272.60250000000002</v>
      </c>
      <c r="E111" s="288">
        <f t="shared" si="68"/>
        <v>310.86250000000001</v>
      </c>
      <c r="F111" s="288">
        <f t="shared" si="68"/>
        <v>303.68875000000003</v>
      </c>
      <c r="G111" s="288">
        <f t="shared" si="68"/>
        <v>303.68875000000003</v>
      </c>
      <c r="H111" s="288">
        <f t="shared" si="68"/>
        <v>344.33999999999992</v>
      </c>
      <c r="I111" s="288">
        <f t="shared" si="68"/>
        <v>286.95</v>
      </c>
      <c r="J111" s="288">
        <f t="shared" si="68"/>
        <v>289.34125</v>
      </c>
      <c r="K111" s="288">
        <f t="shared" si="68"/>
        <v>306.08</v>
      </c>
      <c r="L111" s="288">
        <f t="shared" si="68"/>
        <v>358.68749999999994</v>
      </c>
      <c r="M111" s="288">
        <f t="shared" si="68"/>
        <v>363.46999999999997</v>
      </c>
      <c r="N111" s="288">
        <f t="shared" si="68"/>
        <v>413.68624999999997</v>
      </c>
      <c r="O111" s="304">
        <f>O109+O110</f>
        <v>3826</v>
      </c>
      <c r="Q111" s="297" t="s">
        <v>38</v>
      </c>
      <c r="R111" s="298" t="str">
        <f>B111</f>
        <v>YS + Yen.</v>
      </c>
      <c r="S111" s="302">
        <f>S109+S110</f>
        <v>856.06750000000011</v>
      </c>
      <c r="T111" s="302">
        <f>T109+T110</f>
        <v>951.71749999999997</v>
      </c>
      <c r="U111" s="302">
        <f>U109+U110</f>
        <v>882.37124999999992</v>
      </c>
      <c r="V111" s="302">
        <f>V109+V110</f>
        <v>1135.84375</v>
      </c>
      <c r="W111" s="291">
        <f>W109+W110</f>
        <v>3826</v>
      </c>
    </row>
    <row r="112" spans="1:23" s="269" customFormat="1" ht="16" customHeight="1" x14ac:dyDescent="0.2">
      <c r="S112" s="292"/>
      <c r="T112" s="292"/>
      <c r="U112" s="292"/>
      <c r="V112" s="292"/>
      <c r="W112" s="292"/>
    </row>
    <row r="113" spans="1:23" s="269" customFormat="1" x14ac:dyDescent="0.2">
      <c r="A113" s="264" t="s">
        <v>150</v>
      </c>
      <c r="B113" s="264"/>
      <c r="C113" s="266" t="s">
        <v>131</v>
      </c>
      <c r="D113" s="266" t="s">
        <v>132</v>
      </c>
      <c r="E113" s="266" t="s">
        <v>133</v>
      </c>
      <c r="F113" s="266" t="s">
        <v>134</v>
      </c>
      <c r="G113" s="266" t="s">
        <v>135</v>
      </c>
      <c r="H113" s="266" t="s">
        <v>136</v>
      </c>
      <c r="I113" s="266" t="s">
        <v>137</v>
      </c>
      <c r="J113" s="266" t="s">
        <v>138</v>
      </c>
      <c r="K113" s="266" t="s">
        <v>139</v>
      </c>
      <c r="L113" s="266" t="s">
        <v>140</v>
      </c>
      <c r="M113" s="266" t="s">
        <v>141</v>
      </c>
      <c r="N113" s="266" t="s">
        <v>142</v>
      </c>
      <c r="O113" s="266" t="s">
        <v>143</v>
      </c>
      <c r="Q113" s="301" t="str">
        <f t="shared" ref="Q113:Q123" si="69">A113</f>
        <v>Derya Kömleksiz  —  Kanal Satış</v>
      </c>
      <c r="R113" s="301"/>
      <c r="S113" s="266" t="s">
        <v>154</v>
      </c>
      <c r="T113" s="266" t="s">
        <v>155</v>
      </c>
      <c r="U113" s="266" t="s">
        <v>156</v>
      </c>
      <c r="V113" s="266" t="s">
        <v>157</v>
      </c>
      <c r="W113" s="266" t="s">
        <v>143</v>
      </c>
    </row>
    <row r="114" spans="1:23" s="269" customFormat="1" ht="16" hidden="1" customHeight="1" outlineLevel="1" x14ac:dyDescent="0.2">
      <c r="A114" s="293" t="s">
        <v>25</v>
      </c>
      <c r="B114" s="294" t="s">
        <v>26</v>
      </c>
      <c r="C114" s="276">
        <f>'SatışEkibi YS-Yen. Hed - 671'!$B$61*C$2</f>
        <v>178.12500000000003</v>
      </c>
      <c r="D114" s="276">
        <f>'SatışEkibi YS-Yen. Hed - 671'!$B$61*D$2</f>
        <v>178.12500000000003</v>
      </c>
      <c r="E114" s="276">
        <f>'SatışEkibi YS-Yen. Hed - 671'!$B$61*E$2</f>
        <v>203.125</v>
      </c>
      <c r="F114" s="276">
        <f>'SatışEkibi YS-Yen. Hed - 671'!$B$61*F$2</f>
        <v>198.4375</v>
      </c>
      <c r="G114" s="276">
        <f>'SatışEkibi YS-Yen. Hed - 671'!$B$61*G$2</f>
        <v>198.4375</v>
      </c>
      <c r="H114" s="276">
        <f>'SatışEkibi YS-Yen. Hed - 671'!$B$61*H$2</f>
        <v>224.99999999999994</v>
      </c>
      <c r="I114" s="276">
        <f>'SatışEkibi YS-Yen. Hed - 671'!$B$61*I$2</f>
        <v>187.5</v>
      </c>
      <c r="J114" s="276">
        <f>'SatışEkibi YS-Yen. Hed - 671'!$B$61*J$2</f>
        <v>189.0625</v>
      </c>
      <c r="K114" s="276">
        <f>'SatışEkibi YS-Yen. Hed - 671'!$B$61*K$2</f>
        <v>200</v>
      </c>
      <c r="L114" s="276">
        <f>'SatışEkibi YS-Yen. Hed - 671'!$B$61*L$2</f>
        <v>234.37499999999997</v>
      </c>
      <c r="M114" s="276">
        <f>'SatışEkibi YS-Yen. Hed - 671'!$B$61*M$2</f>
        <v>237.49999999999997</v>
      </c>
      <c r="N114" s="276">
        <f>'SatışEkibi YS-Yen. Hed - 671'!$B$61*N$2</f>
        <v>270.3125</v>
      </c>
      <c r="O114" s="295">
        <f t="shared" ref="O114:O123" si="70">SUM(C114:N114)</f>
        <v>2500</v>
      </c>
      <c r="Q114" s="277" t="str">
        <f t="shared" si="69"/>
        <v>Enroute</v>
      </c>
      <c r="R114" s="278" t="str">
        <f t="shared" ref="R114:R126" si="71">B114</f>
        <v>Yeni Satış</v>
      </c>
      <c r="S114" s="279">
        <f t="shared" ref="S114:S123" si="72">SUM(C114:E114)</f>
        <v>559.375</v>
      </c>
      <c r="T114" s="279">
        <f t="shared" ref="T114:T123" si="73">SUM(F114:H114)</f>
        <v>621.875</v>
      </c>
      <c r="U114" s="279">
        <f t="shared" ref="U114:U123" si="74">SUM(I114:K114)</f>
        <v>576.5625</v>
      </c>
      <c r="V114" s="279">
        <f t="shared" ref="V114:V123" si="75">SUM(L114:N114)</f>
        <v>742.1875</v>
      </c>
      <c r="W114" s="279">
        <f t="shared" ref="W114:W125" si="76">SUM(S114:V114)</f>
        <v>2500</v>
      </c>
    </row>
    <row r="115" spans="1:23" s="269" customFormat="1" ht="16" hidden="1" customHeight="1" outlineLevel="1" x14ac:dyDescent="0.2">
      <c r="A115" s="293" t="s">
        <v>25</v>
      </c>
      <c r="B115" s="294" t="s">
        <v>28</v>
      </c>
      <c r="C115" s="276">
        <f>'SatışEkibi YS-Yen. Hed - 671'!$B$62*'Satış YS-Yen.Hed (Ayık) - 671'!C$2</f>
        <v>464.38080975000008</v>
      </c>
      <c r="D115" s="276">
        <f>'SatışEkibi YS-Yen. Hed - 671'!$B$62*'Satış YS-Yen.Hed (Ayık) - 671'!D$2</f>
        <v>464.38080975000008</v>
      </c>
      <c r="E115" s="276">
        <f>'SatışEkibi YS-Yen. Hed - 671'!$B$62*'Satış YS-Yen.Hed (Ayık) - 671'!E$2</f>
        <v>529.55706375000011</v>
      </c>
      <c r="F115" s="276">
        <f>'SatışEkibi YS-Yen. Hed - 671'!$B$62*'Satış YS-Yen.Hed (Ayık) - 671'!F$2</f>
        <v>517.33651612500012</v>
      </c>
      <c r="G115" s="276">
        <f>'SatışEkibi YS-Yen. Hed - 671'!$B$62*'Satış YS-Yen.Hed (Ayık) - 671'!G$2</f>
        <v>517.33651612500012</v>
      </c>
      <c r="H115" s="276">
        <f>'SatışEkibi YS-Yen. Hed - 671'!$B$62*'Satış YS-Yen.Hed (Ayık) - 671'!H$2</f>
        <v>586.58628599999997</v>
      </c>
      <c r="I115" s="276">
        <f>'SatışEkibi YS-Yen. Hed - 671'!$B$62*'Satış YS-Yen.Hed (Ayık) - 671'!I$2</f>
        <v>488.82190500000002</v>
      </c>
      <c r="J115" s="276">
        <f>'SatışEkibi YS-Yen. Hed - 671'!$B$62*'Satış YS-Yen.Hed (Ayık) - 671'!J$2</f>
        <v>492.89542087500007</v>
      </c>
      <c r="K115" s="276">
        <f>'SatışEkibi YS-Yen. Hed - 671'!$B$62*'Satış YS-Yen.Hed (Ayık) - 671'!K$2</f>
        <v>521.41003200000011</v>
      </c>
      <c r="L115" s="276">
        <f>'SatışEkibi YS-Yen. Hed - 671'!$B$62*'Satış YS-Yen.Hed (Ayık) - 671'!L$2</f>
        <v>611.02738124999996</v>
      </c>
      <c r="M115" s="276">
        <f>'SatışEkibi YS-Yen. Hed - 671'!$B$62*'Satış YS-Yen.Hed (Ayık) - 671'!M$2</f>
        <v>619.17441299999996</v>
      </c>
      <c r="N115" s="276">
        <f>'SatışEkibi YS-Yen. Hed - 671'!$B$62*'Satış YS-Yen.Hed (Ayık) - 671'!N$2</f>
        <v>704.71824637500004</v>
      </c>
      <c r="O115" s="295">
        <f t="shared" si="70"/>
        <v>6517.625399999999</v>
      </c>
      <c r="Q115" s="277" t="str">
        <f t="shared" si="69"/>
        <v>Enroute</v>
      </c>
      <c r="R115" s="278" t="str">
        <f t="shared" si="71"/>
        <v>Yenileme</v>
      </c>
      <c r="S115" s="279">
        <f t="shared" si="72"/>
        <v>1458.3186832500003</v>
      </c>
      <c r="T115" s="279">
        <f t="shared" si="73"/>
        <v>1621.2593182500002</v>
      </c>
      <c r="U115" s="279">
        <f t="shared" si="74"/>
        <v>1503.1273578750001</v>
      </c>
      <c r="V115" s="279">
        <f t="shared" si="75"/>
        <v>1934.920040625</v>
      </c>
      <c r="W115" s="279">
        <f t="shared" si="76"/>
        <v>6517.6254000000008</v>
      </c>
    </row>
    <row r="116" spans="1:23" s="269" customFormat="1" ht="16" hidden="1" customHeight="1" outlineLevel="1" x14ac:dyDescent="0.2">
      <c r="A116" s="293" t="s">
        <v>29</v>
      </c>
      <c r="B116" s="294" t="s">
        <v>26</v>
      </c>
      <c r="C116" s="276">
        <f>'SatışEkibi YS-Yen. Hed - 671'!$C$61*C$2</f>
        <v>71.250000000000014</v>
      </c>
      <c r="D116" s="276">
        <f>'SatışEkibi YS-Yen. Hed - 671'!$C$61*D$2</f>
        <v>71.250000000000014</v>
      </c>
      <c r="E116" s="276">
        <f>'SatışEkibi YS-Yen. Hed - 671'!$C$61*E$2</f>
        <v>81.25</v>
      </c>
      <c r="F116" s="276">
        <f>'SatışEkibi YS-Yen. Hed - 671'!$C$61*F$2</f>
        <v>79.375</v>
      </c>
      <c r="G116" s="276">
        <f>'SatışEkibi YS-Yen. Hed - 671'!$C$61*G$2</f>
        <v>79.375</v>
      </c>
      <c r="H116" s="276">
        <f>'SatışEkibi YS-Yen. Hed - 671'!$C$61*H$2</f>
        <v>89.999999999999986</v>
      </c>
      <c r="I116" s="276">
        <f>'SatışEkibi YS-Yen. Hed - 671'!$C$61*I$2</f>
        <v>75</v>
      </c>
      <c r="J116" s="276">
        <f>'SatışEkibi YS-Yen. Hed - 671'!$C$61*J$2</f>
        <v>75.625</v>
      </c>
      <c r="K116" s="276">
        <f>'SatışEkibi YS-Yen. Hed - 671'!$C$61*K$2</f>
        <v>80</v>
      </c>
      <c r="L116" s="276">
        <f>'SatışEkibi YS-Yen. Hed - 671'!$C$61*L$2</f>
        <v>93.749999999999986</v>
      </c>
      <c r="M116" s="276">
        <f>'SatışEkibi YS-Yen. Hed - 671'!$C$61*M$2</f>
        <v>94.999999999999986</v>
      </c>
      <c r="N116" s="276">
        <f>'SatışEkibi YS-Yen. Hed - 671'!$C$61*N$2</f>
        <v>108.125</v>
      </c>
      <c r="O116" s="295">
        <f t="shared" si="70"/>
        <v>1000</v>
      </c>
      <c r="Q116" s="277" t="str">
        <f t="shared" si="69"/>
        <v>Stokbar</v>
      </c>
      <c r="R116" s="278" t="str">
        <f t="shared" si="71"/>
        <v>Yeni Satış</v>
      </c>
      <c r="S116" s="279">
        <f t="shared" si="72"/>
        <v>223.75000000000003</v>
      </c>
      <c r="T116" s="279">
        <f t="shared" si="73"/>
        <v>248.75</v>
      </c>
      <c r="U116" s="279">
        <f t="shared" si="74"/>
        <v>230.625</v>
      </c>
      <c r="V116" s="279">
        <f t="shared" si="75"/>
        <v>296.875</v>
      </c>
      <c r="W116" s="279">
        <f t="shared" si="76"/>
        <v>1000</v>
      </c>
    </row>
    <row r="117" spans="1:23" s="269" customFormat="1" ht="16" hidden="1" customHeight="1" outlineLevel="1" x14ac:dyDescent="0.2">
      <c r="A117" s="293" t="s">
        <v>29</v>
      </c>
      <c r="B117" s="294" t="s">
        <v>28</v>
      </c>
      <c r="C117" s="276">
        <f>'SatışEkibi YS-Yen. Hed - 671'!$C$62*'Satış YS-Yen.Hed (Ayık) - 671'!C$2</f>
        <v>78.80831400000001</v>
      </c>
      <c r="D117" s="276">
        <f>'SatışEkibi YS-Yen. Hed - 671'!$C$62*'Satış YS-Yen.Hed (Ayık) - 671'!D$2</f>
        <v>78.80831400000001</v>
      </c>
      <c r="E117" s="276">
        <f>'SatışEkibi YS-Yen. Hed - 671'!$C$62*'Satış YS-Yen.Hed (Ayık) - 671'!E$2</f>
        <v>89.869129999999998</v>
      </c>
      <c r="F117" s="276">
        <f>'SatışEkibi YS-Yen. Hed - 671'!$C$62*'Satış YS-Yen.Hed (Ayık) - 671'!F$2</f>
        <v>87.795226999999997</v>
      </c>
      <c r="G117" s="276">
        <f>'SatışEkibi YS-Yen. Hed - 671'!$C$62*'Satış YS-Yen.Hed (Ayık) - 671'!G$2</f>
        <v>87.795226999999997</v>
      </c>
      <c r="H117" s="276">
        <f>'SatışEkibi YS-Yen. Hed - 671'!$C$62*'Satış YS-Yen.Hed (Ayık) - 671'!H$2</f>
        <v>99.547343999999981</v>
      </c>
      <c r="I117" s="276">
        <f>'SatışEkibi YS-Yen. Hed - 671'!$C$62*'Satış YS-Yen.Hed (Ayık) - 671'!I$2</f>
        <v>82.956119999999999</v>
      </c>
      <c r="J117" s="276">
        <f>'SatışEkibi YS-Yen. Hed - 671'!$C$62*'Satış YS-Yen.Hed (Ayık) - 671'!J$2</f>
        <v>83.647420999999994</v>
      </c>
      <c r="K117" s="276">
        <f>'SatışEkibi YS-Yen. Hed - 671'!$C$62*'Satış YS-Yen.Hed (Ayık) - 671'!K$2</f>
        <v>88.486528000000007</v>
      </c>
      <c r="L117" s="276">
        <f>'SatışEkibi YS-Yen. Hed - 671'!$C$62*'Satış YS-Yen.Hed (Ayık) - 671'!L$2</f>
        <v>103.69514999999998</v>
      </c>
      <c r="M117" s="276">
        <f>'SatışEkibi YS-Yen. Hed - 671'!$C$62*'Satış YS-Yen.Hed (Ayık) - 671'!M$2</f>
        <v>105.07775199999999</v>
      </c>
      <c r="N117" s="276">
        <f>'SatışEkibi YS-Yen. Hed - 671'!$C$62*'Satış YS-Yen.Hed (Ayık) - 671'!N$2</f>
        <v>119.595073</v>
      </c>
      <c r="O117" s="295">
        <f t="shared" si="70"/>
        <v>1106.0816000000002</v>
      </c>
      <c r="Q117" s="277" t="str">
        <f t="shared" si="69"/>
        <v>Stokbar</v>
      </c>
      <c r="R117" s="278" t="str">
        <f t="shared" si="71"/>
        <v>Yenileme</v>
      </c>
      <c r="S117" s="279">
        <f t="shared" si="72"/>
        <v>247.48575800000003</v>
      </c>
      <c r="T117" s="279">
        <f t="shared" si="73"/>
        <v>275.13779799999998</v>
      </c>
      <c r="U117" s="279">
        <f t="shared" si="74"/>
        <v>255.09006900000003</v>
      </c>
      <c r="V117" s="279">
        <f t="shared" si="75"/>
        <v>328.367975</v>
      </c>
      <c r="W117" s="279">
        <f t="shared" si="76"/>
        <v>1106.0816</v>
      </c>
    </row>
    <row r="118" spans="1:23" s="269" customFormat="1" ht="16" hidden="1" customHeight="1" outlineLevel="1" x14ac:dyDescent="0.2">
      <c r="A118" s="293" t="s">
        <v>27</v>
      </c>
      <c r="B118" s="294" t="s">
        <v>28</v>
      </c>
      <c r="C118" s="276">
        <f>'SatışEkibi YS-Yen. Hed - 671'!$D$62*'Satış YS-Yen.Hed (Ayık) - 671'!C$2</f>
        <v>12.338391000000001</v>
      </c>
      <c r="D118" s="276">
        <f>'SatışEkibi YS-Yen. Hed - 671'!$D$62*'Satış YS-Yen.Hed (Ayık) - 671'!D$2</f>
        <v>12.338391000000001</v>
      </c>
      <c r="E118" s="276">
        <f>'SatışEkibi YS-Yen. Hed - 671'!$D$62*'Satış YS-Yen.Hed (Ayık) - 671'!E$2</f>
        <v>14.070095</v>
      </c>
      <c r="F118" s="276">
        <f>'SatışEkibi YS-Yen. Hed - 671'!$D$62*'Satış YS-Yen.Hed (Ayık) - 671'!F$2</f>
        <v>13.745400500000001</v>
      </c>
      <c r="G118" s="276">
        <f>'SatışEkibi YS-Yen. Hed - 671'!$D$62*'Satış YS-Yen.Hed (Ayık) - 671'!G$2</f>
        <v>13.745400500000001</v>
      </c>
      <c r="H118" s="276">
        <f>'SatışEkibi YS-Yen. Hed - 671'!$D$62*'Satış YS-Yen.Hed (Ayık) - 671'!H$2</f>
        <v>15.585335999999996</v>
      </c>
      <c r="I118" s="276">
        <f>'SatışEkibi YS-Yen. Hed - 671'!$D$62*'Satış YS-Yen.Hed (Ayık) - 671'!I$2</f>
        <v>12.987779999999999</v>
      </c>
      <c r="J118" s="276">
        <f>'SatışEkibi YS-Yen. Hed - 671'!$D$62*'Satış YS-Yen.Hed (Ayık) - 671'!J$2</f>
        <v>13.096011499999999</v>
      </c>
      <c r="K118" s="276">
        <f>'SatışEkibi YS-Yen. Hed - 671'!$D$62*'Satış YS-Yen.Hed (Ayık) - 671'!K$2</f>
        <v>13.853632000000001</v>
      </c>
      <c r="L118" s="276">
        <f>'SatışEkibi YS-Yen. Hed - 671'!$D$62*'Satış YS-Yen.Hed (Ayık) - 671'!L$2</f>
        <v>16.234724999999997</v>
      </c>
      <c r="M118" s="276">
        <f>'SatışEkibi YS-Yen. Hed - 671'!$D$62*'Satış YS-Yen.Hed (Ayık) - 671'!M$2</f>
        <v>16.451187999999998</v>
      </c>
      <c r="N118" s="276">
        <f>'SatışEkibi YS-Yen. Hed - 671'!$D$62*'Satış YS-Yen.Hed (Ayık) - 671'!N$2</f>
        <v>18.7240495</v>
      </c>
      <c r="O118" s="295">
        <f t="shared" si="70"/>
        <v>173.1704</v>
      </c>
      <c r="Q118" s="277" t="str">
        <f t="shared" si="69"/>
        <v>Quest</v>
      </c>
      <c r="R118" s="278" t="str">
        <f t="shared" si="71"/>
        <v>Yenileme</v>
      </c>
      <c r="S118" s="279">
        <f t="shared" si="72"/>
        <v>38.746877000000005</v>
      </c>
      <c r="T118" s="279">
        <f t="shared" si="73"/>
        <v>43.076136999999996</v>
      </c>
      <c r="U118" s="279">
        <f t="shared" si="74"/>
        <v>39.937423499999994</v>
      </c>
      <c r="V118" s="279">
        <f t="shared" si="75"/>
        <v>51.409962499999999</v>
      </c>
      <c r="W118" s="279">
        <f t="shared" si="76"/>
        <v>173.1704</v>
      </c>
    </row>
    <row r="119" spans="1:23" s="269" customFormat="1" ht="16" hidden="1" customHeight="1" outlineLevel="1" x14ac:dyDescent="0.2">
      <c r="A119" s="293" t="s">
        <v>34</v>
      </c>
      <c r="B119" s="294" t="s">
        <v>26</v>
      </c>
      <c r="C119" s="276">
        <f>'SatışEkibi YS-Yen. Hed - 671'!$G$61*'Satış YS-Yen.Hed (Ayık) - 671'!C$2</f>
        <v>35.625000000000007</v>
      </c>
      <c r="D119" s="276">
        <f>'SatışEkibi YS-Yen. Hed - 671'!$G$61*'Satış YS-Yen.Hed (Ayık) - 671'!D$2</f>
        <v>35.625000000000007</v>
      </c>
      <c r="E119" s="276">
        <f>'SatışEkibi YS-Yen. Hed - 671'!$G$61*'Satış YS-Yen.Hed (Ayık) - 671'!E$2</f>
        <v>40.625</v>
      </c>
      <c r="F119" s="276">
        <f>'SatışEkibi YS-Yen. Hed - 671'!$G$61*'Satış YS-Yen.Hed (Ayık) - 671'!F$2</f>
        <v>39.6875</v>
      </c>
      <c r="G119" s="276">
        <f>'SatışEkibi YS-Yen. Hed - 671'!$G$61*'Satış YS-Yen.Hed (Ayık) - 671'!G$2</f>
        <v>39.6875</v>
      </c>
      <c r="H119" s="276">
        <f>'SatışEkibi YS-Yen. Hed - 671'!$G$61*'Satış YS-Yen.Hed (Ayık) - 671'!H$2</f>
        <v>44.999999999999993</v>
      </c>
      <c r="I119" s="276">
        <f>'SatışEkibi YS-Yen. Hed - 671'!$G$61*'Satış YS-Yen.Hed (Ayık) - 671'!I$2</f>
        <v>37.5</v>
      </c>
      <c r="J119" s="276">
        <f>'SatışEkibi YS-Yen. Hed - 671'!$G$61*'Satış YS-Yen.Hed (Ayık) - 671'!J$2</f>
        <v>37.8125</v>
      </c>
      <c r="K119" s="276">
        <f>'SatışEkibi YS-Yen. Hed - 671'!$G$61*'Satış YS-Yen.Hed (Ayık) - 671'!K$2</f>
        <v>40</v>
      </c>
      <c r="L119" s="276">
        <f>'SatışEkibi YS-Yen. Hed - 671'!$G$61*'Satış YS-Yen.Hed (Ayık) - 671'!L$2</f>
        <v>46.874999999999993</v>
      </c>
      <c r="M119" s="276">
        <f>'SatışEkibi YS-Yen. Hed - 671'!$G$61*'Satış YS-Yen.Hed (Ayık) - 671'!M$2</f>
        <v>47.499999999999993</v>
      </c>
      <c r="N119" s="276">
        <f>'SatışEkibi YS-Yen. Hed - 671'!$G$61*'Satış YS-Yen.Hed (Ayık) - 671'!N$2</f>
        <v>54.0625</v>
      </c>
      <c r="O119" s="295">
        <f t="shared" si="70"/>
        <v>500</v>
      </c>
      <c r="Q119" s="277" t="str">
        <f t="shared" si="69"/>
        <v>Hosting</v>
      </c>
      <c r="R119" s="278" t="str">
        <f t="shared" si="71"/>
        <v>Yeni Satış</v>
      </c>
      <c r="S119" s="279">
        <f t="shared" si="72"/>
        <v>111.87500000000001</v>
      </c>
      <c r="T119" s="279">
        <f t="shared" si="73"/>
        <v>124.375</v>
      </c>
      <c r="U119" s="279">
        <f t="shared" si="74"/>
        <v>115.3125</v>
      </c>
      <c r="V119" s="279">
        <f t="shared" si="75"/>
        <v>148.4375</v>
      </c>
      <c r="W119" s="279">
        <f t="shared" si="76"/>
        <v>500</v>
      </c>
    </row>
    <row r="120" spans="1:23" s="269" customFormat="1" ht="16" hidden="1" customHeight="1" outlineLevel="1" x14ac:dyDescent="0.2">
      <c r="A120" s="293" t="s">
        <v>34</v>
      </c>
      <c r="B120" s="294" t="s">
        <v>28</v>
      </c>
      <c r="C120" s="276">
        <f>'SatışEkibi YS-Yen. Hed - 671'!$G$62*'Satış YS-Yen.Hed (Ayık) - 671'!C$2</f>
        <v>36.73571625000001</v>
      </c>
      <c r="D120" s="276">
        <f>'SatışEkibi YS-Yen. Hed - 671'!$G$62*'Satış YS-Yen.Hed (Ayık) - 671'!D$2</f>
        <v>36.73571625000001</v>
      </c>
      <c r="E120" s="276">
        <f>'SatışEkibi YS-Yen. Hed - 671'!$G$62*'Satış YS-Yen.Hed (Ayık) - 671'!E$2</f>
        <v>41.891606250000009</v>
      </c>
      <c r="F120" s="276">
        <f>'SatışEkibi YS-Yen. Hed - 671'!$G$62*'Satış YS-Yen.Hed (Ayık) - 671'!F$2</f>
        <v>40.924876875000002</v>
      </c>
      <c r="G120" s="276">
        <f>'SatışEkibi YS-Yen. Hed - 671'!$G$62*'Satış YS-Yen.Hed (Ayık) - 671'!G$2</f>
        <v>40.924876875000002</v>
      </c>
      <c r="H120" s="276">
        <f>'SatışEkibi YS-Yen. Hed - 671'!$G$62*'Satış YS-Yen.Hed (Ayık) - 671'!H$2</f>
        <v>46.403009999999995</v>
      </c>
      <c r="I120" s="276">
        <f>'SatışEkibi YS-Yen. Hed - 671'!$G$62*'Satış YS-Yen.Hed (Ayık) - 671'!I$2</f>
        <v>38.669175000000003</v>
      </c>
      <c r="J120" s="276">
        <f>'SatışEkibi YS-Yen. Hed - 671'!$G$62*'Satış YS-Yen.Hed (Ayık) - 671'!J$2</f>
        <v>38.991418125000003</v>
      </c>
      <c r="K120" s="276">
        <f>'SatışEkibi YS-Yen. Hed - 671'!$G$62*'Satış YS-Yen.Hed (Ayık) - 671'!K$2</f>
        <v>41.247120000000002</v>
      </c>
      <c r="L120" s="276">
        <f>'SatışEkibi YS-Yen. Hed - 671'!$G$62*'Satış YS-Yen.Hed (Ayık) - 671'!L$2</f>
        <v>48.336468749999995</v>
      </c>
      <c r="M120" s="276">
        <f>'SatışEkibi YS-Yen. Hed - 671'!$G$62*'Satış YS-Yen.Hed (Ayık) - 671'!M$2</f>
        <v>48.980955000000002</v>
      </c>
      <c r="N120" s="276">
        <f>'SatışEkibi YS-Yen. Hed - 671'!$G$62*'Satış YS-Yen.Hed (Ayık) - 671'!N$2</f>
        <v>55.748060625000008</v>
      </c>
      <c r="O120" s="295">
        <f t="shared" si="70"/>
        <v>515.58900000000006</v>
      </c>
      <c r="Q120" s="277" t="str">
        <f t="shared" si="69"/>
        <v>Hosting</v>
      </c>
      <c r="R120" s="278" t="str">
        <f t="shared" si="71"/>
        <v>Yenileme</v>
      </c>
      <c r="S120" s="279">
        <f t="shared" si="72"/>
        <v>115.36303875000003</v>
      </c>
      <c r="T120" s="279">
        <f t="shared" si="73"/>
        <v>128.25276374999999</v>
      </c>
      <c r="U120" s="279">
        <f t="shared" si="74"/>
        <v>118.90771312500001</v>
      </c>
      <c r="V120" s="279">
        <f t="shared" si="75"/>
        <v>153.06548437499998</v>
      </c>
      <c r="W120" s="279">
        <f t="shared" si="76"/>
        <v>515.58900000000006</v>
      </c>
    </row>
    <row r="121" spans="1:23" s="269" customFormat="1" ht="16" hidden="1" customHeight="1" outlineLevel="1" x14ac:dyDescent="0.2">
      <c r="A121" s="293" t="s">
        <v>53</v>
      </c>
      <c r="B121" s="294" t="s">
        <v>26</v>
      </c>
      <c r="C121" s="276">
        <f>'SatışEkibi YS-Yen. Hed - 671'!$H$61*'Satış YS-Yen.Hed (Ayık) - 671'!C$2</f>
        <v>783.75000000000011</v>
      </c>
      <c r="D121" s="276">
        <f>'SatışEkibi YS-Yen. Hed - 671'!$H$61*'Satış YS-Yen.Hed (Ayık) - 671'!D$2</f>
        <v>783.75000000000011</v>
      </c>
      <c r="E121" s="276">
        <f>'SatışEkibi YS-Yen. Hed - 671'!$H$61*'Satış YS-Yen.Hed (Ayık) - 671'!E$2</f>
        <v>893.75</v>
      </c>
      <c r="F121" s="276">
        <f>'SatışEkibi YS-Yen. Hed - 671'!$H$61*'Satış YS-Yen.Hed (Ayık) - 671'!F$2</f>
        <v>873.125</v>
      </c>
      <c r="G121" s="276">
        <f>'SatışEkibi YS-Yen. Hed - 671'!$H$61*'Satış YS-Yen.Hed (Ayık) - 671'!G$2</f>
        <v>873.125</v>
      </c>
      <c r="H121" s="276">
        <f>'SatışEkibi YS-Yen. Hed - 671'!$H$61*'Satış YS-Yen.Hed (Ayık) - 671'!H$2</f>
        <v>989.99999999999977</v>
      </c>
      <c r="I121" s="276">
        <f>'SatışEkibi YS-Yen. Hed - 671'!$H$61*'Satış YS-Yen.Hed (Ayık) - 671'!I$2</f>
        <v>825</v>
      </c>
      <c r="J121" s="276">
        <f>'SatışEkibi YS-Yen. Hed - 671'!$H$61*'Satış YS-Yen.Hed (Ayık) - 671'!J$2</f>
        <v>831.875</v>
      </c>
      <c r="K121" s="276">
        <f>'SatışEkibi YS-Yen. Hed - 671'!$H$61*'Satış YS-Yen.Hed (Ayık) - 671'!K$2</f>
        <v>880</v>
      </c>
      <c r="L121" s="276">
        <f>'SatışEkibi YS-Yen. Hed - 671'!$H$61*'Satış YS-Yen.Hed (Ayık) - 671'!L$2</f>
        <v>1031.2499999999998</v>
      </c>
      <c r="M121" s="276">
        <f>'SatışEkibi YS-Yen. Hed - 671'!$H$61*'Satış YS-Yen.Hed (Ayık) - 671'!M$2</f>
        <v>1044.9999999999998</v>
      </c>
      <c r="N121" s="276">
        <f>'SatışEkibi YS-Yen. Hed - 671'!$H$61*'Satış YS-Yen.Hed (Ayık) - 671'!N$2</f>
        <v>1189.375</v>
      </c>
      <c r="O121" s="295">
        <f t="shared" si="70"/>
        <v>11000</v>
      </c>
      <c r="Q121" s="277" t="str">
        <f t="shared" si="69"/>
        <v>E-Dönüşüm</v>
      </c>
      <c r="R121" s="278" t="str">
        <f t="shared" si="71"/>
        <v>Yeni Satış</v>
      </c>
      <c r="S121" s="279">
        <f t="shared" si="72"/>
        <v>2461.25</v>
      </c>
      <c r="T121" s="279">
        <f t="shared" si="73"/>
        <v>2736.25</v>
      </c>
      <c r="U121" s="279">
        <f t="shared" si="74"/>
        <v>2536.875</v>
      </c>
      <c r="V121" s="279">
        <f t="shared" si="75"/>
        <v>3265.6249999999995</v>
      </c>
      <c r="W121" s="279">
        <f t="shared" si="76"/>
        <v>11000</v>
      </c>
    </row>
    <row r="122" spans="1:23" s="269" customFormat="1" ht="16" hidden="1" customHeight="1" outlineLevel="1" x14ac:dyDescent="0.2">
      <c r="A122" s="293" t="s">
        <v>53</v>
      </c>
      <c r="B122" s="294" t="s">
        <v>28</v>
      </c>
      <c r="C122" s="276">
        <f>'SatışEkibi YS-Yen. Hed - 671'!$H$62*'Satış YS-Yen.Hed (Ayık) - 671'!C$2</f>
        <v>142.50000000000003</v>
      </c>
      <c r="D122" s="276">
        <f>'SatışEkibi YS-Yen. Hed - 671'!$H$62*'Satış YS-Yen.Hed (Ayık) - 671'!D$2</f>
        <v>142.50000000000003</v>
      </c>
      <c r="E122" s="276">
        <f>'SatışEkibi YS-Yen. Hed - 671'!$H$62*'Satış YS-Yen.Hed (Ayık) - 671'!E$2</f>
        <v>162.5</v>
      </c>
      <c r="F122" s="276">
        <f>'SatışEkibi YS-Yen. Hed - 671'!$H$62*'Satış YS-Yen.Hed (Ayık) - 671'!F$2</f>
        <v>158.75</v>
      </c>
      <c r="G122" s="276">
        <f>'SatışEkibi YS-Yen. Hed - 671'!$H$62*'Satış YS-Yen.Hed (Ayık) - 671'!G$2</f>
        <v>158.75</v>
      </c>
      <c r="H122" s="276">
        <f>'SatışEkibi YS-Yen. Hed - 671'!$H$62*'Satış YS-Yen.Hed (Ayık) - 671'!H$2</f>
        <v>179.99999999999997</v>
      </c>
      <c r="I122" s="276">
        <f>'SatışEkibi YS-Yen. Hed - 671'!$H$62*'Satış YS-Yen.Hed (Ayık) - 671'!I$2</f>
        <v>150</v>
      </c>
      <c r="J122" s="276">
        <f>'SatışEkibi YS-Yen. Hed - 671'!$H$62*'Satış YS-Yen.Hed (Ayık) - 671'!J$2</f>
        <v>151.25</v>
      </c>
      <c r="K122" s="276">
        <f>'SatışEkibi YS-Yen. Hed - 671'!$H$62*'Satış YS-Yen.Hed (Ayık) - 671'!K$2</f>
        <v>160</v>
      </c>
      <c r="L122" s="276">
        <f>'SatışEkibi YS-Yen. Hed - 671'!$H$62*'Satış YS-Yen.Hed (Ayık) - 671'!L$2</f>
        <v>187.49999999999997</v>
      </c>
      <c r="M122" s="276">
        <f>'SatışEkibi YS-Yen. Hed - 671'!$H$62*'Satış YS-Yen.Hed (Ayık) - 671'!M$2</f>
        <v>189.99999999999997</v>
      </c>
      <c r="N122" s="276">
        <f>'SatışEkibi YS-Yen. Hed - 671'!$H$62*'Satış YS-Yen.Hed (Ayık) - 671'!N$2</f>
        <v>216.25</v>
      </c>
      <c r="O122" s="295">
        <f t="shared" si="70"/>
        <v>2000</v>
      </c>
      <c r="Q122" s="277" t="str">
        <f t="shared" si="69"/>
        <v>E-Dönüşüm</v>
      </c>
      <c r="R122" s="278" t="str">
        <f t="shared" si="71"/>
        <v>Yenileme</v>
      </c>
      <c r="S122" s="279">
        <f t="shared" si="72"/>
        <v>447.50000000000006</v>
      </c>
      <c r="T122" s="279">
        <f t="shared" si="73"/>
        <v>497.5</v>
      </c>
      <c r="U122" s="279">
        <f t="shared" si="74"/>
        <v>461.25</v>
      </c>
      <c r="V122" s="279">
        <f t="shared" si="75"/>
        <v>593.75</v>
      </c>
      <c r="W122" s="279">
        <f t="shared" si="76"/>
        <v>2000</v>
      </c>
    </row>
    <row r="123" spans="1:23" s="269" customFormat="1" ht="16" hidden="1" customHeight="1" outlineLevel="1" x14ac:dyDescent="0.2">
      <c r="A123" s="293" t="s">
        <v>35</v>
      </c>
      <c r="B123" s="294" t="s">
        <v>26</v>
      </c>
      <c r="C123" s="276">
        <f>'SatışEkibi YS-Yen. Hed - 671'!$I$61*'Satış YS-Yen.Hed (Ayık) - 671'!C$2</f>
        <v>17.812500000000004</v>
      </c>
      <c r="D123" s="276">
        <f>'SatışEkibi YS-Yen. Hed - 671'!$I$61*'Satış YS-Yen.Hed (Ayık) - 671'!D$2</f>
        <v>17.812500000000004</v>
      </c>
      <c r="E123" s="276">
        <f>'SatışEkibi YS-Yen. Hed - 671'!$I$61*'Satış YS-Yen.Hed (Ayık) - 671'!E$2</f>
        <v>20.3125</v>
      </c>
      <c r="F123" s="276">
        <f>'SatışEkibi YS-Yen. Hed - 671'!$I$61*'Satış YS-Yen.Hed (Ayık) - 671'!F$2</f>
        <v>19.84375</v>
      </c>
      <c r="G123" s="276">
        <f>'SatışEkibi YS-Yen. Hed - 671'!$I$61*'Satış YS-Yen.Hed (Ayık) - 671'!G$2</f>
        <v>19.84375</v>
      </c>
      <c r="H123" s="276">
        <f>'SatışEkibi YS-Yen. Hed - 671'!$I$61*'Satış YS-Yen.Hed (Ayık) - 671'!H$2</f>
        <v>22.499999999999996</v>
      </c>
      <c r="I123" s="276">
        <f>'SatışEkibi YS-Yen. Hed - 671'!$I$61*'Satış YS-Yen.Hed (Ayık) - 671'!I$2</f>
        <v>18.75</v>
      </c>
      <c r="J123" s="276">
        <f>'SatışEkibi YS-Yen. Hed - 671'!$I$61*'Satış YS-Yen.Hed (Ayık) - 671'!J$2</f>
        <v>18.90625</v>
      </c>
      <c r="K123" s="276">
        <f>'SatışEkibi YS-Yen. Hed - 671'!$I$61*'Satış YS-Yen.Hed (Ayık) - 671'!K$2</f>
        <v>20</v>
      </c>
      <c r="L123" s="276">
        <f>'SatışEkibi YS-Yen. Hed - 671'!$I$61*'Satış YS-Yen.Hed (Ayık) - 671'!L$2</f>
        <v>23.437499999999996</v>
      </c>
      <c r="M123" s="276">
        <f>'SatışEkibi YS-Yen. Hed - 671'!$I$61*'Satış YS-Yen.Hed (Ayık) - 671'!M$2</f>
        <v>23.749999999999996</v>
      </c>
      <c r="N123" s="276">
        <f>'SatışEkibi YS-Yen. Hed - 671'!$I$61*'Satış YS-Yen.Hed (Ayık) - 671'!N$2</f>
        <v>27.03125</v>
      </c>
      <c r="O123" s="295">
        <f t="shared" si="70"/>
        <v>250</v>
      </c>
      <c r="Q123" s="277" t="str">
        <f t="shared" si="69"/>
        <v>BFH</v>
      </c>
      <c r="R123" s="278" t="str">
        <f t="shared" si="71"/>
        <v>Yeni Satış</v>
      </c>
      <c r="S123" s="279">
        <f t="shared" si="72"/>
        <v>55.937500000000007</v>
      </c>
      <c r="T123" s="279">
        <f t="shared" si="73"/>
        <v>62.1875</v>
      </c>
      <c r="U123" s="279">
        <f t="shared" si="74"/>
        <v>57.65625</v>
      </c>
      <c r="V123" s="279">
        <f t="shared" si="75"/>
        <v>74.21875</v>
      </c>
      <c r="W123" s="279">
        <f t="shared" si="76"/>
        <v>250</v>
      </c>
    </row>
    <row r="124" spans="1:23" s="269" customFormat="1" ht="16" customHeight="1" collapsed="1" x14ac:dyDescent="0.2">
      <c r="A124" s="283" t="s">
        <v>30</v>
      </c>
      <c r="B124" s="284" t="s">
        <v>26</v>
      </c>
      <c r="C124" s="282">
        <f>SUMIF($B$114:$B$123,"Yeni Satış",C114:C123)</f>
        <v>1086.5625000000002</v>
      </c>
      <c r="D124" s="282">
        <f t="shared" ref="D124:N124" ca="1" si="77">SUMIF($B$5:$B$15,"Yeni Satış",D114:D123)</f>
        <v>543.04403025000011</v>
      </c>
      <c r="E124" s="282">
        <f t="shared" ca="1" si="77"/>
        <v>619.26073625000004</v>
      </c>
      <c r="F124" s="282">
        <f t="shared" ca="1" si="77"/>
        <v>604.97010387499995</v>
      </c>
      <c r="G124" s="282">
        <f t="shared" ca="1" si="77"/>
        <v>604.97010387499995</v>
      </c>
      <c r="H124" s="282">
        <f t="shared" ca="1" si="77"/>
        <v>685.95035399999995</v>
      </c>
      <c r="I124" s="282">
        <f t="shared" ca="1" si="77"/>
        <v>571.62529500000005</v>
      </c>
      <c r="J124" s="282">
        <f t="shared" ca="1" si="77"/>
        <v>576.388839125</v>
      </c>
      <c r="K124" s="282">
        <f t="shared" ca="1" si="77"/>
        <v>609.73364800000002</v>
      </c>
      <c r="L124" s="282">
        <f t="shared" ca="1" si="77"/>
        <v>714.53161874999989</v>
      </c>
      <c r="M124" s="282">
        <f t="shared" ca="1" si="77"/>
        <v>724.05870699999991</v>
      </c>
      <c r="N124" s="282">
        <f t="shared" ca="1" si="77"/>
        <v>824.09313362499995</v>
      </c>
      <c r="O124" s="296">
        <f>SUMIF(B114:B123,"Yeni Satış",O114:O123)</f>
        <v>15250</v>
      </c>
      <c r="Q124" s="283" t="s">
        <v>30</v>
      </c>
      <c r="R124" s="284" t="str">
        <f t="shared" si="71"/>
        <v>Yeni Satış</v>
      </c>
      <c r="S124" s="285">
        <f>SUMIF(R114:R123,"Yeni Satış",S114:S123)</f>
        <v>3412.1875</v>
      </c>
      <c r="T124" s="285">
        <f>SUMIF(R114:R123,"Yeni Satış",T114:T123)</f>
        <v>3793.4375</v>
      </c>
      <c r="U124" s="285">
        <f>SUMIF(R114:R123,"Yeni Satış",U114:U123)</f>
        <v>3517.03125</v>
      </c>
      <c r="V124" s="285">
        <f>SUMIF(R114:R123,"Yeni Satış",V114:V123)</f>
        <v>4527.34375</v>
      </c>
      <c r="W124" s="285">
        <f t="shared" si="76"/>
        <v>15250</v>
      </c>
    </row>
    <row r="125" spans="1:23" s="269" customFormat="1" ht="16" customHeight="1" x14ac:dyDescent="0.2">
      <c r="A125" s="283" t="s">
        <v>30</v>
      </c>
      <c r="B125" s="284" t="s">
        <v>28</v>
      </c>
      <c r="C125" s="282">
        <f>SUMIF($B$114:$B$123,"Yenileme",C114:C123)</f>
        <v>734.76323100000013</v>
      </c>
      <c r="D125" s="282">
        <f t="shared" ref="D125:N125" si="78">SUMIF($B$5:$B$15,"Yenileme",D114:D124)</f>
        <v>1278.2817007500003</v>
      </c>
      <c r="E125" s="282">
        <f t="shared" si="78"/>
        <v>1457.68965875</v>
      </c>
      <c r="F125" s="282">
        <f t="shared" si="78"/>
        <v>1424.0506666250001</v>
      </c>
      <c r="G125" s="282">
        <f t="shared" si="78"/>
        <v>1424.0506666250001</v>
      </c>
      <c r="H125" s="282">
        <f t="shared" si="78"/>
        <v>1614.6716219999998</v>
      </c>
      <c r="I125" s="282">
        <f t="shared" si="78"/>
        <v>1345.5596849999999</v>
      </c>
      <c r="J125" s="282">
        <f t="shared" si="78"/>
        <v>1356.7726823749999</v>
      </c>
      <c r="K125" s="282">
        <f t="shared" si="78"/>
        <v>1435.2636640000001</v>
      </c>
      <c r="L125" s="282">
        <f t="shared" si="78"/>
        <v>1681.9496062499998</v>
      </c>
      <c r="M125" s="282">
        <f t="shared" si="78"/>
        <v>1704.3756009999997</v>
      </c>
      <c r="N125" s="282">
        <f t="shared" si="78"/>
        <v>1939.8485458750001</v>
      </c>
      <c r="O125" s="296">
        <f>SUMIF(B114:B123,"Yenileme",O114:O123)</f>
        <v>10312.466399999999</v>
      </c>
      <c r="Q125" s="283" t="s">
        <v>30</v>
      </c>
      <c r="R125" s="284" t="str">
        <f t="shared" si="71"/>
        <v>Yenileme</v>
      </c>
      <c r="S125" s="285">
        <f>SUMIF(R114:R123,"Yenileme",S114:S123)</f>
        <v>2307.4143570000006</v>
      </c>
      <c r="T125" s="285">
        <f>SUMIF(R114:R123,"Yenileme",T114:T123)</f>
        <v>2565.226017</v>
      </c>
      <c r="U125" s="285">
        <f>SUMIF(R114:R123,"Yenileme",U114:U123)</f>
        <v>2378.3125635000006</v>
      </c>
      <c r="V125" s="285">
        <f>SUMIF(R114:R123,"Yenileme",V114:V123)</f>
        <v>3061.5134624999996</v>
      </c>
      <c r="W125" s="285">
        <f t="shared" si="76"/>
        <v>10312.466400000001</v>
      </c>
    </row>
    <row r="126" spans="1:23" s="269" customFormat="1" ht="16" customHeight="1" x14ac:dyDescent="0.2">
      <c r="A126" s="297" t="s">
        <v>38</v>
      </c>
      <c r="B126" s="298" t="s">
        <v>144</v>
      </c>
      <c r="C126" s="288">
        <f>SUM(C124:C125)</f>
        <v>1821.3257310000004</v>
      </c>
      <c r="D126" s="288">
        <f t="shared" ref="D126:N126" ca="1" si="79">SUM(D124:D125)</f>
        <v>1803.5132310000004</v>
      </c>
      <c r="E126" s="288">
        <f t="shared" ca="1" si="79"/>
        <v>2056.6378949999998</v>
      </c>
      <c r="F126" s="288">
        <f t="shared" ca="1" si="79"/>
        <v>2009.1770205</v>
      </c>
      <c r="G126" s="288">
        <f t="shared" ca="1" si="79"/>
        <v>2009.1770205</v>
      </c>
      <c r="H126" s="288">
        <f t="shared" ca="1" si="79"/>
        <v>2278.1219759999999</v>
      </c>
      <c r="I126" s="288">
        <f t="shared" ca="1" si="79"/>
        <v>1898.43498</v>
      </c>
      <c r="J126" s="288">
        <f t="shared" ca="1" si="79"/>
        <v>1914.2552714999999</v>
      </c>
      <c r="K126" s="288">
        <f t="shared" ca="1" si="79"/>
        <v>2024.997312</v>
      </c>
      <c r="L126" s="288">
        <f t="shared" ca="1" si="79"/>
        <v>2373.0437249999995</v>
      </c>
      <c r="M126" s="288">
        <f t="shared" ca="1" si="79"/>
        <v>2404.6843079999999</v>
      </c>
      <c r="N126" s="288">
        <f t="shared" ca="1" si="79"/>
        <v>2736.9104295000002</v>
      </c>
      <c r="O126" s="304">
        <f>O124+O125</f>
        <v>25562.466399999998</v>
      </c>
      <c r="Q126" s="297" t="s">
        <v>38</v>
      </c>
      <c r="R126" s="298" t="str">
        <f t="shared" si="71"/>
        <v>YS + Yen.</v>
      </c>
      <c r="S126" s="302">
        <f>S124+S125</f>
        <v>5719.6018570000006</v>
      </c>
      <c r="T126" s="302">
        <f>T124+T125</f>
        <v>6358.663517</v>
      </c>
      <c r="U126" s="302">
        <f>U124+U125</f>
        <v>5895.3438135000006</v>
      </c>
      <c r="V126" s="302">
        <f>V124+V125</f>
        <v>7588.8572124999992</v>
      </c>
      <c r="W126" s="291">
        <f>W124+W125</f>
        <v>25562.466400000001</v>
      </c>
    </row>
    <row r="127" spans="1:23" s="269" customFormat="1" ht="16" customHeight="1" x14ac:dyDescent="0.2">
      <c r="S127" s="292"/>
      <c r="T127" s="292"/>
      <c r="U127" s="292"/>
      <c r="V127" s="292"/>
      <c r="W127" s="292"/>
    </row>
    <row r="128" spans="1:23" s="269" customFormat="1" x14ac:dyDescent="0.2">
      <c r="A128" s="264" t="s">
        <v>151</v>
      </c>
      <c r="B128" s="264"/>
      <c r="C128" s="266" t="s">
        <v>131</v>
      </c>
      <c r="D128" s="266" t="s">
        <v>132</v>
      </c>
      <c r="E128" s="266" t="s">
        <v>133</v>
      </c>
      <c r="F128" s="266" t="s">
        <v>134</v>
      </c>
      <c r="G128" s="266" t="s">
        <v>135</v>
      </c>
      <c r="H128" s="266" t="s">
        <v>136</v>
      </c>
      <c r="I128" s="266" t="s">
        <v>137</v>
      </c>
      <c r="J128" s="266" t="s">
        <v>138</v>
      </c>
      <c r="K128" s="266" t="s">
        <v>139</v>
      </c>
      <c r="L128" s="266" t="s">
        <v>140</v>
      </c>
      <c r="M128" s="266" t="s">
        <v>141</v>
      </c>
      <c r="N128" s="266" t="s">
        <v>142</v>
      </c>
      <c r="O128" s="266" t="s">
        <v>143</v>
      </c>
      <c r="Q128" s="301" t="str">
        <f t="shared" ref="Q128:Q138" si="80">A128</f>
        <v>Gülçin Erçebi  —  Kanal Satış</v>
      </c>
      <c r="R128" s="301"/>
      <c r="S128" s="266" t="s">
        <v>154</v>
      </c>
      <c r="T128" s="266" t="s">
        <v>155</v>
      </c>
      <c r="U128" s="266" t="s">
        <v>156</v>
      </c>
      <c r="V128" s="266" t="s">
        <v>157</v>
      </c>
      <c r="W128" s="266" t="s">
        <v>143</v>
      </c>
    </row>
    <row r="129" spans="1:23" s="269" customFormat="1" ht="16" hidden="1" customHeight="1" outlineLevel="1" x14ac:dyDescent="0.2">
      <c r="A129" s="293" t="s">
        <v>25</v>
      </c>
      <c r="B129" s="294" t="s">
        <v>26</v>
      </c>
      <c r="C129" s="276">
        <f>'SatışEkibi YS-Yen. Hed - 671'!$B$64*C$2</f>
        <v>178.12500000000003</v>
      </c>
      <c r="D129" s="276">
        <f>'SatışEkibi YS-Yen. Hed - 671'!$B$64*D$2</f>
        <v>178.12500000000003</v>
      </c>
      <c r="E129" s="276">
        <f>'SatışEkibi YS-Yen. Hed - 671'!$B$64*E$2</f>
        <v>203.125</v>
      </c>
      <c r="F129" s="276">
        <f>'SatışEkibi YS-Yen. Hed - 671'!$B$64*F$2</f>
        <v>198.4375</v>
      </c>
      <c r="G129" s="276">
        <f>'SatışEkibi YS-Yen. Hed - 671'!$B$64*G$2</f>
        <v>198.4375</v>
      </c>
      <c r="H129" s="276">
        <f>'SatışEkibi YS-Yen. Hed - 671'!$B$64*H$2</f>
        <v>224.99999999999994</v>
      </c>
      <c r="I129" s="276">
        <f>'SatışEkibi YS-Yen. Hed - 671'!$B$64*I$2</f>
        <v>187.5</v>
      </c>
      <c r="J129" s="276">
        <f>'SatışEkibi YS-Yen. Hed - 671'!$B$64*J$2</f>
        <v>189.0625</v>
      </c>
      <c r="K129" s="276">
        <f>'SatışEkibi YS-Yen. Hed - 671'!$B$64*K$2</f>
        <v>200</v>
      </c>
      <c r="L129" s="276">
        <f>'SatışEkibi YS-Yen. Hed - 671'!$B$64*L$2</f>
        <v>234.37499999999997</v>
      </c>
      <c r="M129" s="276">
        <f>'SatışEkibi YS-Yen. Hed - 671'!$B$64*M$2</f>
        <v>237.49999999999997</v>
      </c>
      <c r="N129" s="276">
        <f>'SatışEkibi YS-Yen. Hed - 671'!$B$64*N$2</f>
        <v>270.3125</v>
      </c>
      <c r="O129" s="295">
        <f t="shared" ref="O129:O138" si="81">SUM(C129:N129)</f>
        <v>2500</v>
      </c>
      <c r="Q129" s="277" t="str">
        <f t="shared" si="80"/>
        <v>Enroute</v>
      </c>
      <c r="R129" s="278" t="str">
        <f t="shared" ref="R129:R141" si="82">B129</f>
        <v>Yeni Satış</v>
      </c>
      <c r="S129" s="279">
        <f t="shared" ref="S129:S138" si="83">SUM(C129:E129)</f>
        <v>559.375</v>
      </c>
      <c r="T129" s="279">
        <f t="shared" ref="T129:T138" si="84">SUM(F129:H129)</f>
        <v>621.875</v>
      </c>
      <c r="U129" s="279">
        <f t="shared" ref="U129:U138" si="85">SUM(I129:K129)</f>
        <v>576.5625</v>
      </c>
      <c r="V129" s="279">
        <f t="shared" ref="V129:V138" si="86">SUM(L129:N129)</f>
        <v>742.1875</v>
      </c>
      <c r="W129" s="279">
        <f t="shared" ref="W129:W140" si="87">SUM(S129:V129)</f>
        <v>2500</v>
      </c>
    </row>
    <row r="130" spans="1:23" s="269" customFormat="1" ht="16" hidden="1" customHeight="1" outlineLevel="1" x14ac:dyDescent="0.2">
      <c r="A130" s="293" t="s">
        <v>25</v>
      </c>
      <c r="B130" s="294" t="s">
        <v>28</v>
      </c>
      <c r="C130" s="276">
        <f>'SatışEkibi YS-Yen. Hed - 671'!$B$65*'Satış YS-Yen.Hed (Ayık) - 671'!C$2</f>
        <v>464.38080975000008</v>
      </c>
      <c r="D130" s="276">
        <f>'SatışEkibi YS-Yen. Hed - 671'!$B$65*'Satış YS-Yen.Hed (Ayık) - 671'!D$2</f>
        <v>464.38080975000008</v>
      </c>
      <c r="E130" s="276">
        <f>'SatışEkibi YS-Yen. Hed - 671'!$B$65*'Satış YS-Yen.Hed (Ayık) - 671'!E$2</f>
        <v>529.55706375000011</v>
      </c>
      <c r="F130" s="276">
        <f>'SatışEkibi YS-Yen. Hed - 671'!$B$65*'Satış YS-Yen.Hed (Ayık) - 671'!F$2</f>
        <v>517.33651612500012</v>
      </c>
      <c r="G130" s="276">
        <f>'SatışEkibi YS-Yen. Hed - 671'!$B$65*'Satış YS-Yen.Hed (Ayık) - 671'!G$2</f>
        <v>517.33651612500012</v>
      </c>
      <c r="H130" s="276">
        <f>'SatışEkibi YS-Yen. Hed - 671'!$B$65*'Satış YS-Yen.Hed (Ayık) - 671'!H$2</f>
        <v>586.58628599999997</v>
      </c>
      <c r="I130" s="276">
        <f>'SatışEkibi YS-Yen. Hed - 671'!$B$65*'Satış YS-Yen.Hed (Ayık) - 671'!I$2</f>
        <v>488.82190500000002</v>
      </c>
      <c r="J130" s="276">
        <f>'SatışEkibi YS-Yen. Hed - 671'!$B$65*'Satış YS-Yen.Hed (Ayık) - 671'!J$2</f>
        <v>492.89542087500007</v>
      </c>
      <c r="K130" s="276">
        <f>'SatışEkibi YS-Yen. Hed - 671'!$B$65*'Satış YS-Yen.Hed (Ayık) - 671'!K$2</f>
        <v>521.41003200000011</v>
      </c>
      <c r="L130" s="276">
        <f>'SatışEkibi YS-Yen. Hed - 671'!$B$65*'Satış YS-Yen.Hed (Ayık) - 671'!L$2</f>
        <v>611.02738124999996</v>
      </c>
      <c r="M130" s="276">
        <f>'SatışEkibi YS-Yen. Hed - 671'!$B$65*'Satış YS-Yen.Hed (Ayık) - 671'!M$2</f>
        <v>619.17441299999996</v>
      </c>
      <c r="N130" s="276">
        <f>'SatışEkibi YS-Yen. Hed - 671'!$B$65*'Satış YS-Yen.Hed (Ayık) - 671'!N$2</f>
        <v>704.71824637500004</v>
      </c>
      <c r="O130" s="295">
        <f t="shared" si="81"/>
        <v>6517.625399999999</v>
      </c>
      <c r="Q130" s="277" t="str">
        <f t="shared" si="80"/>
        <v>Enroute</v>
      </c>
      <c r="R130" s="278" t="str">
        <f t="shared" si="82"/>
        <v>Yenileme</v>
      </c>
      <c r="S130" s="279">
        <f t="shared" si="83"/>
        <v>1458.3186832500003</v>
      </c>
      <c r="T130" s="279">
        <f t="shared" si="84"/>
        <v>1621.2593182500002</v>
      </c>
      <c r="U130" s="279">
        <f t="shared" si="85"/>
        <v>1503.1273578750001</v>
      </c>
      <c r="V130" s="279">
        <f t="shared" si="86"/>
        <v>1934.920040625</v>
      </c>
      <c r="W130" s="279">
        <f t="shared" si="87"/>
        <v>6517.6254000000008</v>
      </c>
    </row>
    <row r="131" spans="1:23" s="269" customFormat="1" ht="16" hidden="1" customHeight="1" outlineLevel="1" x14ac:dyDescent="0.2">
      <c r="A131" s="293" t="s">
        <v>29</v>
      </c>
      <c r="B131" s="294" t="s">
        <v>26</v>
      </c>
      <c r="C131" s="276">
        <f>'SatışEkibi YS-Yen. Hed - 671'!$C$64*C$2</f>
        <v>78.80831400000001</v>
      </c>
      <c r="D131" s="276">
        <f>'SatışEkibi YS-Yen. Hed - 671'!$C$64*D$2</f>
        <v>78.80831400000001</v>
      </c>
      <c r="E131" s="276">
        <f>'SatışEkibi YS-Yen. Hed - 671'!$C$64*E$2</f>
        <v>89.869129999999998</v>
      </c>
      <c r="F131" s="276">
        <f>'SatışEkibi YS-Yen. Hed - 671'!$C$64*F$2</f>
        <v>87.795226999999997</v>
      </c>
      <c r="G131" s="276">
        <f>'SatışEkibi YS-Yen. Hed - 671'!$C$64*G$2</f>
        <v>87.795226999999997</v>
      </c>
      <c r="H131" s="276">
        <f>'SatışEkibi YS-Yen. Hed - 671'!$C$64*H$2</f>
        <v>99.547343999999981</v>
      </c>
      <c r="I131" s="276">
        <f>'SatışEkibi YS-Yen. Hed - 671'!$C$64*I$2</f>
        <v>82.956119999999999</v>
      </c>
      <c r="J131" s="276">
        <f>'SatışEkibi YS-Yen. Hed - 671'!$C$64*J$2</f>
        <v>83.647420999999994</v>
      </c>
      <c r="K131" s="276">
        <f>'SatışEkibi YS-Yen. Hed - 671'!$C$64*K$2</f>
        <v>88.486528000000007</v>
      </c>
      <c r="L131" s="276">
        <f>'SatışEkibi YS-Yen. Hed - 671'!$C$64*L$2</f>
        <v>103.69514999999998</v>
      </c>
      <c r="M131" s="276">
        <f>'SatışEkibi YS-Yen. Hed - 671'!$C$64*M$2</f>
        <v>105.07775199999999</v>
      </c>
      <c r="N131" s="276">
        <f>'SatışEkibi YS-Yen. Hed - 671'!$C$64*N$2</f>
        <v>119.595073</v>
      </c>
      <c r="O131" s="295">
        <f t="shared" si="81"/>
        <v>1106.0816000000002</v>
      </c>
      <c r="Q131" s="277" t="str">
        <f t="shared" si="80"/>
        <v>Stokbar</v>
      </c>
      <c r="R131" s="278" t="str">
        <f t="shared" si="82"/>
        <v>Yeni Satış</v>
      </c>
      <c r="S131" s="279">
        <f t="shared" si="83"/>
        <v>247.48575800000003</v>
      </c>
      <c r="T131" s="279">
        <f t="shared" si="84"/>
        <v>275.13779799999998</v>
      </c>
      <c r="U131" s="279">
        <f t="shared" si="85"/>
        <v>255.09006900000003</v>
      </c>
      <c r="V131" s="279">
        <f t="shared" si="86"/>
        <v>328.367975</v>
      </c>
      <c r="W131" s="279">
        <f t="shared" si="87"/>
        <v>1106.0816</v>
      </c>
    </row>
    <row r="132" spans="1:23" s="269" customFormat="1" ht="16" hidden="1" customHeight="1" outlineLevel="1" x14ac:dyDescent="0.2">
      <c r="A132" s="293" t="s">
        <v>29</v>
      </c>
      <c r="B132" s="294" t="s">
        <v>28</v>
      </c>
      <c r="C132" s="276">
        <f>'SatışEkibi YS-Yen. Hed - 671'!$C$65*'Satış YS-Yen.Hed (Ayık) - 671'!C$2</f>
        <v>78.80831400000001</v>
      </c>
      <c r="D132" s="276">
        <f>'SatışEkibi YS-Yen. Hed - 671'!$C$65*'Satış YS-Yen.Hed (Ayık) - 671'!D$2</f>
        <v>78.80831400000001</v>
      </c>
      <c r="E132" s="276">
        <f>'SatışEkibi YS-Yen. Hed - 671'!$C$65*'Satış YS-Yen.Hed (Ayık) - 671'!E$2</f>
        <v>89.869129999999998</v>
      </c>
      <c r="F132" s="276">
        <f>'SatışEkibi YS-Yen. Hed - 671'!$C$65*'Satış YS-Yen.Hed (Ayık) - 671'!F$2</f>
        <v>87.795226999999997</v>
      </c>
      <c r="G132" s="276">
        <f>'SatışEkibi YS-Yen. Hed - 671'!$C$65*'Satış YS-Yen.Hed (Ayık) - 671'!G$2</f>
        <v>87.795226999999997</v>
      </c>
      <c r="H132" s="276">
        <f>'SatışEkibi YS-Yen. Hed - 671'!$C$65*'Satış YS-Yen.Hed (Ayık) - 671'!H$2</f>
        <v>99.547343999999981</v>
      </c>
      <c r="I132" s="276">
        <f>'SatışEkibi YS-Yen. Hed - 671'!$C$65*'Satış YS-Yen.Hed (Ayık) - 671'!I$2</f>
        <v>82.956119999999999</v>
      </c>
      <c r="J132" s="276">
        <f>'SatışEkibi YS-Yen. Hed - 671'!$C$65*'Satış YS-Yen.Hed (Ayık) - 671'!J$2</f>
        <v>83.647420999999994</v>
      </c>
      <c r="K132" s="276">
        <f>'SatışEkibi YS-Yen. Hed - 671'!$C$65*'Satış YS-Yen.Hed (Ayık) - 671'!K$2</f>
        <v>88.486528000000007</v>
      </c>
      <c r="L132" s="276">
        <f>'SatışEkibi YS-Yen. Hed - 671'!$C$65*'Satış YS-Yen.Hed (Ayık) - 671'!L$2</f>
        <v>103.69514999999998</v>
      </c>
      <c r="M132" s="276">
        <f>'SatışEkibi YS-Yen. Hed - 671'!$C$65*'Satış YS-Yen.Hed (Ayık) - 671'!M$2</f>
        <v>105.07775199999999</v>
      </c>
      <c r="N132" s="276">
        <f>'SatışEkibi YS-Yen. Hed - 671'!$C$65*'Satış YS-Yen.Hed (Ayık) - 671'!N$2</f>
        <v>119.595073</v>
      </c>
      <c r="O132" s="295">
        <f t="shared" si="81"/>
        <v>1106.0816000000002</v>
      </c>
      <c r="Q132" s="277" t="str">
        <f t="shared" si="80"/>
        <v>Stokbar</v>
      </c>
      <c r="R132" s="278" t="str">
        <f t="shared" si="82"/>
        <v>Yenileme</v>
      </c>
      <c r="S132" s="279">
        <f t="shared" si="83"/>
        <v>247.48575800000003</v>
      </c>
      <c r="T132" s="279">
        <f t="shared" si="84"/>
        <v>275.13779799999998</v>
      </c>
      <c r="U132" s="279">
        <f t="shared" si="85"/>
        <v>255.09006900000003</v>
      </c>
      <c r="V132" s="279">
        <f t="shared" si="86"/>
        <v>328.367975</v>
      </c>
      <c r="W132" s="279">
        <f t="shared" si="87"/>
        <v>1106.0816</v>
      </c>
    </row>
    <row r="133" spans="1:23" s="269" customFormat="1" ht="16" hidden="1" customHeight="1" outlineLevel="1" x14ac:dyDescent="0.2">
      <c r="A133" s="293" t="s">
        <v>27</v>
      </c>
      <c r="B133" s="294" t="s">
        <v>28</v>
      </c>
      <c r="C133" s="276">
        <f>'SatışEkibi YS-Yen. Hed - 671'!$D$65*'Satış YS-Yen.Hed (Ayık) - 671'!C$2</f>
        <v>12.338391000000001</v>
      </c>
      <c r="D133" s="276">
        <f>'SatışEkibi YS-Yen. Hed - 671'!$D$65*'Satış YS-Yen.Hed (Ayık) - 671'!D$2</f>
        <v>12.338391000000001</v>
      </c>
      <c r="E133" s="276">
        <f>'SatışEkibi YS-Yen. Hed - 671'!$D$65*'Satış YS-Yen.Hed (Ayık) - 671'!E$2</f>
        <v>14.070095</v>
      </c>
      <c r="F133" s="276">
        <f>'SatışEkibi YS-Yen. Hed - 671'!$D$65*'Satış YS-Yen.Hed (Ayık) - 671'!F$2</f>
        <v>13.745400500000001</v>
      </c>
      <c r="G133" s="276">
        <f>'SatışEkibi YS-Yen. Hed - 671'!$D$65*'Satış YS-Yen.Hed (Ayık) - 671'!G$2</f>
        <v>13.745400500000001</v>
      </c>
      <c r="H133" s="276">
        <f>'SatışEkibi YS-Yen. Hed - 671'!$D$65*'Satış YS-Yen.Hed (Ayık) - 671'!H$2</f>
        <v>15.585335999999996</v>
      </c>
      <c r="I133" s="276">
        <f>'SatışEkibi YS-Yen. Hed - 671'!$D$65*'Satış YS-Yen.Hed (Ayık) - 671'!I$2</f>
        <v>12.987779999999999</v>
      </c>
      <c r="J133" s="276">
        <f>'SatışEkibi YS-Yen. Hed - 671'!$D$65*'Satış YS-Yen.Hed (Ayık) - 671'!J$2</f>
        <v>13.096011499999999</v>
      </c>
      <c r="K133" s="276">
        <f>'SatışEkibi YS-Yen. Hed - 671'!$D$65*'Satış YS-Yen.Hed (Ayık) - 671'!K$2</f>
        <v>13.853632000000001</v>
      </c>
      <c r="L133" s="276">
        <f>'SatışEkibi YS-Yen. Hed - 671'!$D$65*'Satış YS-Yen.Hed (Ayık) - 671'!L$2</f>
        <v>16.234724999999997</v>
      </c>
      <c r="M133" s="276">
        <f>'SatışEkibi YS-Yen. Hed - 671'!$D$65*'Satış YS-Yen.Hed (Ayık) - 671'!M$2</f>
        <v>16.451187999999998</v>
      </c>
      <c r="N133" s="276">
        <f>'SatışEkibi YS-Yen. Hed - 671'!$D$65*'Satış YS-Yen.Hed (Ayık) - 671'!N$2</f>
        <v>18.7240495</v>
      </c>
      <c r="O133" s="295">
        <f t="shared" si="81"/>
        <v>173.1704</v>
      </c>
      <c r="Q133" s="277" t="str">
        <f t="shared" si="80"/>
        <v>Quest</v>
      </c>
      <c r="R133" s="278" t="str">
        <f t="shared" si="82"/>
        <v>Yenileme</v>
      </c>
      <c r="S133" s="279">
        <f t="shared" si="83"/>
        <v>38.746877000000005</v>
      </c>
      <c r="T133" s="279">
        <f t="shared" si="84"/>
        <v>43.076136999999996</v>
      </c>
      <c r="U133" s="279">
        <f t="shared" si="85"/>
        <v>39.937423499999994</v>
      </c>
      <c r="V133" s="279">
        <f t="shared" si="86"/>
        <v>51.409962499999999</v>
      </c>
      <c r="W133" s="279">
        <f t="shared" si="87"/>
        <v>173.1704</v>
      </c>
    </row>
    <row r="134" spans="1:23" s="269" customFormat="1" ht="16" hidden="1" customHeight="1" outlineLevel="1" x14ac:dyDescent="0.2">
      <c r="A134" s="293" t="s">
        <v>34</v>
      </c>
      <c r="B134" s="294" t="s">
        <v>26</v>
      </c>
      <c r="C134" s="276">
        <f>'SatışEkibi YS-Yen. Hed - 671'!$G$64*'Satış YS-Yen.Hed (Ayık) - 671'!C$2</f>
        <v>35.625000000000007</v>
      </c>
      <c r="D134" s="276">
        <f>'SatışEkibi YS-Yen. Hed - 671'!$G$64*'Satış YS-Yen.Hed (Ayık) - 671'!D$2</f>
        <v>35.625000000000007</v>
      </c>
      <c r="E134" s="276">
        <f>'SatışEkibi YS-Yen. Hed - 671'!$G$64*'Satış YS-Yen.Hed (Ayık) - 671'!E$2</f>
        <v>40.625</v>
      </c>
      <c r="F134" s="276">
        <f>'SatışEkibi YS-Yen. Hed - 671'!$G$64*'Satış YS-Yen.Hed (Ayık) - 671'!F$2</f>
        <v>39.6875</v>
      </c>
      <c r="G134" s="276">
        <f>'SatışEkibi YS-Yen. Hed - 671'!$G$64*'Satış YS-Yen.Hed (Ayık) - 671'!G$2</f>
        <v>39.6875</v>
      </c>
      <c r="H134" s="276">
        <f>'SatışEkibi YS-Yen. Hed - 671'!$G$64*'Satış YS-Yen.Hed (Ayık) - 671'!H$2</f>
        <v>44.999999999999993</v>
      </c>
      <c r="I134" s="276">
        <f>'SatışEkibi YS-Yen. Hed - 671'!$G$64*'Satış YS-Yen.Hed (Ayık) - 671'!I$2</f>
        <v>37.5</v>
      </c>
      <c r="J134" s="276">
        <f>'SatışEkibi YS-Yen. Hed - 671'!$G$64*'Satış YS-Yen.Hed (Ayık) - 671'!J$2</f>
        <v>37.8125</v>
      </c>
      <c r="K134" s="276">
        <f>'SatışEkibi YS-Yen. Hed - 671'!$G$64*'Satış YS-Yen.Hed (Ayık) - 671'!K$2</f>
        <v>40</v>
      </c>
      <c r="L134" s="276">
        <f>'SatışEkibi YS-Yen. Hed - 671'!$G$64*'Satış YS-Yen.Hed (Ayık) - 671'!L$2</f>
        <v>46.874999999999993</v>
      </c>
      <c r="M134" s="276">
        <f>'SatışEkibi YS-Yen. Hed - 671'!$G$64*'Satış YS-Yen.Hed (Ayık) - 671'!M$2</f>
        <v>47.499999999999993</v>
      </c>
      <c r="N134" s="276">
        <f>'SatışEkibi YS-Yen. Hed - 671'!$G$64*'Satış YS-Yen.Hed (Ayık) - 671'!N$2</f>
        <v>54.0625</v>
      </c>
      <c r="O134" s="295">
        <f t="shared" si="81"/>
        <v>500</v>
      </c>
      <c r="Q134" s="277" t="str">
        <f t="shared" si="80"/>
        <v>Hosting</v>
      </c>
      <c r="R134" s="278" t="str">
        <f t="shared" si="82"/>
        <v>Yeni Satış</v>
      </c>
      <c r="S134" s="279">
        <f t="shared" si="83"/>
        <v>111.87500000000001</v>
      </c>
      <c r="T134" s="279">
        <f t="shared" si="84"/>
        <v>124.375</v>
      </c>
      <c r="U134" s="279">
        <f t="shared" si="85"/>
        <v>115.3125</v>
      </c>
      <c r="V134" s="279">
        <f t="shared" si="86"/>
        <v>148.4375</v>
      </c>
      <c r="W134" s="279">
        <f t="shared" si="87"/>
        <v>500</v>
      </c>
    </row>
    <row r="135" spans="1:23" s="269" customFormat="1" ht="16" hidden="1" customHeight="1" outlineLevel="1" x14ac:dyDescent="0.2">
      <c r="A135" s="293" t="s">
        <v>34</v>
      </c>
      <c r="B135" s="294" t="s">
        <v>28</v>
      </c>
      <c r="C135" s="276">
        <f>'SatışEkibi YS-Yen. Hed - 671'!$G$65*'Satış YS-Yen.Hed (Ayık) - 671'!C$2</f>
        <v>80.512500000000003</v>
      </c>
      <c r="D135" s="276">
        <f>'SatışEkibi YS-Yen. Hed - 671'!$G$65*'Satış YS-Yen.Hed (Ayık) - 671'!D$2</f>
        <v>80.512500000000003</v>
      </c>
      <c r="E135" s="276">
        <f>'SatışEkibi YS-Yen. Hed - 671'!$G$65*'Satış YS-Yen.Hed (Ayık) - 671'!E$2</f>
        <v>91.8125</v>
      </c>
      <c r="F135" s="276">
        <f>'SatışEkibi YS-Yen. Hed - 671'!$G$65*'Satış YS-Yen.Hed (Ayık) - 671'!F$2</f>
        <v>89.693749999999994</v>
      </c>
      <c r="G135" s="276">
        <f>'SatışEkibi YS-Yen. Hed - 671'!$G$65*'Satış YS-Yen.Hed (Ayık) - 671'!G$2</f>
        <v>89.693749999999994</v>
      </c>
      <c r="H135" s="276">
        <f>'SatışEkibi YS-Yen. Hed - 671'!$G$65*'Satış YS-Yen.Hed (Ayık) - 671'!H$2</f>
        <v>101.69999999999997</v>
      </c>
      <c r="I135" s="276">
        <f>'SatışEkibi YS-Yen. Hed - 671'!$G$65*'Satış YS-Yen.Hed (Ayık) - 671'!I$2</f>
        <v>84.75</v>
      </c>
      <c r="J135" s="276">
        <f>'SatışEkibi YS-Yen. Hed - 671'!$G$65*'Satış YS-Yen.Hed (Ayık) - 671'!J$2</f>
        <v>85.456249999999997</v>
      </c>
      <c r="K135" s="276">
        <f>'SatışEkibi YS-Yen. Hed - 671'!$G$65*'Satış YS-Yen.Hed (Ayık) - 671'!K$2</f>
        <v>90.4</v>
      </c>
      <c r="L135" s="276">
        <f>'SatışEkibi YS-Yen. Hed - 671'!$G$65*'Satış YS-Yen.Hed (Ayık) - 671'!L$2</f>
        <v>105.93749999999999</v>
      </c>
      <c r="M135" s="276">
        <f>'SatışEkibi YS-Yen. Hed - 671'!$G$65*'Satış YS-Yen.Hed (Ayık) - 671'!M$2</f>
        <v>107.34999999999998</v>
      </c>
      <c r="N135" s="276">
        <f>'SatışEkibi YS-Yen. Hed - 671'!$G$65*'Satış YS-Yen.Hed (Ayık) - 671'!N$2</f>
        <v>122.18125000000001</v>
      </c>
      <c r="O135" s="295">
        <f t="shared" si="81"/>
        <v>1130</v>
      </c>
      <c r="Q135" s="277" t="str">
        <f t="shared" si="80"/>
        <v>Hosting</v>
      </c>
      <c r="R135" s="278" t="str">
        <f t="shared" si="82"/>
        <v>Yenileme</v>
      </c>
      <c r="S135" s="279">
        <f t="shared" si="83"/>
        <v>252.83750000000001</v>
      </c>
      <c r="T135" s="279">
        <f t="shared" si="84"/>
        <v>281.08749999999998</v>
      </c>
      <c r="U135" s="279">
        <f t="shared" si="85"/>
        <v>260.60625000000005</v>
      </c>
      <c r="V135" s="279">
        <f t="shared" si="86"/>
        <v>335.46875</v>
      </c>
      <c r="W135" s="279">
        <f t="shared" si="87"/>
        <v>1130</v>
      </c>
    </row>
    <row r="136" spans="1:23" s="269" customFormat="1" ht="16" hidden="1" customHeight="1" outlineLevel="1" x14ac:dyDescent="0.2">
      <c r="A136" s="293" t="s">
        <v>53</v>
      </c>
      <c r="B136" s="294" t="s">
        <v>26</v>
      </c>
      <c r="C136" s="276">
        <f>'SatışEkibi YS-Yen. Hed - 671'!$H$64*'Satış YS-Yen.Hed (Ayık) - 671'!C$2</f>
        <v>783.75000000000011</v>
      </c>
      <c r="D136" s="276">
        <f>'SatışEkibi YS-Yen. Hed - 671'!$H$64*'Satış YS-Yen.Hed (Ayık) - 671'!D$2</f>
        <v>783.75000000000011</v>
      </c>
      <c r="E136" s="276">
        <f>'SatışEkibi YS-Yen. Hed - 671'!$H$64*'Satış YS-Yen.Hed (Ayık) - 671'!E$2</f>
        <v>893.75</v>
      </c>
      <c r="F136" s="276">
        <f>'SatışEkibi YS-Yen. Hed - 671'!$H$64*'Satış YS-Yen.Hed (Ayık) - 671'!F$2</f>
        <v>873.125</v>
      </c>
      <c r="G136" s="276">
        <f>'SatışEkibi YS-Yen. Hed - 671'!$H$64*'Satış YS-Yen.Hed (Ayık) - 671'!G$2</f>
        <v>873.125</v>
      </c>
      <c r="H136" s="276">
        <f>'SatışEkibi YS-Yen. Hed - 671'!$H$64*'Satış YS-Yen.Hed (Ayık) - 671'!H$2</f>
        <v>989.99999999999977</v>
      </c>
      <c r="I136" s="276">
        <f>'SatışEkibi YS-Yen. Hed - 671'!$H$64*'Satış YS-Yen.Hed (Ayık) - 671'!I$2</f>
        <v>825</v>
      </c>
      <c r="J136" s="276">
        <f>'SatışEkibi YS-Yen. Hed - 671'!$H$64*'Satış YS-Yen.Hed (Ayık) - 671'!J$2</f>
        <v>831.875</v>
      </c>
      <c r="K136" s="276">
        <f>'SatışEkibi YS-Yen. Hed - 671'!$H$64*'Satış YS-Yen.Hed (Ayık) - 671'!K$2</f>
        <v>880</v>
      </c>
      <c r="L136" s="276">
        <f>'SatışEkibi YS-Yen. Hed - 671'!$H$64*'Satış YS-Yen.Hed (Ayık) - 671'!L$2</f>
        <v>1031.2499999999998</v>
      </c>
      <c r="M136" s="276">
        <f>'SatışEkibi YS-Yen. Hed - 671'!$H$64*'Satış YS-Yen.Hed (Ayık) - 671'!M$2</f>
        <v>1044.9999999999998</v>
      </c>
      <c r="N136" s="276">
        <f>'SatışEkibi YS-Yen. Hed - 671'!$H$64*'Satış YS-Yen.Hed (Ayık) - 671'!N$2</f>
        <v>1189.375</v>
      </c>
      <c r="O136" s="295">
        <f t="shared" si="81"/>
        <v>11000</v>
      </c>
      <c r="Q136" s="277" t="str">
        <f t="shared" si="80"/>
        <v>E-Dönüşüm</v>
      </c>
      <c r="R136" s="278" t="str">
        <f t="shared" si="82"/>
        <v>Yeni Satış</v>
      </c>
      <c r="S136" s="279">
        <f t="shared" si="83"/>
        <v>2461.25</v>
      </c>
      <c r="T136" s="279">
        <f t="shared" si="84"/>
        <v>2736.25</v>
      </c>
      <c r="U136" s="279">
        <f t="shared" si="85"/>
        <v>2536.875</v>
      </c>
      <c r="V136" s="279">
        <f t="shared" si="86"/>
        <v>3265.6249999999995</v>
      </c>
      <c r="W136" s="279">
        <f t="shared" si="87"/>
        <v>11000</v>
      </c>
    </row>
    <row r="137" spans="1:23" s="269" customFormat="1" ht="16" hidden="1" customHeight="1" outlineLevel="1" x14ac:dyDescent="0.2">
      <c r="A137" s="293" t="s">
        <v>53</v>
      </c>
      <c r="B137" s="294" t="s">
        <v>28</v>
      </c>
      <c r="C137" s="276">
        <f>'SatışEkibi YS-Yen. Hed - 671'!$H$65*'Satış YS-Yen.Hed (Ayık) - 671'!C$2</f>
        <v>142.50000000000003</v>
      </c>
      <c r="D137" s="276">
        <f>'SatışEkibi YS-Yen. Hed - 671'!$H$65*'Satış YS-Yen.Hed (Ayık) - 671'!D$2</f>
        <v>142.50000000000003</v>
      </c>
      <c r="E137" s="276">
        <f>'SatışEkibi YS-Yen. Hed - 671'!$H$65*'Satış YS-Yen.Hed (Ayık) - 671'!E$2</f>
        <v>162.5</v>
      </c>
      <c r="F137" s="276">
        <f>'SatışEkibi YS-Yen. Hed - 671'!$H$65*'Satış YS-Yen.Hed (Ayık) - 671'!F$2</f>
        <v>158.75</v>
      </c>
      <c r="G137" s="276">
        <f>'SatışEkibi YS-Yen. Hed - 671'!$H$65*'Satış YS-Yen.Hed (Ayık) - 671'!G$2</f>
        <v>158.75</v>
      </c>
      <c r="H137" s="276">
        <f>'SatışEkibi YS-Yen. Hed - 671'!$H$65*'Satış YS-Yen.Hed (Ayık) - 671'!H$2</f>
        <v>179.99999999999997</v>
      </c>
      <c r="I137" s="276">
        <f>'SatışEkibi YS-Yen. Hed - 671'!$H$65*'Satış YS-Yen.Hed (Ayık) - 671'!I$2</f>
        <v>150</v>
      </c>
      <c r="J137" s="276">
        <f>'SatışEkibi YS-Yen. Hed - 671'!$H$65*'Satış YS-Yen.Hed (Ayık) - 671'!J$2</f>
        <v>151.25</v>
      </c>
      <c r="K137" s="276">
        <f>'SatışEkibi YS-Yen. Hed - 671'!$H$65*'Satış YS-Yen.Hed (Ayık) - 671'!K$2</f>
        <v>160</v>
      </c>
      <c r="L137" s="276">
        <f>'SatışEkibi YS-Yen. Hed - 671'!$H$65*'Satış YS-Yen.Hed (Ayık) - 671'!L$2</f>
        <v>187.49999999999997</v>
      </c>
      <c r="M137" s="276">
        <f>'SatışEkibi YS-Yen. Hed - 671'!$H$65*'Satış YS-Yen.Hed (Ayık) - 671'!M$2</f>
        <v>189.99999999999997</v>
      </c>
      <c r="N137" s="276">
        <f>'SatışEkibi YS-Yen. Hed - 671'!$H$65*'Satış YS-Yen.Hed (Ayık) - 671'!N$2</f>
        <v>216.25</v>
      </c>
      <c r="O137" s="295">
        <f t="shared" si="81"/>
        <v>2000</v>
      </c>
      <c r="Q137" s="277" t="str">
        <f t="shared" si="80"/>
        <v>E-Dönüşüm</v>
      </c>
      <c r="R137" s="278" t="str">
        <f t="shared" si="82"/>
        <v>Yenileme</v>
      </c>
      <c r="S137" s="279">
        <f t="shared" si="83"/>
        <v>447.50000000000006</v>
      </c>
      <c r="T137" s="279">
        <f t="shared" si="84"/>
        <v>497.5</v>
      </c>
      <c r="U137" s="279">
        <f t="shared" si="85"/>
        <v>461.25</v>
      </c>
      <c r="V137" s="279">
        <f t="shared" si="86"/>
        <v>593.75</v>
      </c>
      <c r="W137" s="279">
        <f t="shared" si="87"/>
        <v>2000</v>
      </c>
    </row>
    <row r="138" spans="1:23" s="269" customFormat="1" ht="16" hidden="1" customHeight="1" outlineLevel="1" x14ac:dyDescent="0.2">
      <c r="A138" s="293" t="s">
        <v>35</v>
      </c>
      <c r="B138" s="294" t="s">
        <v>26</v>
      </c>
      <c r="C138" s="276">
        <f>'SatışEkibi YS-Yen. Hed - 671'!$I$64*'Satış YS-Yen.Hed (Ayık) - 671'!C$2</f>
        <v>17.812500000000004</v>
      </c>
      <c r="D138" s="276">
        <f>'SatışEkibi YS-Yen. Hed - 671'!$I$64*'Satış YS-Yen.Hed (Ayık) - 671'!D$2</f>
        <v>17.812500000000004</v>
      </c>
      <c r="E138" s="276">
        <f>'SatışEkibi YS-Yen. Hed - 671'!$I$64*'Satış YS-Yen.Hed (Ayık) - 671'!E$2</f>
        <v>20.3125</v>
      </c>
      <c r="F138" s="276">
        <f>'SatışEkibi YS-Yen. Hed - 671'!$I$64*'Satış YS-Yen.Hed (Ayık) - 671'!F$2</f>
        <v>19.84375</v>
      </c>
      <c r="G138" s="276">
        <f>'SatışEkibi YS-Yen. Hed - 671'!$I$64*'Satış YS-Yen.Hed (Ayık) - 671'!G$2</f>
        <v>19.84375</v>
      </c>
      <c r="H138" s="276">
        <f>'SatışEkibi YS-Yen. Hed - 671'!$I$64*'Satış YS-Yen.Hed (Ayık) - 671'!H$2</f>
        <v>22.499999999999996</v>
      </c>
      <c r="I138" s="276">
        <f>'SatışEkibi YS-Yen. Hed - 671'!$I$64*'Satış YS-Yen.Hed (Ayık) - 671'!I$2</f>
        <v>18.75</v>
      </c>
      <c r="J138" s="276">
        <f>'SatışEkibi YS-Yen. Hed - 671'!$I$64*'Satış YS-Yen.Hed (Ayık) - 671'!J$2</f>
        <v>18.90625</v>
      </c>
      <c r="K138" s="276">
        <f>'SatışEkibi YS-Yen. Hed - 671'!$I$64*'Satış YS-Yen.Hed (Ayık) - 671'!K$2</f>
        <v>20</v>
      </c>
      <c r="L138" s="276">
        <f>'SatışEkibi YS-Yen. Hed - 671'!$I$64*'Satış YS-Yen.Hed (Ayık) - 671'!L$2</f>
        <v>23.437499999999996</v>
      </c>
      <c r="M138" s="276">
        <f>'SatışEkibi YS-Yen. Hed - 671'!$I$64*'Satış YS-Yen.Hed (Ayık) - 671'!M$2</f>
        <v>23.749999999999996</v>
      </c>
      <c r="N138" s="276">
        <f>'SatışEkibi YS-Yen. Hed - 671'!$I$64*'Satış YS-Yen.Hed (Ayık) - 671'!N$2</f>
        <v>27.03125</v>
      </c>
      <c r="O138" s="295">
        <f t="shared" si="81"/>
        <v>250</v>
      </c>
      <c r="Q138" s="277" t="str">
        <f t="shared" si="80"/>
        <v>BFH</v>
      </c>
      <c r="R138" s="278" t="str">
        <f t="shared" si="82"/>
        <v>Yeni Satış</v>
      </c>
      <c r="S138" s="279">
        <f t="shared" si="83"/>
        <v>55.937500000000007</v>
      </c>
      <c r="T138" s="279">
        <f t="shared" si="84"/>
        <v>62.1875</v>
      </c>
      <c r="U138" s="279">
        <f t="shared" si="85"/>
        <v>57.65625</v>
      </c>
      <c r="V138" s="279">
        <f t="shared" si="86"/>
        <v>74.21875</v>
      </c>
      <c r="W138" s="279">
        <f t="shared" si="87"/>
        <v>250</v>
      </c>
    </row>
    <row r="139" spans="1:23" s="269" customFormat="1" ht="16" customHeight="1" collapsed="1" x14ac:dyDescent="0.2">
      <c r="A139" s="283" t="s">
        <v>30</v>
      </c>
      <c r="B139" s="284" t="s">
        <v>26</v>
      </c>
      <c r="C139" s="282">
        <f>SUMIF($B$129:$B$138,"Yeni Satış",C129:C138)</f>
        <v>1094.1208140000001</v>
      </c>
      <c r="D139" s="282">
        <f t="shared" ref="D139:N139" si="88">SUMIF($B$129:$B$138,"Yeni Satış",D129:D138)</f>
        <v>1094.1208140000001</v>
      </c>
      <c r="E139" s="282">
        <f t="shared" si="88"/>
        <v>1247.68163</v>
      </c>
      <c r="F139" s="282">
        <f t="shared" si="88"/>
        <v>1218.8889770000001</v>
      </c>
      <c r="G139" s="282">
        <f t="shared" si="88"/>
        <v>1218.8889770000001</v>
      </c>
      <c r="H139" s="282">
        <f t="shared" si="88"/>
        <v>1382.0473439999996</v>
      </c>
      <c r="I139" s="282">
        <f t="shared" si="88"/>
        <v>1151.7061200000001</v>
      </c>
      <c r="J139" s="282">
        <f t="shared" si="88"/>
        <v>1161.3036710000001</v>
      </c>
      <c r="K139" s="282">
        <f t="shared" si="88"/>
        <v>1228.4865279999999</v>
      </c>
      <c r="L139" s="282">
        <f t="shared" si="88"/>
        <v>1439.6326499999998</v>
      </c>
      <c r="M139" s="282">
        <f t="shared" si="88"/>
        <v>1458.8277519999997</v>
      </c>
      <c r="N139" s="282">
        <f t="shared" si="88"/>
        <v>1660.376323</v>
      </c>
      <c r="O139" s="296">
        <f>SUMIF(B129:B138,"Yeni Satış",O129:O138)</f>
        <v>15356.081600000001</v>
      </c>
      <c r="Q139" s="283" t="s">
        <v>30</v>
      </c>
      <c r="R139" s="284" t="str">
        <f t="shared" si="82"/>
        <v>Yeni Satış</v>
      </c>
      <c r="S139" s="285">
        <f>SUMIF(R129:R138,"Yeni Satış",S129:S138)</f>
        <v>3435.9232579999998</v>
      </c>
      <c r="T139" s="285">
        <f>SUMIF(R129:R138,"Yeni Satış",T129:T138)</f>
        <v>3819.8252979999997</v>
      </c>
      <c r="U139" s="285">
        <f>SUMIF(R129:R138,"Yeni Satış",U129:U138)</f>
        <v>3541.4963189999999</v>
      </c>
      <c r="V139" s="285">
        <f>SUMIF(R129:R138,"Yeni Satış",V129:V138)</f>
        <v>4558.8367249999992</v>
      </c>
      <c r="W139" s="285">
        <f t="shared" si="87"/>
        <v>15356.0816</v>
      </c>
    </row>
    <row r="140" spans="1:23" s="269" customFormat="1" ht="16" customHeight="1" x14ac:dyDescent="0.2">
      <c r="A140" s="283" t="s">
        <v>30</v>
      </c>
      <c r="B140" s="284" t="s">
        <v>28</v>
      </c>
      <c r="C140" s="282">
        <f>SUMIF($B$129:$B$138,"Yenileme",C129:C138)</f>
        <v>778.54001475000018</v>
      </c>
      <c r="D140" s="282">
        <f t="shared" ref="D140:N140" si="89">SUMIF($B$129:$B$138,"Yenileme",D129:D138)</f>
        <v>778.54001475000018</v>
      </c>
      <c r="E140" s="282">
        <f t="shared" si="89"/>
        <v>887.80878875000019</v>
      </c>
      <c r="F140" s="282">
        <f t="shared" si="89"/>
        <v>867.32089362500005</v>
      </c>
      <c r="G140" s="282">
        <f t="shared" si="89"/>
        <v>867.32089362500005</v>
      </c>
      <c r="H140" s="282">
        <f t="shared" si="89"/>
        <v>983.41896599999984</v>
      </c>
      <c r="I140" s="282">
        <f t="shared" si="89"/>
        <v>819.51580500000011</v>
      </c>
      <c r="J140" s="282">
        <f t="shared" si="89"/>
        <v>826.34510337500001</v>
      </c>
      <c r="K140" s="282">
        <f t="shared" si="89"/>
        <v>874.15019200000006</v>
      </c>
      <c r="L140" s="282">
        <f t="shared" si="89"/>
        <v>1024.39475625</v>
      </c>
      <c r="M140" s="282">
        <f t="shared" si="89"/>
        <v>1038.053353</v>
      </c>
      <c r="N140" s="282">
        <f t="shared" si="89"/>
        <v>1181.4686188749999</v>
      </c>
      <c r="O140" s="296">
        <f>SUMIF(B129:B138,"Yenileme",O129:O138)</f>
        <v>10926.877399999999</v>
      </c>
      <c r="Q140" s="283" t="s">
        <v>30</v>
      </c>
      <c r="R140" s="284" t="str">
        <f t="shared" si="82"/>
        <v>Yenileme</v>
      </c>
      <c r="S140" s="285">
        <f>SUMIF(R129:R138,"Yenileme",S129:S138)</f>
        <v>2444.8888182500004</v>
      </c>
      <c r="T140" s="285">
        <f>SUMIF(R129:R138,"Yenileme",T129:T138)</f>
        <v>2718.0607532500003</v>
      </c>
      <c r="U140" s="285">
        <f>SUMIF(R129:R138,"Yenileme",U129:U138)</f>
        <v>2520.0111003750003</v>
      </c>
      <c r="V140" s="285">
        <f>SUMIF(R129:R138,"Yenileme",V129:V138)</f>
        <v>3243.9167281249997</v>
      </c>
      <c r="W140" s="285">
        <f t="shared" si="87"/>
        <v>10926.877400000001</v>
      </c>
    </row>
    <row r="141" spans="1:23" s="269" customFormat="1" ht="16" customHeight="1" x14ac:dyDescent="0.2">
      <c r="A141" s="297" t="s">
        <v>38</v>
      </c>
      <c r="B141" s="298" t="s">
        <v>144</v>
      </c>
      <c r="C141" s="288">
        <f>SUM(C139:C140)</f>
        <v>1872.6608287500003</v>
      </c>
      <c r="D141" s="288">
        <f t="shared" ref="D141:N141" si="90">SUM(D139:D140)</f>
        <v>1872.6608287500003</v>
      </c>
      <c r="E141" s="288">
        <f t="shared" si="90"/>
        <v>2135.4904187500001</v>
      </c>
      <c r="F141" s="288">
        <f t="shared" si="90"/>
        <v>2086.2098706249999</v>
      </c>
      <c r="G141" s="288">
        <f t="shared" si="90"/>
        <v>2086.2098706249999</v>
      </c>
      <c r="H141" s="288">
        <f t="shared" si="90"/>
        <v>2365.4663099999993</v>
      </c>
      <c r="I141" s="288">
        <f t="shared" si="90"/>
        <v>1971.2219250000003</v>
      </c>
      <c r="J141" s="288">
        <f t="shared" si="90"/>
        <v>1987.6487743750001</v>
      </c>
      <c r="K141" s="288">
        <f t="shared" si="90"/>
        <v>2102.63672</v>
      </c>
      <c r="L141" s="288">
        <f t="shared" si="90"/>
        <v>2464.0274062499998</v>
      </c>
      <c r="M141" s="288">
        <f t="shared" si="90"/>
        <v>2496.8811049999995</v>
      </c>
      <c r="N141" s="288">
        <f t="shared" si="90"/>
        <v>2841.8449418749997</v>
      </c>
      <c r="O141" s="304">
        <f>O139+O140</f>
        <v>26282.959000000003</v>
      </c>
      <c r="Q141" s="297" t="s">
        <v>38</v>
      </c>
      <c r="R141" s="298" t="str">
        <f t="shared" si="82"/>
        <v>YS + Yen.</v>
      </c>
      <c r="S141" s="302">
        <f>S139+S140</f>
        <v>5880.8120762500002</v>
      </c>
      <c r="T141" s="302">
        <f>T139+T140</f>
        <v>6537.8860512499996</v>
      </c>
      <c r="U141" s="302">
        <f>U139+U140</f>
        <v>6061.5074193750006</v>
      </c>
      <c r="V141" s="302">
        <f>V139+V140</f>
        <v>7802.7534531249985</v>
      </c>
      <c r="W141" s="291">
        <f>W139+W140</f>
        <v>26282.959000000003</v>
      </c>
    </row>
    <row r="142" spans="1:23" s="269" customFormat="1" ht="16" customHeight="1" x14ac:dyDescent="0.2">
      <c r="S142" s="292"/>
      <c r="T142" s="292"/>
      <c r="U142" s="292"/>
      <c r="V142" s="292"/>
      <c r="W142" s="292"/>
    </row>
    <row r="143" spans="1:23" s="269" customFormat="1" x14ac:dyDescent="0.2">
      <c r="A143" s="264" t="s">
        <v>152</v>
      </c>
      <c r="B143" s="264"/>
      <c r="C143" s="266" t="s">
        <v>131</v>
      </c>
      <c r="D143" s="266" t="s">
        <v>132</v>
      </c>
      <c r="E143" s="266" t="s">
        <v>133</v>
      </c>
      <c r="F143" s="266" t="s">
        <v>134</v>
      </c>
      <c r="G143" s="266" t="s">
        <v>135</v>
      </c>
      <c r="H143" s="266" t="s">
        <v>136</v>
      </c>
      <c r="I143" s="266" t="s">
        <v>137</v>
      </c>
      <c r="J143" s="266" t="s">
        <v>138</v>
      </c>
      <c r="K143" s="266" t="s">
        <v>139</v>
      </c>
      <c r="L143" s="266" t="s">
        <v>140</v>
      </c>
      <c r="M143" s="266" t="s">
        <v>141</v>
      </c>
      <c r="N143" s="266" t="s">
        <v>142</v>
      </c>
      <c r="O143" s="266" t="s">
        <v>143</v>
      </c>
      <c r="Q143" s="301" t="str">
        <f>A143</f>
        <v>Özlem Gülbahar  —  Kanal Satış</v>
      </c>
      <c r="R143" s="301"/>
      <c r="S143" s="266" t="s">
        <v>154</v>
      </c>
      <c r="T143" s="266" t="s">
        <v>155</v>
      </c>
      <c r="U143" s="266" t="s">
        <v>156</v>
      </c>
      <c r="V143" s="266" t="s">
        <v>157</v>
      </c>
      <c r="W143" s="266" t="s">
        <v>143</v>
      </c>
    </row>
    <row r="144" spans="1:23" s="269" customFormat="1" ht="16" hidden="1" customHeight="1" outlineLevel="1" x14ac:dyDescent="0.2">
      <c r="A144" s="293" t="s">
        <v>53</v>
      </c>
      <c r="B144" s="294" t="s">
        <v>26</v>
      </c>
      <c r="C144" s="276">
        <f>'SatışEkibi YS-Yen. Hed - 671'!$H$67*'Satış YS-Yen.Hed (Ayık) - 671'!C$2</f>
        <v>1282.5000000000002</v>
      </c>
      <c r="D144" s="276">
        <f>'SatışEkibi YS-Yen. Hed - 671'!$H$67*'Satış YS-Yen.Hed (Ayık) - 671'!D$2</f>
        <v>1282.5000000000002</v>
      </c>
      <c r="E144" s="276">
        <f>'SatışEkibi YS-Yen. Hed - 671'!$H$67*'Satış YS-Yen.Hed (Ayık) - 671'!E$2</f>
        <v>1462.5</v>
      </c>
      <c r="F144" s="276">
        <f>'SatışEkibi YS-Yen. Hed - 671'!$H$67*'Satış YS-Yen.Hed (Ayık) - 671'!F$2</f>
        <v>1428.75</v>
      </c>
      <c r="G144" s="276">
        <f>'SatışEkibi YS-Yen. Hed - 671'!$H$67*'Satış YS-Yen.Hed (Ayık) - 671'!G$2</f>
        <v>1428.75</v>
      </c>
      <c r="H144" s="276">
        <f>'SatışEkibi YS-Yen. Hed - 671'!$H$67*'Satış YS-Yen.Hed (Ayık) - 671'!H$2</f>
        <v>1619.9999999999998</v>
      </c>
      <c r="I144" s="276">
        <f>'SatışEkibi YS-Yen. Hed - 671'!$H$67*'Satış YS-Yen.Hed (Ayık) - 671'!I$2</f>
        <v>1350</v>
      </c>
      <c r="J144" s="276">
        <f>'SatışEkibi YS-Yen. Hed - 671'!$H$67*'Satış YS-Yen.Hed (Ayık) - 671'!J$2</f>
        <v>1361.25</v>
      </c>
      <c r="K144" s="276">
        <f>'SatışEkibi YS-Yen. Hed - 671'!$H$67*'Satış YS-Yen.Hed (Ayık) - 671'!K$2</f>
        <v>1440</v>
      </c>
      <c r="L144" s="276">
        <f>'SatışEkibi YS-Yen. Hed - 671'!$H$67*'Satış YS-Yen.Hed (Ayık) - 671'!L$2</f>
        <v>1687.4999999999998</v>
      </c>
      <c r="M144" s="276">
        <f>'SatışEkibi YS-Yen. Hed - 671'!$H$67*'Satış YS-Yen.Hed (Ayık) - 671'!M$2</f>
        <v>1709.9999999999998</v>
      </c>
      <c r="N144" s="276">
        <f>'SatışEkibi YS-Yen. Hed - 671'!$H$67*'Satış YS-Yen.Hed (Ayık) - 671'!N$2</f>
        <v>1946.25</v>
      </c>
      <c r="O144" s="295">
        <f>SUM(C144:N144)</f>
        <v>18000</v>
      </c>
      <c r="Q144" s="277" t="str">
        <f>A144</f>
        <v>E-Dönüşüm</v>
      </c>
      <c r="R144" s="278" t="str">
        <f>B144</f>
        <v>Yeni Satış</v>
      </c>
      <c r="S144" s="279">
        <f>SUM(C144:E144)</f>
        <v>4027.5000000000005</v>
      </c>
      <c r="T144" s="279">
        <f>SUM(F144:H144)</f>
        <v>4477.5</v>
      </c>
      <c r="U144" s="279">
        <f>SUM(I144:K144)</f>
        <v>4151.25</v>
      </c>
      <c r="V144" s="279">
        <f>SUM(L144:N144)</f>
        <v>5343.75</v>
      </c>
      <c r="W144" s="279">
        <f>SUM(S144:V144)</f>
        <v>18000</v>
      </c>
    </row>
    <row r="145" spans="1:23" s="269" customFormat="1" ht="16" hidden="1" customHeight="1" outlineLevel="1" x14ac:dyDescent="0.2">
      <c r="A145" s="293" t="s">
        <v>53</v>
      </c>
      <c r="B145" s="294" t="s">
        <v>28</v>
      </c>
      <c r="C145" s="276">
        <f>'SatışEkibi YS-Yen. Hed - 671'!$H$68*'Satış YS-Yen.Hed (Ayık) - 671'!C$2</f>
        <v>2278.5316800000001</v>
      </c>
      <c r="D145" s="276">
        <f>'SatışEkibi YS-Yen. Hed - 671'!$H$68*'Satış YS-Yen.Hed (Ayık) - 671'!D$2</f>
        <v>2278.5316800000001</v>
      </c>
      <c r="E145" s="276">
        <f>'SatışEkibi YS-Yen. Hed - 671'!$H$68*'Satış YS-Yen.Hed (Ayık) - 671'!E$2</f>
        <v>2598.3256000000001</v>
      </c>
      <c r="F145" s="276">
        <f>'SatışEkibi YS-Yen. Hed - 671'!$H$68*'Satış YS-Yen.Hed (Ayık) - 671'!F$2</f>
        <v>2538.3642399999999</v>
      </c>
      <c r="G145" s="276">
        <f>'SatışEkibi YS-Yen. Hed - 671'!$H$68*'Satış YS-Yen.Hed (Ayık) - 671'!G$2</f>
        <v>2538.3642399999999</v>
      </c>
      <c r="H145" s="276">
        <f>'SatışEkibi YS-Yen. Hed - 671'!$H$68*'Satış YS-Yen.Hed (Ayık) - 671'!H$2</f>
        <v>2878.1452799999993</v>
      </c>
      <c r="I145" s="276">
        <f>'SatışEkibi YS-Yen. Hed - 671'!$H$68*'Satış YS-Yen.Hed (Ayık) - 671'!I$2</f>
        <v>2398.4544000000001</v>
      </c>
      <c r="J145" s="276">
        <f>'SatışEkibi YS-Yen. Hed - 671'!$H$68*'Satış YS-Yen.Hed (Ayık) - 671'!J$2</f>
        <v>2418.4415199999999</v>
      </c>
      <c r="K145" s="276">
        <f>'SatışEkibi YS-Yen. Hed - 671'!$H$68*'Satış YS-Yen.Hed (Ayık) - 671'!K$2</f>
        <v>2558.3513600000001</v>
      </c>
      <c r="L145" s="276">
        <f>'SatışEkibi YS-Yen. Hed - 671'!$H$68*'Satış YS-Yen.Hed (Ayık) - 671'!L$2</f>
        <v>2998.0679999999998</v>
      </c>
      <c r="M145" s="276">
        <f>'SatışEkibi YS-Yen. Hed - 671'!$H$68*'Satış YS-Yen.Hed (Ayık) - 671'!M$2</f>
        <v>3038.0422399999998</v>
      </c>
      <c r="N145" s="276">
        <f>'SatışEkibi YS-Yen. Hed - 671'!$H$68*'Satış YS-Yen.Hed (Ayık) - 671'!N$2</f>
        <v>3457.7717600000001</v>
      </c>
      <c r="O145" s="295">
        <f>SUM(C145:N145)</f>
        <v>31979.391999999996</v>
      </c>
      <c r="Q145" s="277" t="str">
        <f>A145</f>
        <v>E-Dönüşüm</v>
      </c>
      <c r="R145" s="278" t="str">
        <f>B145</f>
        <v>Yenileme</v>
      </c>
      <c r="S145" s="279">
        <f>SUM(C145:E145)</f>
        <v>7155.3889600000002</v>
      </c>
      <c r="T145" s="279">
        <f>SUM(F145:H145)</f>
        <v>7954.8737599999986</v>
      </c>
      <c r="U145" s="279">
        <f>SUM(I145:K145)</f>
        <v>7375.2472799999996</v>
      </c>
      <c r="V145" s="279">
        <f>SUM(L145:N145)</f>
        <v>9493.8819999999996</v>
      </c>
      <c r="W145" s="279">
        <f>SUM(S145:V145)</f>
        <v>31979.392</v>
      </c>
    </row>
    <row r="146" spans="1:23" s="269" customFormat="1" ht="16" customHeight="1" collapsed="1" x14ac:dyDescent="0.2">
      <c r="A146" s="283" t="s">
        <v>30</v>
      </c>
      <c r="B146" s="284" t="s">
        <v>26</v>
      </c>
      <c r="C146" s="282">
        <f>C144</f>
        <v>1282.5000000000002</v>
      </c>
      <c r="D146" s="282">
        <f t="shared" ref="D146:N147" si="91">D144</f>
        <v>1282.5000000000002</v>
      </c>
      <c r="E146" s="282">
        <f t="shared" si="91"/>
        <v>1462.5</v>
      </c>
      <c r="F146" s="282">
        <f t="shared" si="91"/>
        <v>1428.75</v>
      </c>
      <c r="G146" s="282">
        <f t="shared" si="91"/>
        <v>1428.75</v>
      </c>
      <c r="H146" s="282">
        <f t="shared" si="91"/>
        <v>1619.9999999999998</v>
      </c>
      <c r="I146" s="282">
        <f t="shared" si="91"/>
        <v>1350</v>
      </c>
      <c r="J146" s="282">
        <f t="shared" si="91"/>
        <v>1361.25</v>
      </c>
      <c r="K146" s="282">
        <f t="shared" si="91"/>
        <v>1440</v>
      </c>
      <c r="L146" s="282">
        <f t="shared" si="91"/>
        <v>1687.4999999999998</v>
      </c>
      <c r="M146" s="282">
        <f t="shared" si="91"/>
        <v>1709.9999999999998</v>
      </c>
      <c r="N146" s="282">
        <f t="shared" si="91"/>
        <v>1946.25</v>
      </c>
      <c r="O146" s="296">
        <f>SUMIF(B144:B145,"Yeni Satış",O144:O145)</f>
        <v>18000</v>
      </c>
      <c r="Q146" s="283" t="s">
        <v>30</v>
      </c>
      <c r="R146" s="284" t="str">
        <f>B146</f>
        <v>Yeni Satış</v>
      </c>
      <c r="S146" s="285">
        <f>SUMIF(R144:R145,"Yeni Satış",S144:S145)</f>
        <v>4027.5000000000005</v>
      </c>
      <c r="T146" s="285">
        <f>SUMIF(R144:R145,"Yeni Satış",T144:T145)</f>
        <v>4477.5</v>
      </c>
      <c r="U146" s="285">
        <f>SUMIF(R144:R145,"Yeni Satış",U144:U145)</f>
        <v>4151.25</v>
      </c>
      <c r="V146" s="285">
        <f>SUMIF(R144:R145,"Yeni Satış",V144:V145)</f>
        <v>5343.75</v>
      </c>
      <c r="W146" s="285">
        <f>SUM(S146:V146)</f>
        <v>18000</v>
      </c>
    </row>
    <row r="147" spans="1:23" s="269" customFormat="1" ht="16" customHeight="1" x14ac:dyDescent="0.2">
      <c r="A147" s="283" t="s">
        <v>30</v>
      </c>
      <c r="B147" s="284" t="s">
        <v>28</v>
      </c>
      <c r="C147" s="282">
        <f>C145</f>
        <v>2278.5316800000001</v>
      </c>
      <c r="D147" s="282">
        <f t="shared" si="91"/>
        <v>2278.5316800000001</v>
      </c>
      <c r="E147" s="282">
        <f t="shared" si="91"/>
        <v>2598.3256000000001</v>
      </c>
      <c r="F147" s="282">
        <f t="shared" si="91"/>
        <v>2538.3642399999999</v>
      </c>
      <c r="G147" s="282">
        <f t="shared" si="91"/>
        <v>2538.3642399999999</v>
      </c>
      <c r="H147" s="282">
        <f t="shared" si="91"/>
        <v>2878.1452799999993</v>
      </c>
      <c r="I147" s="282">
        <f t="shared" si="91"/>
        <v>2398.4544000000001</v>
      </c>
      <c r="J147" s="282">
        <f t="shared" si="91"/>
        <v>2418.4415199999999</v>
      </c>
      <c r="K147" s="282">
        <f t="shared" si="91"/>
        <v>2558.3513600000001</v>
      </c>
      <c r="L147" s="282">
        <f t="shared" si="91"/>
        <v>2998.0679999999998</v>
      </c>
      <c r="M147" s="282">
        <f t="shared" si="91"/>
        <v>3038.0422399999998</v>
      </c>
      <c r="N147" s="282">
        <f t="shared" si="91"/>
        <v>3457.7717600000001</v>
      </c>
      <c r="O147" s="296">
        <f>SUMIF(B144:B145,"Yenileme",O144:O145)</f>
        <v>31979.391999999996</v>
      </c>
      <c r="Q147" s="283" t="s">
        <v>30</v>
      </c>
      <c r="R147" s="284" t="str">
        <f>B147</f>
        <v>Yenileme</v>
      </c>
      <c r="S147" s="285">
        <f>SUMIF(R144:R145,"Yenileme",S144:S145)</f>
        <v>7155.3889600000002</v>
      </c>
      <c r="T147" s="285">
        <f>SUMIF(R144:R145,"Yenileme",T144:T145)</f>
        <v>7954.8737599999986</v>
      </c>
      <c r="U147" s="285">
        <f>SUMIF(R144:R145,"Yenileme",U144:U145)</f>
        <v>7375.2472799999996</v>
      </c>
      <c r="V147" s="285">
        <f>SUMIF(R144:R145,"Yenileme",V144:V145)</f>
        <v>9493.8819999999996</v>
      </c>
      <c r="W147" s="285">
        <f>SUM(S147:V147)</f>
        <v>31979.392</v>
      </c>
    </row>
    <row r="148" spans="1:23" s="269" customFormat="1" ht="16" customHeight="1" x14ac:dyDescent="0.2">
      <c r="A148" s="297" t="s">
        <v>38</v>
      </c>
      <c r="B148" s="298" t="s">
        <v>144</v>
      </c>
      <c r="C148" s="288">
        <f>SUM(C146:C147)</f>
        <v>3561.0316800000001</v>
      </c>
      <c r="D148" s="288">
        <f t="shared" ref="D148:N148" si="92">SUM(D146:D147)</f>
        <v>3561.0316800000001</v>
      </c>
      <c r="E148" s="288">
        <f t="shared" si="92"/>
        <v>4060.8256000000001</v>
      </c>
      <c r="F148" s="288">
        <f t="shared" si="92"/>
        <v>3967.1142399999999</v>
      </c>
      <c r="G148" s="288">
        <f t="shared" si="92"/>
        <v>3967.1142399999999</v>
      </c>
      <c r="H148" s="288">
        <f t="shared" si="92"/>
        <v>4498.1452799999988</v>
      </c>
      <c r="I148" s="288">
        <f t="shared" si="92"/>
        <v>3748.4544000000001</v>
      </c>
      <c r="J148" s="288">
        <f t="shared" si="92"/>
        <v>3779.6915199999999</v>
      </c>
      <c r="K148" s="288">
        <f t="shared" si="92"/>
        <v>3998.3513600000001</v>
      </c>
      <c r="L148" s="288">
        <f t="shared" si="92"/>
        <v>4685.5679999999993</v>
      </c>
      <c r="M148" s="288">
        <f t="shared" si="92"/>
        <v>4748.0422399999998</v>
      </c>
      <c r="N148" s="288">
        <f t="shared" si="92"/>
        <v>5404.0217599999996</v>
      </c>
      <c r="O148" s="304">
        <f>O146+O147</f>
        <v>49979.391999999993</v>
      </c>
      <c r="Q148" s="297" t="s">
        <v>38</v>
      </c>
      <c r="R148" s="298" t="str">
        <f>B148</f>
        <v>YS + Yen.</v>
      </c>
      <c r="S148" s="302">
        <f>S146+S147</f>
        <v>11182.88896</v>
      </c>
      <c r="T148" s="302">
        <f>T146+T147</f>
        <v>12432.373759999999</v>
      </c>
      <c r="U148" s="302">
        <f>U146+U147</f>
        <v>11526.49728</v>
      </c>
      <c r="V148" s="302">
        <f>V146+V147</f>
        <v>14837.632</v>
      </c>
      <c r="W148" s="291">
        <f>W146+W147</f>
        <v>49979.392</v>
      </c>
    </row>
    <row r="149" spans="1:23" s="269" customFormat="1" ht="16" customHeight="1" x14ac:dyDescent="0.2">
      <c r="S149" s="292"/>
      <c r="T149" s="292"/>
      <c r="U149" s="292"/>
      <c r="V149" s="292"/>
      <c r="W149" s="292"/>
    </row>
    <row r="150" spans="1:23" s="269" customFormat="1" x14ac:dyDescent="0.2">
      <c r="A150" s="271" t="s">
        <v>153</v>
      </c>
      <c r="B150" s="271"/>
      <c r="C150" s="266" t="s">
        <v>131</v>
      </c>
      <c r="D150" s="266" t="s">
        <v>132</v>
      </c>
      <c r="E150" s="266" t="s">
        <v>133</v>
      </c>
      <c r="F150" s="266" t="s">
        <v>134</v>
      </c>
      <c r="G150" s="266" t="s">
        <v>135</v>
      </c>
      <c r="H150" s="266" t="s">
        <v>136</v>
      </c>
      <c r="I150" s="266" t="s">
        <v>137</v>
      </c>
      <c r="J150" s="266" t="s">
        <v>138</v>
      </c>
      <c r="K150" s="266" t="s">
        <v>139</v>
      </c>
      <c r="L150" s="266" t="s">
        <v>140</v>
      </c>
      <c r="M150" s="266" t="s">
        <v>141</v>
      </c>
      <c r="N150" s="266" t="s">
        <v>142</v>
      </c>
      <c r="O150" s="266" t="s">
        <v>143</v>
      </c>
      <c r="Q150" s="271" t="str">
        <f t="shared" ref="Q150:Q165" si="93">A150</f>
        <v>Univera Toplam Satış</v>
      </c>
      <c r="R150" s="271"/>
      <c r="S150" s="266" t="s">
        <v>154</v>
      </c>
      <c r="T150" s="266" t="s">
        <v>155</v>
      </c>
      <c r="U150" s="266" t="s">
        <v>156</v>
      </c>
      <c r="V150" s="266" t="s">
        <v>157</v>
      </c>
      <c r="W150" s="266" t="s">
        <v>143</v>
      </c>
    </row>
    <row r="151" spans="1:23" s="269" customFormat="1" ht="16" hidden="1" customHeight="1" outlineLevel="1" x14ac:dyDescent="0.2">
      <c r="A151" s="293" t="s">
        <v>25</v>
      </c>
      <c r="B151" s="294" t="s">
        <v>26</v>
      </c>
      <c r="C151" s="295">
        <f>SUMIFS(C5:C15,A5:A15,"Enroute",B5:B15,"Yeni Satış")+SUMIFS(C21:C32,A21:A32,"Enroute",B21:B32,"Yeni Satış")+SUMIFS(C38:C51,A38:A51,"Enroute",B38:B51,"Yeni Satış")+SUMIFS(C57:C67,A57:A67,"Enroute",B57:B67,"Yeni Satış")+SUMIFS(C73:C84,A73:A84,"Enroute",B73:B84,"Yeni Satış")+SUMIFS(C90:C101,A90:A101,"Enroute",B90:B101,"Yeni Satış")+SUMIFS(C114:C123,A114:A123,"Enroute",B114:B123,"Yeni Satış")+SUMIFS(C129:C138,A129:A138,"Enroute",B129:B138,"Yeni Satış")+SUMIFS(C144:C145,A144:A145,"Enroute",B144:B145,"Yeni Satış")</f>
        <v>7486.9500000000007</v>
      </c>
      <c r="D151" s="295">
        <f>SUMIFS(D5:D15,A5:A15,"Enroute",B5:B15,"Yeni Satış")+SUMIFS(D21:D32,A21:A32,"Enroute",B21:B32,"Yeni Satış")+SUMIFS(D38:D51,A38:A51,"Enroute",B38:B51,"Yeni Satış")+SUMIFS(D57:D67,A57:A67,"Enroute",B57:B67,"Yeni Satış")+SUMIFS(D73:D84,A73:A84,"Enroute",B73:B84,"Yeni Satış")+SUMIFS(D90:D101,A90:A101,"Enroute",B90:B101,"Yeni Satış")+SUMIFS(D114:D123,A114:A123,"Enroute",B114:B123,"Yeni Satış")+SUMIFS(D129:D138,A129:A138,"Enroute",B129:B138,"Yeni Satış")+SUMIFS(D144:D145,A144:A145,"Enroute",B144:B145,"Yeni Satış")</f>
        <v>7486.9500000000007</v>
      </c>
      <c r="E151" s="295">
        <f>SUMIFS(E5:E15,A5:A15,"Enroute",B5:B15,"Yeni Satış")+SUMIFS(E21:E32,A21:A32,"Enroute",B21:B32,"Yeni Satış")+SUMIFS(E38:E51,A38:A51,"Enroute",B38:B51,"Yeni Satış")+SUMIFS(E57:E67,A57:A67,"Enroute",B57:B67,"Yeni Satış")+SUMIFS(E73:E84,A73:A84,"Enroute",B73:B84,"Yeni Satış")+SUMIFS(E90:E101,A90:A101,"Enroute",B90:B101,"Yeni Satış")+SUMIFS(E114:E123,A114:A123,"Enroute",B114:B123,"Yeni Satış")+SUMIFS(E129:E138,A129:A138,"Enroute",B129:B138,"Yeni Satış")+SUMIFS(E144:E145,A144:A145,"Enroute",B144:B145,"Yeni Satış")</f>
        <v>8537.75</v>
      </c>
      <c r="F151" s="295">
        <f>SUMIFS(F5:F15,A5:A15,"Enroute",B5:B15,"Yeni Satış")+SUMIFS(F21:F32,A21:A32,"Enroute",B21:B32,"Yeni Satış")+SUMIFS(F38:F51,A38:A51,"Enroute",B38:B51,"Yeni Satış")+SUMIFS(F57:F67,A57:A67,"Enroute",B57:B67,"Yeni Satış")+SUMIFS(F73:F84,A73:A84,"Enroute",B73:B84,"Yeni Satış")+SUMIFS(F90:F101,A90:A101,"Enroute",B90:B101,"Yeni Satış")+SUMIFS(F114:F123,A114:A123,"Enroute",B114:B123,"Yeni Satış")+SUMIFS(F129:F138,A129:A138,"Enroute",B129:B138,"Yeni Satış")+SUMIFS(F144:F145,A144:A145,"Enroute",B144:B145,"Yeni Satış")</f>
        <v>8340.7250000000004</v>
      </c>
      <c r="G151" s="295">
        <f>SUMIFS(G5:G15,A5:A15,"Enroute",B5:B15,"Yeni Satış")+SUMIFS(G21:G32,A21:A32,"Enroute",B21:B32,"Yeni Satış")+SUMIFS(G38:G51,A38:A51,"Enroute",B38:B51,"Yeni Satış")+SUMIFS(G57:G67,A57:A67,"Enroute",B57:B67,"Yeni Satış")+SUMIFS(G73:G84,A73:A84,"Enroute",B73:B84,"Yeni Satış")+SUMIFS(G90:G101,A90:A101,"Enroute",B90:B101,"Yeni Satış")+SUMIFS(G114:G123,A114:A123,"Enroute",B114:B123,"Yeni Satış")+SUMIFS(G129:G138,A129:A138,"Enroute",B129:B138,"Yeni Satış")+SUMIFS(G144:G145,A144:A145,"Enroute",B144:B145,"Yeni Satış")</f>
        <v>8340.7250000000004</v>
      </c>
      <c r="H151" s="295">
        <f>SUMIFS(H5:H15,A5:A15,"Enroute",B5:B15,"Yeni Satış")+SUMIFS(H21:H32,A21:A32,"Enroute",B21:B32,"Yeni Satış")+SUMIFS(H38:H51,A38:A51,"Enroute",B38:B51,"Yeni Satış")+SUMIFS(H57:H67,A57:A67,"Enroute",B57:B67,"Yeni Satış")+SUMIFS(H73:H84,A73:A84,"Enroute",B73:B84,"Yeni Satış")+SUMIFS(H90:H101,A90:A101,"Enroute",B90:B101,"Yeni Satış")+SUMIFS(H114:H123,A114:A123,"Enroute",B114:B123,"Yeni Satış")+SUMIFS(H129:H138,A129:A138,"Enroute",B129:B138,"Yeni Satış")+SUMIFS(H144:H145,A144:A145,"Enroute",B144:B145,"Yeni Satış")</f>
        <v>9457.1999999999971</v>
      </c>
      <c r="I151" s="295">
        <f>SUMIFS(I5:I15,A5:A15,"Enroute",B5:B15,"Yeni Satış")+SUMIFS(I21:I32,A21:A32,"Enroute",B21:B32,"Yeni Satış")+SUMIFS(I38:I51,A38:A51,"Enroute",B38:B51,"Yeni Satış")+SUMIFS(I57:I67,A57:A67,"Enroute",B57:B67,"Yeni Satış")+SUMIFS(I73:I84,A73:A84,"Enroute",B73:B84,"Yeni Satış")+SUMIFS(I90:I101,A90:A101,"Enroute",B90:B101,"Yeni Satış")+SUMIFS(I114:I123,A114:A123,"Enroute",B114:B123,"Yeni Satış")+SUMIFS(I129:I138,A129:A138,"Enroute",B129:B138,"Yeni Satış")+SUMIFS(I144:I145,A144:A145,"Enroute",B144:B145,"Yeni Satış")</f>
        <v>7881</v>
      </c>
      <c r="J151" s="295">
        <f>SUMIFS(J5:J15,A5:A15,"Enroute",B5:B15,"Yeni Satış")+SUMIFS(J21:J32,A21:A32,"Enroute",B21:B32,"Yeni Satış")+SUMIFS(J38:J51,A38:A51,"Enroute",B38:B51,"Yeni Satış")+SUMIFS(J57:J67,A57:A67,"Enroute",B57:B67,"Yeni Satış")+SUMIFS(J73:J84,A73:A84,"Enroute",B73:B84,"Yeni Satış")+SUMIFS(J90:J101,A90:A101,"Enroute",B90:B101,"Yeni Satış")+SUMIFS(J114:J123,A114:A123,"Enroute",B114:B123,"Yeni Satış")+SUMIFS(J129:J138,A129:A138,"Enroute",B129:B138,"Yeni Satış")+SUMIFS(J144:J145,A144:A145,"Enroute",B144:B145,"Yeni Satış")</f>
        <v>7946.6750000000002</v>
      </c>
      <c r="K151" s="295">
        <f>SUMIFS(K5:K15,A5:A15,"Enroute",B5:B15,"Yeni Satış")+SUMIFS(K21:K32,A21:A32,"Enroute",B21:B32,"Yeni Satış")+SUMIFS(K38:K51,A38:A51,"Enroute",B38:B51,"Yeni Satış")+SUMIFS(K57:K67,A57:A67,"Enroute",B57:B67,"Yeni Satış")+SUMIFS(K73:K84,A73:A84,"Enroute",B73:B84,"Yeni Satış")+SUMIFS(K90:K101,A90:A101,"Enroute",B90:B101,"Yeni Satış")+SUMIFS(K114:K123,A114:A123,"Enroute",B114:B123,"Yeni Satış")+SUMIFS(K129:K138,A129:A138,"Enroute",B129:B138,"Yeni Satış")+SUMIFS(K144:K145,A144:A145,"Enroute",B144:B145,"Yeni Satış")</f>
        <v>8406.4</v>
      </c>
      <c r="L151" s="295">
        <f>SUMIFS(L5:L15,A5:A15,"Enroute",B5:B15,"Yeni Satış")+SUMIFS(L21:L32,A21:A32,"Enroute",B21:B32,"Yeni Satış")+SUMIFS(L38:L51,A38:A51,"Enroute",B38:B51,"Yeni Satış")+SUMIFS(L57:L67,A57:A67,"Enroute",B57:B67,"Yeni Satış")+SUMIFS(L73:L84,A73:A84,"Enroute",B73:B84,"Yeni Satış")+SUMIFS(L90:L101,A90:A101,"Enroute",B90:B101,"Yeni Satış")+SUMIFS(L114:L123,A114:A123,"Enroute",B114:B123,"Yeni Satış")+SUMIFS(L129:L138,A129:A138,"Enroute",B129:B138,"Yeni Satış")+SUMIFS(L144:L145,A144:A145,"Enroute",B144:B145,"Yeni Satış")</f>
        <v>9851.2499999999982</v>
      </c>
      <c r="M151" s="295">
        <f>SUMIFS(M5:M15,A5:A15,"Enroute",B5:B15,"Yeni Satış")+SUMIFS(M21:M32,A21:A32,"Enroute",B21:B32,"Yeni Satış")+SUMIFS(M38:M51,A38:A51,"Enroute",B38:B51,"Yeni Satış")+SUMIFS(M57:M67,A57:A67,"Enroute",B57:B67,"Yeni Satış")+SUMIFS(M73:M84,A73:A84,"Enroute",B73:B84,"Yeni Satış")+SUMIFS(M90:M101,A90:A101,"Enroute",B90:B101,"Yeni Satış")+SUMIFS(M114:M123,A114:A123,"Enroute",B114:B123,"Yeni Satış")+SUMIFS(M129:M138,A129:A138,"Enroute",B129:B138,"Yeni Satış")+SUMIFS(M144:M145,A144:A145,"Enroute",B144:B145,"Yeni Satış")</f>
        <v>9982.5999999999985</v>
      </c>
      <c r="N151" s="295">
        <f>SUMIFS(N5:N15,A5:A15,"Enroute",B5:B15,"Yeni Satış")+SUMIFS(N21:N32,A21:A32,"Enroute",B21:B32,"Yeni Satış")+SUMIFS(N38:N51,A38:A51,"Enroute",B38:B51,"Yeni Satış")+SUMIFS(N57:N67,A57:A67,"Enroute",B57:B67,"Yeni Satış")+SUMIFS(N73:N84,A73:A84,"Enroute",B73:B84,"Yeni Satış")+SUMIFS(N90:N101,A90:A101,"Enroute",B90:B101,"Yeni Satış")+SUMIFS(N114:N123,A114:A123,"Enroute",B114:B123,"Yeni Satış")+SUMIFS(N129:N138,A129:A138,"Enroute",B129:B138,"Yeni Satış")+SUMIFS(N144:N145,A144:A145,"Enroute",B144:B145,"Yeni Satış")</f>
        <v>11361.775</v>
      </c>
      <c r="O151" s="299">
        <f t="shared" ref="O151:O165" si="94">SUM(C151:N151)</f>
        <v>105080</v>
      </c>
      <c r="Q151" s="277" t="str">
        <f t="shared" si="93"/>
        <v>Enroute</v>
      </c>
      <c r="R151" s="278" t="str">
        <f t="shared" ref="R151:R168" si="95">B151</f>
        <v>Yeni Satış</v>
      </c>
      <c r="S151" s="279">
        <f t="shared" ref="S151:S165" si="96">SUM(C151:E151)</f>
        <v>23511.65</v>
      </c>
      <c r="T151" s="279">
        <f t="shared" ref="T151:T165" si="97">SUM(F151:H151)</f>
        <v>26138.649999999998</v>
      </c>
      <c r="U151" s="279">
        <f t="shared" ref="U151:U165" si="98">SUM(I151:K151)</f>
        <v>24234.074999999997</v>
      </c>
      <c r="V151" s="279">
        <f t="shared" ref="V151:V165" si="99">SUM(L151:N151)</f>
        <v>31195.625</v>
      </c>
      <c r="W151" s="279">
        <f t="shared" ref="W151:W167" si="100">SUM(S151:V151)</f>
        <v>105080</v>
      </c>
    </row>
    <row r="152" spans="1:23" s="269" customFormat="1" ht="16" hidden="1" customHeight="1" outlineLevel="1" x14ac:dyDescent="0.2">
      <c r="A152" s="293" t="s">
        <v>25</v>
      </c>
      <c r="B152" s="294" t="s">
        <v>28</v>
      </c>
      <c r="C152" s="295">
        <f>SUMIFS(C5:C15,A5:A15,"Enroute",B5:B15,"Yenileme")+SUMIFS(C21:C32,A21:A32,"Enroute",B21:B32,"Yenileme")+SUMIFS(C38:C51,A38:A51,"Enroute",B38:B51,"Yenileme")+SUMIFS(C57:C67,A57:A67,"Enroute",B57:B67,"Yenileme")+SUMIFS(C73:C84,A73:A84,"Enroute",B73:B84,"Yenileme")+SUMIFS(C90:C101,A90:A101,"Enroute",B90:B101,"Yenileme")+SUMIFS(C114:C123,A114:A123,"Enroute",B114:B123,"Yenileme")+SUMIFS(C129:C138,A129:A138,"Enroute",B129:B138,"Yenileme")+SUMIFS(C144:C145,A144:A145,"Enroute",B144:B145,"Yenileme")</f>
        <v>12673.397869500002</v>
      </c>
      <c r="D152" s="295">
        <f>SUMIFS(D5:D15,A5:A15,"Enroute",B5:B15,"Yenileme")+SUMIFS(D21:D32,A21:A32,"Enroute",B21:B32,"Yenileme")+SUMIFS(D38:D51,A38:A51,"Enroute",B38:B51,"Yenileme")+SUMIFS(D57:D67,A57:A67,"Enroute",B57:B67,"Yenileme")+SUMIFS(D73:D84,A73:A84,"Enroute",B73:B84,"Yenileme")+SUMIFS(D90:D101,A90:A101,"Enroute",B90:B101,"Yenileme")+SUMIFS(D114:D123,A114:A123,"Enroute",B114:B123,"Yenileme")+SUMIFS(D129:D138,A129:A138,"Enroute",B129:B138,"Yenileme")+SUMIFS(D144:D145,A144:A145,"Enroute",B144:B145,"Yenileme")</f>
        <v>12673.397869500002</v>
      </c>
      <c r="E152" s="295">
        <f>SUMIFS(E5:E15,A5:A15,"Enroute",B5:B15,"Yenileme")+SUMIFS(E21:E32,A21:A32,"Enroute",B21:B32,"Yenileme")+SUMIFS(E38:E51,A38:A51,"Enroute",B38:B51,"Yenileme")+SUMIFS(E57:E67,A57:A67,"Enroute",B57:B67,"Yenileme")+SUMIFS(E73:E84,A73:A84,"Enroute",B73:B84,"Yenileme")+SUMIFS(E90:E101,A90:A101,"Enroute",B90:B101,"Yenileme")+SUMIFS(E114:E123,A114:A123,"Enroute",B114:B123,"Yenileme")+SUMIFS(E129:E138,A129:A138,"Enroute",B129:B138,"Yenileme")+SUMIFS(E144:E145,A144:A145,"Enroute",B144:B145,"Yenileme")</f>
        <v>14452.120377500001</v>
      </c>
      <c r="F152" s="295">
        <f>SUMIFS(F5:F15,A5:A15,"Enroute",B5:B15,"Yenileme")+SUMIFS(F21:F32,A21:A32,"Enroute",B21:B32,"Yenileme")+SUMIFS(F38:F51,A38:A51,"Enroute",B38:B51,"Yenileme")+SUMIFS(F57:F67,A57:A67,"Enroute",B57:B67,"Yenileme")+SUMIFS(F73:F84,A73:A84,"Enroute",B73:B84,"Yenileme")+SUMIFS(F90:F101,A90:A101,"Enroute",B90:B101,"Yenileme")+SUMIFS(F114:F123,A114:A123,"Enroute",B114:B123,"Yenileme")+SUMIFS(F129:F138,A129:A138,"Enroute",B129:B138,"Yenileme")+SUMIFS(F144:F145,A144:A145,"Enroute",B144:B145,"Yenileme")</f>
        <v>14118.60990725</v>
      </c>
      <c r="G152" s="295">
        <f>SUMIFS(G5:G15,A5:A15,"Enroute",B5:B15,"Yenileme")+SUMIFS(G21:G32,A21:A32,"Enroute",B21:B32,"Yenileme")+SUMIFS(G38:G51,A38:A51,"Enroute",B38:B51,"Yenileme")+SUMIFS(G57:G67,A57:A67,"Enroute",B57:B67,"Yenileme")+SUMIFS(G73:G84,A73:A84,"Enroute",B73:B84,"Yenileme")+SUMIFS(G90:G101,A90:A101,"Enroute",B90:B101,"Yenileme")+SUMIFS(G114:G123,A114:A123,"Enroute",B114:B123,"Yenileme")+SUMIFS(G129:G138,A129:A138,"Enroute",B129:B138,"Yenileme")+SUMIFS(G144:G145,A144:A145,"Enroute",B144:B145,"Yenileme")</f>
        <v>14118.60990725</v>
      </c>
      <c r="H152" s="295">
        <f>SUMIFS(H5:H15,A5:A15,"Enroute",B5:B15,"Yenileme")+SUMIFS(H21:H32,A21:A32,"Enroute",B21:B32,"Yenileme")+SUMIFS(H38:H51,A38:A51,"Enroute",B38:B51,"Yenileme")+SUMIFS(H57:H67,A57:A67,"Enroute",B57:B67,"Yenileme")+SUMIFS(H73:H84,A73:A84,"Enroute",B73:B84,"Yenileme")+SUMIFS(H90:H101,A90:A101,"Enroute",B90:B101,"Yenileme")+SUMIFS(H114:H123,A114:A123,"Enroute",B114:B123,"Yenileme")+SUMIFS(H129:H138,A129:A138,"Enroute",B129:B138,"Yenileme")+SUMIFS(H144:H145,A144:A145,"Enroute",B144:B145,"Yenileme")</f>
        <v>16008.502571999999</v>
      </c>
      <c r="I152" s="295">
        <f>SUMIFS(I5:I15,A5:A15,"Enroute",B5:B15,"Yenileme")+SUMIFS(I21:I32,A21:A32,"Enroute",B21:B32,"Yenileme")+SUMIFS(I38:I51,A38:A51,"Enroute",B38:B51,"Yenileme")+SUMIFS(I57:I67,A57:A67,"Enroute",B57:B67,"Yenileme")+SUMIFS(I73:I84,A73:A84,"Enroute",B73:B84,"Yenileme")+SUMIFS(I90:I101,A90:A101,"Enroute",B90:B101,"Yenileme")+SUMIFS(I114:I123,A114:A123,"Enroute",B114:B123,"Yenileme")+SUMIFS(I129:I138,A129:A138,"Enroute",B129:B138,"Yenileme")+SUMIFS(I144:I145,A144:A145,"Enroute",B144:B145,"Yenileme")</f>
        <v>13340.418810000001</v>
      </c>
      <c r="J152" s="295">
        <f>SUMIFS(J5:J15,A5:A15,"Enroute",B5:B15,"Yenileme")+SUMIFS(J21:J32,A21:A32,"Enroute",B21:B32,"Yenileme")+SUMIFS(J38:J51,A38:A51,"Enroute",B38:B51,"Yenileme")+SUMIFS(J57:J67,A57:A67,"Enroute",B57:B67,"Yenileme")+SUMIFS(J73:J84,A73:A84,"Enroute",B73:B84,"Yenileme")+SUMIFS(J90:J101,A90:A101,"Enroute",B90:B101,"Yenileme")+SUMIFS(J114:J123,A114:A123,"Enroute",B114:B123,"Yenileme")+SUMIFS(J129:J138,A129:A138,"Enroute",B129:B138,"Yenileme")+SUMIFS(J144:J145,A144:A145,"Enroute",B144:B145,"Yenileme")</f>
        <v>13451.58896675</v>
      </c>
      <c r="K152" s="295">
        <f>SUMIFS(K5:K15,A5:A15,"Enroute",B5:B15,"Yenileme")+SUMIFS(K21:K32,A21:A32,"Enroute",B21:B32,"Yenileme")+SUMIFS(K38:K51,A38:A51,"Enroute",B38:B51,"Yenileme")+SUMIFS(K57:K67,A57:A67,"Enroute",B57:B67,"Yenileme")+SUMIFS(K73:K84,A73:A84,"Enroute",B73:B84,"Yenileme")+SUMIFS(K90:K101,A90:A101,"Enroute",B90:B101,"Yenileme")+SUMIFS(K114:K123,A114:A123,"Enroute",B114:B123,"Yenileme")+SUMIFS(K129:K138,A129:A138,"Enroute",B129:B138,"Yenileme")+SUMIFS(K144:K145,A144:A145,"Enroute",B144:B145,"Yenileme")</f>
        <v>14229.780063999999</v>
      </c>
      <c r="L152" s="295">
        <f>SUMIFS(L5:L15,A5:A15,"Enroute",B5:B15,"Yenileme")+SUMIFS(L21:L32,A21:A32,"Enroute",B21:B32,"Yenileme")+SUMIFS(L38:L51,A38:A51,"Enroute",B38:B51,"Yenileme")+SUMIFS(L57:L67,A57:A67,"Enroute",B57:B67,"Yenileme")+SUMIFS(L73:L84,A73:A84,"Enroute",B73:B84,"Yenileme")+SUMIFS(L90:L101,A90:A101,"Enroute",B90:B101,"Yenileme")+SUMIFS(L114:L123,A114:A123,"Enroute",B114:B123,"Yenileme")+SUMIFS(L129:L138,A129:A138,"Enroute",B129:B138,"Yenileme")+SUMIFS(L144:L145,A144:A145,"Enroute",B144:B145,"Yenileme")</f>
        <v>16675.5235125</v>
      </c>
      <c r="M152" s="295">
        <f>SUMIFS(M5:M15,A5:A15,"Enroute",B5:B15,"Yenileme")+SUMIFS(M21:M32,A21:A32,"Enroute",B21:B32,"Yenileme")+SUMIFS(M38:M51,A38:A51,"Enroute",B38:B51,"Yenileme")+SUMIFS(M57:M67,A57:A67,"Enroute",B57:B67,"Yenileme")+SUMIFS(M73:M84,A73:A84,"Enroute",B73:B84,"Yenileme")+SUMIFS(M90:M101,A90:A101,"Enroute",B90:B101,"Yenileme")+SUMIFS(M114:M123,A114:A123,"Enroute",B114:B123,"Yenileme")+SUMIFS(M129:M138,A129:A138,"Enroute",B129:B138,"Yenileme")+SUMIFS(M144:M145,A144:A145,"Enroute",B144:B145,"Yenileme")</f>
        <v>16897.863826000001</v>
      </c>
      <c r="N152" s="295">
        <f>SUMIFS(N5:N15,A5:A15,"Enroute",B5:B15,"Yenileme")+SUMIFS(N21:N32,A21:A32,"Enroute",B21:B32,"Yenileme")+SUMIFS(N38:N51,A38:A51,"Enroute",B38:B51,"Yenileme")+SUMIFS(N57:N67,A57:A67,"Enroute",B57:B67,"Yenileme")+SUMIFS(N73:N84,A73:A84,"Enroute",B73:B84,"Yenileme")+SUMIFS(N90:N101,A90:A101,"Enroute",B90:B101,"Yenileme")+SUMIFS(N114:N123,A114:A123,"Enroute",B114:B123,"Yenileme")+SUMIFS(N129:N138,A129:A138,"Enroute",B129:B138,"Yenileme")+SUMIFS(N144:N145,A144:A145,"Enroute",B144:B145,"Yenileme")</f>
        <v>19232.43711775</v>
      </c>
      <c r="O152" s="299">
        <f t="shared" si="94"/>
        <v>177872.25079999998</v>
      </c>
      <c r="Q152" s="277" t="str">
        <f t="shared" si="93"/>
        <v>Enroute</v>
      </c>
      <c r="R152" s="278" t="str">
        <f t="shared" si="95"/>
        <v>Yenileme</v>
      </c>
      <c r="S152" s="279">
        <f t="shared" si="96"/>
        <v>39798.916116500004</v>
      </c>
      <c r="T152" s="279">
        <f t="shared" si="97"/>
        <v>44245.722386499998</v>
      </c>
      <c r="U152" s="279">
        <f t="shared" si="98"/>
        <v>41021.787840749996</v>
      </c>
      <c r="V152" s="279">
        <f t="shared" si="99"/>
        <v>52805.824456250004</v>
      </c>
      <c r="W152" s="279">
        <f t="shared" si="100"/>
        <v>177872.25079999998</v>
      </c>
    </row>
    <row r="153" spans="1:23" s="269" customFormat="1" ht="16" hidden="1" customHeight="1" outlineLevel="1" x14ac:dyDescent="0.2">
      <c r="A153" s="293" t="s">
        <v>29</v>
      </c>
      <c r="B153" s="294" t="s">
        <v>26</v>
      </c>
      <c r="C153" s="295">
        <f>SUMIFS(C5:C15,A5:A15,"Stokbar",B5:B15,"Yeni Satış")+SUMIFS(C21:C32,A21:A32,"Stokbar",B21:B32,"Yeni Satış")+SUMIFS(C38:C51,A38:A51,"Stokbar",B38:B51,"Yeni Satış")+SUMIFS(C57:C67,A57:A67,"Stokbar",B57:B67,"Yeni Satış")+SUMIFS(C73:C84,A73:A84,"Stokbar",B73:B84,"Yeni Satış")+SUMIFS(C90:C101,A90:A101,"Stokbar",B90:B101,"Yeni Satış")+SUMIFS(C114:C123,A114:A123,"Stokbar",B114:B123,"Yeni Satış")+SUMIFS(C129:C138,A129:A138,"Stokbar",B129:B138,"Yeni Satış")+SUMIFS(C144:C145,A144:A145,"Stokbar",B144:B145,"Yeni Satış")</f>
        <v>2939.6383140000003</v>
      </c>
      <c r="D153" s="295">
        <f>SUMIFS(D5:D15,A5:A15,"Stokbar",B5:B15,"Yeni Satış")+SUMIFS(D21:D32,A21:A32,"Stokbar",B21:B32,"Yeni Satış")+SUMIFS(D38:D51,A38:A51,"Stokbar",B38:B51,"Yeni Satış")+SUMIFS(D57:D67,A57:A67,"Stokbar",B57:B67,"Yeni Satış")+SUMIFS(D73:D84,A73:A84,"Stokbar",B73:B84,"Yeni Satış")+SUMIFS(D90:D101,A90:A101,"Stokbar",B90:B101,"Yeni Satış")+SUMIFS(D114:D123,A114:A123,"Stokbar",B114:B123,"Yeni Satış")+SUMIFS(D129:D138,A129:A138,"Stokbar",B129:B138,"Yeni Satış")+SUMIFS(D144:D145,A144:A145,"Stokbar",B144:B145,"Yeni Satış")</f>
        <v>2939.6383140000003</v>
      </c>
      <c r="E153" s="295">
        <f>SUMIFS(E5:E15,A5:A15,"Stokbar",B5:B15,"Yeni Satış")+SUMIFS(E21:E32,A21:A32,"Stokbar",B21:B32,"Yeni Satış")+SUMIFS(E38:E51,A38:A51,"Stokbar",B38:B51,"Yeni Satış")+SUMIFS(E57:E67,A57:A67,"Stokbar",B57:B67,"Yeni Satış")+SUMIFS(E73:E84,A73:A84,"Stokbar",B73:B84,"Yeni Satış")+SUMIFS(E90:E101,A90:A101,"Stokbar",B90:B101,"Yeni Satış")+SUMIFS(E114:E123,A114:A123,"Stokbar",B114:B123,"Yeni Satış")+SUMIFS(E129:E138,A129:A138,"Stokbar",B129:B138,"Yeni Satış")+SUMIFS(E144:E145,A144:A145,"Stokbar",B144:B145,"Yeni Satış")</f>
        <v>3352.21913</v>
      </c>
      <c r="F153" s="295">
        <f>SUMIFS(F5:F15,A5:A15,"Stokbar",B5:B15,"Yeni Satış")+SUMIFS(F21:F32,A21:A32,"Stokbar",B21:B32,"Yeni Satış")+SUMIFS(F38:F51,A38:A51,"Stokbar",B38:B51,"Yeni Satış")+SUMIFS(F57:F67,A57:A67,"Stokbar",B57:B67,"Yeni Satış")+SUMIFS(F73:F84,A73:A84,"Stokbar",B73:B84,"Yeni Satış")+SUMIFS(F90:F101,A90:A101,"Stokbar",B90:B101,"Yeni Satış")+SUMIFS(F114:F123,A114:A123,"Stokbar",B114:B123,"Yeni Satış")+SUMIFS(F129:F138,A129:A138,"Stokbar",B129:B138,"Yeni Satış")+SUMIFS(F144:F145,A144:A145,"Stokbar",B144:B145,"Yeni Satış")</f>
        <v>3274.8602270000001</v>
      </c>
      <c r="G153" s="295">
        <f>SUMIFS(G5:G15,A5:A15,"Stokbar",B5:B15,"Yeni Satış")+SUMIFS(G21:G32,A21:A32,"Stokbar",B21:B32,"Yeni Satış")+SUMIFS(G38:G51,A38:A51,"Stokbar",B38:B51,"Yeni Satış")+SUMIFS(G57:G67,A57:A67,"Stokbar",B57:B67,"Yeni Satış")+SUMIFS(G73:G84,A73:A84,"Stokbar",B73:B84,"Yeni Satış")+SUMIFS(G90:G101,A90:A101,"Stokbar",B90:B101,"Yeni Satış")+SUMIFS(G114:G123,A114:A123,"Stokbar",B114:B123,"Yeni Satış")+SUMIFS(G129:G138,A129:A138,"Stokbar",B129:B138,"Yeni Satış")+SUMIFS(G144:G145,A144:A145,"Stokbar",B144:B145,"Yeni Satış")</f>
        <v>3274.8602270000001</v>
      </c>
      <c r="H153" s="295">
        <f>SUMIFS(H5:H15,A5:A15,"Stokbar",B5:B15,"Yeni Satış")+SUMIFS(H21:H32,A21:A32,"Stokbar",B21:B32,"Yeni Satış")+SUMIFS(H38:H51,A38:A51,"Stokbar",B38:B51,"Yeni Satış")+SUMIFS(H57:H67,A57:A67,"Stokbar",B57:B67,"Yeni Satış")+SUMIFS(H73:H84,A73:A84,"Stokbar",B73:B84,"Yeni Satış")+SUMIFS(H90:H101,A90:A101,"Stokbar",B90:B101,"Yeni Satış")+SUMIFS(H114:H123,A114:A123,"Stokbar",B114:B123,"Yeni Satış")+SUMIFS(H129:H138,A129:A138,"Stokbar",B129:B138,"Yeni Satış")+SUMIFS(H144:H145,A144:A145,"Stokbar",B144:B145,"Yeni Satış")</f>
        <v>3713.2273439999994</v>
      </c>
      <c r="I153" s="295">
        <f>SUMIFS(I5:I15,A5:A15,"Stokbar",B5:B15,"Yeni Satış")+SUMIFS(I21:I32,A21:A32,"Stokbar",B21:B32,"Yeni Satış")+SUMIFS(I38:I51,A38:A51,"Stokbar",B38:B51,"Yeni Satış")+SUMIFS(I57:I67,A57:A67,"Stokbar",B57:B67,"Yeni Satış")+SUMIFS(I73:I84,A73:A84,"Stokbar",B73:B84,"Yeni Satış")+SUMIFS(I90:I101,A90:A101,"Stokbar",B90:B101,"Yeni Satış")+SUMIFS(I114:I123,A114:A123,"Stokbar",B114:B123,"Yeni Satış")+SUMIFS(I129:I138,A129:A138,"Stokbar",B129:B138,"Yeni Satış")+SUMIFS(I144:I145,A144:A145,"Stokbar",B144:B145,"Yeni Satış")</f>
        <v>3094.3561199999999</v>
      </c>
      <c r="J153" s="295">
        <f>SUMIFS(J5:J15,A5:A15,"Stokbar",B5:B15,"Yeni Satış")+SUMIFS(J21:J32,A21:A32,"Stokbar",B21:B32,"Yeni Satış")+SUMIFS(J38:J51,A38:A51,"Stokbar",B38:B51,"Yeni Satış")+SUMIFS(J57:J67,A57:A67,"Stokbar",B57:B67,"Yeni Satış")+SUMIFS(J73:J84,A73:A84,"Stokbar",B73:B84,"Yeni Satış")+SUMIFS(J90:J101,A90:A101,"Stokbar",B90:B101,"Yeni Satış")+SUMIFS(J114:J123,A114:A123,"Stokbar",B114:B123,"Yeni Satış")+SUMIFS(J129:J138,A129:A138,"Stokbar",B129:B138,"Yeni Satış")+SUMIFS(J144:J145,A144:A145,"Stokbar",B144:B145,"Yeni Satış")</f>
        <v>3120.142421</v>
      </c>
      <c r="K153" s="295">
        <f>SUMIFS(K5:K15,A5:A15,"Stokbar",B5:B15,"Yeni Satış")+SUMIFS(K21:K32,A21:A32,"Stokbar",B21:B32,"Yeni Satış")+SUMIFS(K38:K51,A38:A51,"Stokbar",B38:B51,"Yeni Satış")+SUMIFS(K57:K67,A57:A67,"Stokbar",B57:B67,"Yeni Satış")+SUMIFS(K73:K84,A73:A84,"Stokbar",B73:B84,"Yeni Satış")+SUMIFS(K90:K101,A90:A101,"Stokbar",B90:B101,"Yeni Satış")+SUMIFS(K114:K123,A114:A123,"Stokbar",B114:B123,"Yeni Satış")+SUMIFS(K129:K138,A129:A138,"Stokbar",B129:B138,"Yeni Satış")+SUMIFS(K144:K145,A144:A145,"Stokbar",B144:B145,"Yeni Satış")</f>
        <v>3300.6465279999998</v>
      </c>
      <c r="L153" s="295">
        <f>SUMIFS(L5:L15,A5:A15,"Stokbar",B5:B15,"Yeni Satış")+SUMIFS(L21:L32,A21:A32,"Stokbar",B21:B32,"Yeni Satış")+SUMIFS(L38:L51,A38:A51,"Stokbar",B38:B51,"Yeni Satış")+SUMIFS(L57:L67,A57:A67,"Stokbar",B57:B67,"Yeni Satış")+SUMIFS(L73:L84,A73:A84,"Stokbar",B73:B84,"Yeni Satış")+SUMIFS(L90:L101,A90:A101,"Stokbar",B90:B101,"Yeni Satış")+SUMIFS(L114:L123,A114:A123,"Stokbar",B114:B123,"Yeni Satış")+SUMIFS(L129:L138,A129:A138,"Stokbar",B129:B138,"Yeni Satış")+SUMIFS(L144:L145,A144:A145,"Stokbar",B144:B145,"Yeni Satış")</f>
        <v>3867.9451499999996</v>
      </c>
      <c r="M153" s="295">
        <f>SUMIFS(M5:M15,A5:A15,"Stokbar",B5:B15,"Yeni Satış")+SUMIFS(M21:M32,A21:A32,"Stokbar",B21:B32,"Yeni Satış")+SUMIFS(M38:M51,A38:A51,"Stokbar",B38:B51,"Yeni Satış")+SUMIFS(M57:M67,A57:A67,"Stokbar",B57:B67,"Yeni Satış")+SUMIFS(M73:M84,A73:A84,"Stokbar",B73:B84,"Yeni Satış")+SUMIFS(M90:M101,A90:A101,"Stokbar",B90:B101,"Yeni Satış")+SUMIFS(M114:M123,A114:A123,"Stokbar",B114:B123,"Yeni Satış")+SUMIFS(M129:M138,A129:A138,"Stokbar",B129:B138,"Yeni Satış")+SUMIFS(M144:M145,A144:A145,"Stokbar",B144:B145,"Yeni Satış")</f>
        <v>3919.5177519999997</v>
      </c>
      <c r="N153" s="295">
        <f>SUMIFS(N5:N15,A5:A15,"Stokbar",B5:B15,"Yeni Satış")+SUMIFS(N21:N32,A21:A32,"Stokbar",B21:B32,"Yeni Satış")+SUMIFS(N38:N51,A38:A51,"Stokbar",B38:B51,"Yeni Satış")+SUMIFS(N57:N67,A57:A67,"Stokbar",B57:B67,"Yeni Satış")+SUMIFS(N73:N84,A73:A84,"Stokbar",B73:B84,"Yeni Satış")+SUMIFS(N90:N101,A90:A101,"Stokbar",B90:B101,"Yeni Satış")+SUMIFS(N114:N123,A114:A123,"Stokbar",B114:B123,"Yeni Satış")+SUMIFS(N129:N138,A129:A138,"Stokbar",B129:B138,"Yeni Satış")+SUMIFS(N144:N145,A144:A145,"Stokbar",B144:B145,"Yeni Satış")</f>
        <v>4461.0300729999999</v>
      </c>
      <c r="O153" s="299">
        <f t="shared" si="94"/>
        <v>41258.081600000005</v>
      </c>
      <c r="Q153" s="277" t="str">
        <f t="shared" si="93"/>
        <v>Stokbar</v>
      </c>
      <c r="R153" s="278" t="str">
        <f t="shared" si="95"/>
        <v>Yeni Satış</v>
      </c>
      <c r="S153" s="279">
        <f t="shared" si="96"/>
        <v>9231.4957580000009</v>
      </c>
      <c r="T153" s="279">
        <f t="shared" si="97"/>
        <v>10262.947797999999</v>
      </c>
      <c r="U153" s="279">
        <f t="shared" si="98"/>
        <v>9515.1450690000001</v>
      </c>
      <c r="V153" s="279">
        <f t="shared" si="99"/>
        <v>12248.492974999999</v>
      </c>
      <c r="W153" s="279">
        <f t="shared" si="100"/>
        <v>41258.081599999998</v>
      </c>
    </row>
    <row r="154" spans="1:23" s="269" customFormat="1" ht="16" hidden="1" customHeight="1" outlineLevel="1" x14ac:dyDescent="0.2">
      <c r="A154" s="293" t="s">
        <v>29</v>
      </c>
      <c r="B154" s="294" t="s">
        <v>28</v>
      </c>
      <c r="C154" s="295">
        <f>SUMIFS(C5:C15,A5:A15,"Stokbar",B5:B15,"Yenileme")+SUMIFS(C21:C32,A21:A32,"Stokbar",B21:B32,"Yenileme")+SUMIFS(C38:C51,A38:A51,"Stokbar",B38:B51,"Yenileme")+SUMIFS(C57:C67,A57:A67,"Stokbar",B57:B67,"Yenileme")+SUMIFS(C73:C84,A73:A84,"Stokbar",B73:B84,"Yenileme")+SUMIFS(C90:C101,A90:A101,"Stokbar",B90:B101,"Yenileme")+SUMIFS(C114:C123,A114:A123,"Stokbar",B114:B123,"Yenileme")+SUMIFS(C129:C138,A129:A138,"Stokbar",B129:B138,"Yenileme")+SUMIFS(C144:C145,A144:A145,"Stokbar",B144:B145,"Yenileme")</f>
        <v>1172.1453780000002</v>
      </c>
      <c r="D154" s="295">
        <f>SUMIFS(D5:D15,A5:A15,"Stokbar",B5:B15,"Yenileme")+SUMIFS(D21:D32,A21:A32,"Stokbar",B21:B32,"Yenileme")+SUMIFS(D38:D51,A38:A51,"Stokbar",B38:B51,"Yenileme")+SUMIFS(D57:D67,A57:A67,"Stokbar",B57:B67,"Yenileme")+SUMIFS(D73:D84,A73:A84,"Stokbar",B73:B84,"Yenileme")+SUMIFS(D90:D101,A90:A101,"Stokbar",B90:B101,"Yenileme")+SUMIFS(D114:D123,A114:A123,"Stokbar",B114:B123,"Yenileme")+SUMIFS(D129:D138,A129:A138,"Stokbar",B129:B138,"Yenileme")+SUMIFS(D144:D145,A144:A145,"Stokbar",B144:B145,"Yenileme")</f>
        <v>1172.1453780000002</v>
      </c>
      <c r="E154" s="295">
        <f>SUMIFS(E5:E15,A5:A15,"Stokbar",B5:B15,"Yenileme")+SUMIFS(E21:E32,A21:A32,"Stokbar",B21:B32,"Yenileme")+SUMIFS(E38:E51,A38:A51,"Stokbar",B38:B51,"Yenileme")+SUMIFS(E57:E67,A57:A67,"Stokbar",B57:B67,"Yenileme")+SUMIFS(E73:E84,A73:A84,"Stokbar",B73:B84,"Yenileme")+SUMIFS(E90:E101,A90:A101,"Stokbar",B90:B101,"Yenileme")+SUMIFS(E114:E123,A114:A123,"Stokbar",B114:B123,"Yenileme")+SUMIFS(E129:E138,A129:A138,"Stokbar",B129:B138,"Yenileme")+SUMIFS(E144:E145,A144:A145,"Stokbar",B144:B145,"Yenileme")</f>
        <v>1336.6570100000001</v>
      </c>
      <c r="F154" s="295">
        <f>SUMIFS(F5:F15,A5:A15,"Stokbar",B5:B15,"Yenileme")+SUMIFS(F21:F32,A21:A32,"Stokbar",B21:B32,"Yenileme")+SUMIFS(F38:F51,A38:A51,"Stokbar",B38:B51,"Yenileme")+SUMIFS(F57:F67,A57:A67,"Stokbar",B57:B67,"Yenileme")+SUMIFS(F73:F84,A73:A84,"Stokbar",B73:B84,"Yenileme")+SUMIFS(F90:F101,A90:A101,"Stokbar",B90:B101,"Yenileme")+SUMIFS(F114:F123,A114:A123,"Stokbar",B114:B123,"Yenileme")+SUMIFS(F129:F138,A129:A138,"Stokbar",B129:B138,"Yenileme")+SUMIFS(F144:F145,A144:A145,"Stokbar",B144:B145,"Yenileme")</f>
        <v>1305.8110790000003</v>
      </c>
      <c r="G154" s="295">
        <f>SUMIFS(G5:G15,A5:A15,"Stokbar",B5:B15,"Yenileme")+SUMIFS(G21:G32,A21:A32,"Stokbar",B21:B32,"Yenileme")+SUMIFS(G38:G51,A38:A51,"Stokbar",B38:B51,"Yenileme")+SUMIFS(G57:G67,A57:A67,"Stokbar",B57:B67,"Yenileme")+SUMIFS(G73:G84,A73:A84,"Stokbar",B73:B84,"Yenileme")+SUMIFS(G90:G101,A90:A101,"Stokbar",B90:B101,"Yenileme")+SUMIFS(G114:G123,A114:A123,"Stokbar",B114:B123,"Yenileme")+SUMIFS(G129:G138,A129:A138,"Stokbar",B129:B138,"Yenileme")+SUMIFS(G144:G145,A144:A145,"Stokbar",B144:B145,"Yenileme")</f>
        <v>1305.8110790000003</v>
      </c>
      <c r="H154" s="295">
        <f>SUMIFS(H5:H15,A5:A15,"Stokbar",B5:B15,"Yenileme")+SUMIFS(H21:H32,A21:A32,"Stokbar",B21:B32,"Yenileme")+SUMIFS(H38:H51,A38:A51,"Stokbar",B38:B51,"Yenileme")+SUMIFS(H57:H67,A57:A67,"Stokbar",B57:B67,"Yenileme")+SUMIFS(H73:H84,A73:A84,"Stokbar",B73:B84,"Yenileme")+SUMIFS(H90:H101,A90:A101,"Stokbar",B90:B101,"Yenileme")+SUMIFS(H114:H123,A114:A123,"Stokbar",B114:B123,"Yenileme")+SUMIFS(H129:H138,A129:A138,"Stokbar",B129:B138,"Yenileme")+SUMIFS(H144:H145,A144:A145,"Stokbar",B144:B145,"Yenileme")</f>
        <v>1480.6046879999997</v>
      </c>
      <c r="I154" s="295">
        <f>SUMIFS(I5:I15,A5:A15,"Stokbar",B5:B15,"Yenileme")+SUMIFS(I21:I32,A21:A32,"Stokbar",B21:B32,"Yenileme")+SUMIFS(I38:I51,A38:A51,"Stokbar",B38:B51,"Yenileme")+SUMIFS(I57:I67,A57:A67,"Stokbar",B57:B67,"Yenileme")+SUMIFS(I73:I84,A73:A84,"Stokbar",B73:B84,"Yenileme")+SUMIFS(I90:I101,A90:A101,"Stokbar",B90:B101,"Yenileme")+SUMIFS(I114:I123,A114:A123,"Stokbar",B114:B123,"Yenileme")+SUMIFS(I129:I138,A129:A138,"Stokbar",B129:B138,"Yenileme")+SUMIFS(I144:I145,A144:A145,"Stokbar",B144:B145,"Yenileme")</f>
        <v>1233.8372400000001</v>
      </c>
      <c r="J154" s="295">
        <f>SUMIFS(J5:J15,A5:A15,"Stokbar",B5:B15,"Yenileme")+SUMIFS(J21:J32,A21:A32,"Stokbar",B21:B32,"Yenileme")+SUMIFS(J38:J51,A38:A51,"Stokbar",B38:B51,"Yenileme")+SUMIFS(J57:J67,A57:A67,"Stokbar",B57:B67,"Yenileme")+SUMIFS(J73:J84,A73:A84,"Stokbar",B73:B84,"Yenileme")+SUMIFS(J90:J101,A90:A101,"Stokbar",B90:B101,"Yenileme")+SUMIFS(J114:J123,A114:A123,"Stokbar",B114:B123,"Yenileme")+SUMIFS(J129:J138,A129:A138,"Stokbar",B129:B138,"Yenileme")+SUMIFS(J144:J145,A144:A145,"Stokbar",B144:B145,"Yenileme")</f>
        <v>1244.1192169999997</v>
      </c>
      <c r="K154" s="295">
        <f>SUMIFS(K5:K15,A5:A15,"Stokbar",B5:B15,"Yenileme")+SUMIFS(K21:K32,A21:A32,"Stokbar",B21:B32,"Yenileme")+SUMIFS(K38:K51,A38:A51,"Stokbar",B38:B51,"Yenileme")+SUMIFS(K57:K67,A57:A67,"Stokbar",B57:B67,"Yenileme")+SUMIFS(K73:K84,A73:A84,"Stokbar",B73:B84,"Yenileme")+SUMIFS(K90:K101,A90:A101,"Stokbar",B90:B101,"Yenileme")+SUMIFS(K114:K123,A114:A123,"Stokbar",B114:B123,"Yenileme")+SUMIFS(K129:K138,A129:A138,"Stokbar",B129:B138,"Yenileme")+SUMIFS(K144:K145,A144:A145,"Stokbar",B144:B145,"Yenileme")</f>
        <v>1316.0930559999999</v>
      </c>
      <c r="L154" s="295">
        <f>SUMIFS(L5:L15,A5:A15,"Stokbar",B5:B15,"Yenileme")+SUMIFS(L21:L32,A21:A32,"Stokbar",B21:B32,"Yenileme")+SUMIFS(L38:L51,A38:A51,"Stokbar",B38:B51,"Yenileme")+SUMIFS(L57:L67,A57:A67,"Stokbar",B57:B67,"Yenileme")+SUMIFS(L73:L84,A73:A84,"Stokbar",B73:B84,"Yenileme")+SUMIFS(L90:L101,A90:A101,"Stokbar",B90:B101,"Yenileme")+SUMIFS(L114:L123,A114:A123,"Stokbar",B114:B123,"Yenileme")+SUMIFS(L129:L138,A129:A138,"Stokbar",B129:B138,"Yenileme")+SUMIFS(L144:L145,A144:A145,"Stokbar",B144:B145,"Yenileme")</f>
        <v>1542.2965499999998</v>
      </c>
      <c r="M154" s="295">
        <f>SUMIFS(M5:M15,A5:A15,"Stokbar",B5:B15,"Yenileme")+SUMIFS(M21:M32,A21:A32,"Stokbar",B21:B32,"Yenileme")+SUMIFS(M38:M51,A38:A51,"Stokbar",B38:B51,"Yenileme")+SUMIFS(M57:M67,A57:A67,"Stokbar",B57:B67,"Yenileme")+SUMIFS(M73:M84,A73:A84,"Stokbar",B73:B84,"Yenileme")+SUMIFS(M90:M101,A90:A101,"Stokbar",B90:B101,"Yenileme")+SUMIFS(M114:M123,A114:A123,"Stokbar",B114:B123,"Yenileme")+SUMIFS(M129:M138,A129:A138,"Stokbar",B129:B138,"Yenileme")+SUMIFS(M144:M145,A144:A145,"Stokbar",B144:B145,"Yenileme")</f>
        <v>1562.8605039999998</v>
      </c>
      <c r="N154" s="295">
        <f>SUMIFS(N5:N15,A5:A15,"Stokbar",B5:B15,"Yenileme")+SUMIFS(N21:N32,A21:A32,"Stokbar",B21:B32,"Yenileme")+SUMIFS(N38:N51,A38:A51,"Stokbar",B38:B51,"Yenileme")+SUMIFS(N57:N67,A57:A67,"Stokbar",B57:B67,"Yenileme")+SUMIFS(N73:N84,A73:A84,"Stokbar",B73:B84,"Yenileme")+SUMIFS(N90:N101,A90:A101,"Stokbar",B90:B101,"Yenileme")+SUMIFS(N114:N123,A114:A123,"Stokbar",B114:B123,"Yenileme")+SUMIFS(N129:N138,A129:A138,"Stokbar",B129:B138,"Yenileme")+SUMIFS(N144:N145,A144:A145,"Stokbar",B144:B145,"Yenileme")</f>
        <v>1778.782021</v>
      </c>
      <c r="O154" s="299">
        <f t="shared" si="94"/>
        <v>16451.163199999999</v>
      </c>
      <c r="Q154" s="277" t="str">
        <f t="shared" si="93"/>
        <v>Stokbar</v>
      </c>
      <c r="R154" s="278" t="str">
        <f t="shared" si="95"/>
        <v>Yenileme</v>
      </c>
      <c r="S154" s="279">
        <f t="shared" si="96"/>
        <v>3680.9477660000002</v>
      </c>
      <c r="T154" s="279">
        <f t="shared" si="97"/>
        <v>4092.2268460000005</v>
      </c>
      <c r="U154" s="279">
        <f t="shared" si="98"/>
        <v>3794.0495129999999</v>
      </c>
      <c r="V154" s="279">
        <f t="shared" si="99"/>
        <v>4883.9390749999993</v>
      </c>
      <c r="W154" s="279">
        <f t="shared" si="100"/>
        <v>16451.163199999999</v>
      </c>
    </row>
    <row r="155" spans="1:23" s="269" customFormat="1" ht="16" hidden="1" customHeight="1" outlineLevel="1" x14ac:dyDescent="0.2">
      <c r="A155" s="293" t="s">
        <v>27</v>
      </c>
      <c r="B155" s="294" t="s">
        <v>26</v>
      </c>
      <c r="C155" s="295">
        <f>SUMIFS(C5:C15,A5:A15,"Quest",B5:B15,"Yeni Satış")+SUMIFS(C21:C32,A21:A32,"Quest",B21:B32,"Yeni Satış")+SUMIFS(C38:C51,A38:A51,"Quest",B38:B51,"Yeni Satış")+SUMIFS(C57:C67,A57:A67,"Quest",B57:B67,"Yeni Satış")+SUMIFS(C73:C84,A73:A84,"Quest",B73:B84,"Yeni Satış")+SUMIFS(C90:C101,A90:A101,"Quest",B90:B101,"Yeni Satış")+SUMIFS(C114:C123,A114:A123,"Quest",B114:B123,"Yeni Satış")+SUMIFS(C129:C138,A129:A138,"Quest",B129:B138,"Yeni Satış")+SUMIFS(C144:C145,A144:A145,"Quest",B144:B145,"Yeni Satış")</f>
        <v>2673.7987500000004</v>
      </c>
      <c r="D155" s="295">
        <f>SUMIFS(D5:D15,A5:A15,"Quest",B5:B15,"Yeni Satış")+SUMIFS(D21:D32,A21:A32,"Quest",B21:B32,"Yeni Satış")+SUMIFS(D38:D51,A38:A51,"Quest",B38:B51,"Yeni Satış")+SUMIFS(D57:D67,A57:A67,"Quest",B57:B67,"Yeni Satış")+SUMIFS(D73:D84,A73:A84,"Quest",B73:B84,"Yeni Satış")+SUMIFS(D90:D101,A90:A101,"Quest",B90:B101,"Yeni Satış")+SUMIFS(D114:D123,A114:A123,"Quest",B114:B123,"Yeni Satış")+SUMIFS(D129:D138,A129:A138,"Quest",B129:B138,"Yeni Satış")+SUMIFS(D144:D145,A144:A145,"Quest",B144:B145,"Yeni Satış")</f>
        <v>2673.7987500000004</v>
      </c>
      <c r="E155" s="295">
        <f>SUMIFS(E5:E15,A5:A15,"Quest",B5:B15,"Yeni Satış")+SUMIFS(E21:E32,A21:A32,"Quest",B21:B32,"Yeni Satış")+SUMIFS(E38:E51,A38:A51,"Quest",B38:B51,"Yeni Satış")+SUMIFS(E57:E67,A57:A67,"Quest",B57:B67,"Yeni Satış")+SUMIFS(E73:E84,A73:A84,"Quest",B73:B84,"Yeni Satış")+SUMIFS(E90:E101,A90:A101,"Quest",B90:B101,"Yeni Satış")+SUMIFS(E114:E123,A114:A123,"Quest",B114:B123,"Yeni Satış")+SUMIFS(E129:E138,A129:A138,"Quest",B129:B138,"Yeni Satış")+SUMIFS(E144:E145,A144:A145,"Quest",B144:B145,"Yeni Satış")</f>
        <v>3049.0687499999999</v>
      </c>
      <c r="F155" s="295">
        <f>SUMIFS(F5:F15,A5:A15,"Quest",B5:B15,"Yeni Satış")+SUMIFS(F21:F32,A21:A32,"Quest",B21:B32,"Yeni Satış")+SUMIFS(F38:F51,A38:A51,"Quest",B38:B51,"Yeni Satış")+SUMIFS(F57:F67,A57:A67,"Quest",B57:B67,"Yeni Satış")+SUMIFS(F73:F84,A73:A84,"Quest",B73:B84,"Yeni Satış")+SUMIFS(F90:F101,A90:A101,"Quest",B90:B101,"Yeni Satış")+SUMIFS(F114:F123,A114:A123,"Quest",B114:B123,"Yeni Satış")+SUMIFS(F129:F138,A129:A138,"Quest",B129:B138,"Yeni Satış")+SUMIFS(F144:F145,A144:A145,"Quest",B144:B145,"Yeni Satış")</f>
        <v>2978.7056250000001</v>
      </c>
      <c r="G155" s="295">
        <f>SUMIFS(G5:G15,A5:A15,"Quest",B5:B15,"Yeni Satış")+SUMIFS(G21:G32,A21:A32,"Quest",B21:B32,"Yeni Satış")+SUMIFS(G38:G51,A38:A51,"Quest",B38:B51,"Yeni Satış")+SUMIFS(G57:G67,A57:A67,"Quest",B57:B67,"Yeni Satış")+SUMIFS(G73:G84,A73:A84,"Quest",B73:B84,"Yeni Satış")+SUMIFS(G90:G101,A90:A101,"Quest",B90:B101,"Yeni Satış")+SUMIFS(G114:G123,A114:A123,"Quest",B114:B123,"Yeni Satış")+SUMIFS(G129:G138,A129:A138,"Quest",B129:B138,"Yeni Satış")+SUMIFS(G144:G145,A144:A145,"Quest",B144:B145,"Yeni Satış")</f>
        <v>2978.7056250000001</v>
      </c>
      <c r="H155" s="295">
        <f>SUMIFS(H5:H15,A5:A15,"Quest",B5:B15,"Yeni Satış")+SUMIFS(H21:H32,A21:A32,"Quest",B21:B32,"Yeni Satış")+SUMIFS(H38:H51,A38:A51,"Quest",B38:B51,"Yeni Satış")+SUMIFS(H57:H67,A57:A67,"Quest",B57:B67,"Yeni Satış")+SUMIFS(H73:H84,A73:A84,"Quest",B73:B84,"Yeni Satış")+SUMIFS(H90:H101,A90:A101,"Quest",B90:B101,"Yeni Satış")+SUMIFS(H114:H123,A114:A123,"Quest",B114:B123,"Yeni Satış")+SUMIFS(H129:H138,A129:A138,"Quest",B129:B138,"Yeni Satış")+SUMIFS(H144:H145,A144:A145,"Quest",B144:B145,"Yeni Satış")</f>
        <v>3377.43</v>
      </c>
      <c r="I155" s="295">
        <f>SUMIFS(I5:I15,A5:A15,"Quest",B5:B15,"Yeni Satış")+SUMIFS(I21:I32,A21:A32,"Quest",B21:B32,"Yeni Satış")+SUMIFS(I38:I51,A38:A51,"Quest",B38:B51,"Yeni Satış")+SUMIFS(I57:I67,A57:A67,"Quest",B57:B67,"Yeni Satış")+SUMIFS(I73:I84,A73:A84,"Quest",B73:B84,"Yeni Satış")+SUMIFS(I90:I101,A90:A101,"Quest",B90:B101,"Yeni Satış")+SUMIFS(I114:I123,A114:A123,"Quest",B114:B123,"Yeni Satış")+SUMIFS(I129:I138,A129:A138,"Quest",B129:B138,"Yeni Satış")+SUMIFS(I144:I145,A144:A145,"Quest",B144:B145,"Yeni Satış")</f>
        <v>2814.5250000000001</v>
      </c>
      <c r="J155" s="295">
        <f>SUMIFS(J5:J15,A5:A15,"Quest",B5:B15,"Yeni Satış")+SUMIFS(J21:J32,A21:A32,"Quest",B21:B32,"Yeni Satış")+SUMIFS(J38:J51,A38:A51,"Quest",B38:B51,"Yeni Satış")+SUMIFS(J57:J67,A57:A67,"Quest",B57:B67,"Yeni Satış")+SUMIFS(J73:J84,A73:A84,"Quest",B73:B84,"Yeni Satış")+SUMIFS(J90:J101,A90:A101,"Quest",B90:B101,"Yeni Satış")+SUMIFS(J114:J123,A114:A123,"Quest",B114:B123,"Yeni Satış")+SUMIFS(J129:J138,A129:A138,"Quest",B129:B138,"Yeni Satış")+SUMIFS(J144:J145,A144:A145,"Quest",B144:B145,"Yeni Satış")</f>
        <v>2837.9793749999999</v>
      </c>
      <c r="K155" s="295">
        <f>SUMIFS(K5:K15,A5:A15,"Quest",B5:B15,"Yeni Satış")+SUMIFS(K21:K32,A21:A32,"Quest",B21:B32,"Yeni Satış")+SUMIFS(K38:K51,A38:A51,"Quest",B38:B51,"Yeni Satış")+SUMIFS(K57:K67,A57:A67,"Quest",B57:B67,"Yeni Satış")+SUMIFS(K73:K84,A73:A84,"Quest",B73:B84,"Yeni Satış")+SUMIFS(K90:K101,A90:A101,"Quest",B90:B101,"Yeni Satış")+SUMIFS(K114:K123,A114:A123,"Quest",B114:B123,"Yeni Satış")+SUMIFS(K129:K138,A129:A138,"Quest",B129:B138,"Yeni Satış")+SUMIFS(K144:K145,A144:A145,"Quest",B144:B145,"Yeni Satış")</f>
        <v>3002.16</v>
      </c>
      <c r="L155" s="295">
        <f>SUMIFS(L5:L15,A5:A15,"Quest",B5:B15,"Yeni Satış")+SUMIFS(L21:L32,A21:A32,"Quest",B21:B32,"Yeni Satış")+SUMIFS(L38:L51,A38:A51,"Quest",B38:B51,"Yeni Satış")+SUMIFS(L57:L67,A57:A67,"Quest",B57:B67,"Yeni Satış")+SUMIFS(L73:L84,A73:A84,"Quest",B73:B84,"Yeni Satış")+SUMIFS(L90:L101,A90:A101,"Quest",B90:B101,"Yeni Satış")+SUMIFS(L114:L123,A114:A123,"Quest",B114:B123,"Yeni Satış")+SUMIFS(L129:L138,A129:A138,"Quest",B129:B138,"Yeni Satış")+SUMIFS(L144:L145,A144:A145,"Quest",B144:B145,"Yeni Satış")</f>
        <v>3518.1562499999995</v>
      </c>
      <c r="M155" s="295">
        <f>SUMIFS(M5:M15,A5:A15,"Quest",B5:B15,"Yeni Satış")+SUMIFS(M21:M32,A21:A32,"Quest",B21:B32,"Yeni Satış")+SUMIFS(M38:M51,A38:A51,"Quest",B38:B51,"Yeni Satış")+SUMIFS(M57:M67,A57:A67,"Quest",B57:B67,"Yeni Satış")+SUMIFS(M73:M84,A73:A84,"Quest",B73:B84,"Yeni Satış")+SUMIFS(M90:M101,A90:A101,"Quest",B90:B101,"Yeni Satış")+SUMIFS(M114:M123,A114:A123,"Quest",B114:B123,"Yeni Satış")+SUMIFS(M129:M138,A129:A138,"Quest",B129:B138,"Yeni Satış")+SUMIFS(M144:M145,A144:A145,"Quest",B144:B145,"Yeni Satış")</f>
        <v>3565.0649999999996</v>
      </c>
      <c r="N155" s="295">
        <f>SUMIFS(N5:N15,A5:A15,"Quest",B5:B15,"Yeni Satış")+SUMIFS(N21:N32,A21:A32,"Quest",B21:B32,"Yeni Satış")+SUMIFS(N38:N51,A38:A51,"Quest",B38:B51,"Yeni Satış")+SUMIFS(N57:N67,A57:A67,"Quest",B57:B67,"Yeni Satış")+SUMIFS(N73:N84,A73:A84,"Quest",B73:B84,"Yeni Satış")+SUMIFS(N90:N101,A90:A101,"Quest",B90:B101,"Yeni Satış")+SUMIFS(N114:N123,A114:A123,"Quest",B114:B123,"Yeni Satış")+SUMIFS(N129:N138,A129:A138,"Quest",B129:B138,"Yeni Satış")+SUMIFS(N144:N145,A144:A145,"Quest",B144:B145,"Yeni Satış")</f>
        <v>4057.6068749999999</v>
      </c>
      <c r="O155" s="299">
        <f t="shared" si="94"/>
        <v>37527</v>
      </c>
      <c r="Q155" s="277" t="str">
        <f t="shared" si="93"/>
        <v>Quest</v>
      </c>
      <c r="R155" s="278" t="str">
        <f t="shared" si="95"/>
        <v>Yeni Satış</v>
      </c>
      <c r="S155" s="279">
        <f t="shared" si="96"/>
        <v>8396.6662500000002</v>
      </c>
      <c r="T155" s="279">
        <f t="shared" si="97"/>
        <v>9334.8412499999995</v>
      </c>
      <c r="U155" s="279">
        <f t="shared" si="98"/>
        <v>8654.6643750000003</v>
      </c>
      <c r="V155" s="279">
        <f t="shared" si="99"/>
        <v>11140.828124999998</v>
      </c>
      <c r="W155" s="279">
        <f t="shared" si="100"/>
        <v>37527</v>
      </c>
    </row>
    <row r="156" spans="1:23" s="269" customFormat="1" ht="14" hidden="1" customHeight="1" outlineLevel="1" x14ac:dyDescent="0.2">
      <c r="A156" s="293" t="s">
        <v>27</v>
      </c>
      <c r="B156" s="294" t="s">
        <v>28</v>
      </c>
      <c r="C156" s="295">
        <f>SUMIFS(C5:C15,A5:A15,"Quest",B5:B15,"Yenileme")+SUMIFS(C21:C32,A21:A32,"Quest",B21:B32,"Yenileme")+SUMIFS(C38:C51,A38:A51,"Quest",B38:B51,"Yenileme")+SUMIFS(C57:C67,A57:A67,"Quest",B57:B67,"Yenileme")+SUMIFS(C73:C84,A73:A84,"Quest",B73:B84,"Yenileme")+SUMIFS(C90:C101,A90:A101,"Quest",B90:B101,"Yenileme")+SUMIFS(C114:C123,A114:A123,"Quest",B114:B123,"Yenileme")+SUMIFS(C129:C138,A129:A138,"Quest",B129:B138,"Yenileme")+SUMIFS(C144:C145,A144:A145,"Quest",B144:B145,"Yenileme")</f>
        <v>1596.689654578551</v>
      </c>
      <c r="D156" s="295">
        <f>SUMIFS(D5:D15,A5:A15,"Quest",B5:B15,"Yenileme")+SUMIFS(D21:D32,A21:A32,"Quest",B21:B32,"Yenileme")+SUMIFS(D38:D51,A38:A51,"Quest",B38:B51,"Yenileme")+SUMIFS(D57:D67,A57:A67,"Quest",B57:B67,"Yenileme")+SUMIFS(D73:D84,A73:A84,"Quest",B73:B84,"Yenileme")+SUMIFS(D90:D101,A90:A101,"Quest",B90:B101,"Yenileme")+SUMIFS(D114:D123,A114:A123,"Quest",B114:B123,"Yenileme")+SUMIFS(D129:D138,A129:A138,"Quest",B129:B138,"Yenileme")+SUMIFS(D144:D145,A144:A145,"Quest",B144:B145,"Yenileme")</f>
        <v>1596.689654578551</v>
      </c>
      <c r="E156" s="295">
        <f>SUMIFS(E5:E15,A5:A15,"Quest",B5:B15,"Yenileme")+SUMIFS(E21:E32,A21:A32,"Quest",B21:B32,"Yenileme")+SUMIFS(E38:E51,A38:A51,"Quest",B38:B51,"Yenileme")+SUMIFS(E57:E67,A57:A67,"Quest",B57:B67,"Yenileme")+SUMIFS(E73:E84,A73:A84,"Quest",B73:B84,"Yenileme")+SUMIFS(E90:E101,A90:A101,"Quest",B90:B101,"Yenileme")+SUMIFS(E114:E123,A114:A123,"Quest",B114:B123,"Yenileme")+SUMIFS(E129:E138,A129:A138,"Quest",B129:B138,"Yenileme")+SUMIFS(E144:E145,A144:A145,"Quest",B144:B145,"Yenileme")</f>
        <v>1820.7864482036102</v>
      </c>
      <c r="F156" s="295">
        <f>SUMIFS(F5:F15,A5:A15,"Quest",B5:B15,"Yenileme")+SUMIFS(F21:F32,A21:A32,"Quest",B21:B32,"Yenileme")+SUMIFS(F38:F51,A38:A51,"Quest",B38:B51,"Yenileme")+SUMIFS(F57:F67,A57:A67,"Quest",B57:B67,"Yenileme")+SUMIFS(F73:F84,A73:A84,"Quest",B73:B84,"Yenileme")+SUMIFS(F90:F101,A90:A101,"Quest",B90:B101,"Yenileme")+SUMIFS(F114:F123,A114:A123,"Quest",B114:B123,"Yenileme")+SUMIFS(F129:F138,A129:A138,"Quest",B129:B138,"Yenileme")+SUMIFS(F144:F145,A144:A145,"Quest",B144:B145,"Yenileme")</f>
        <v>1778.7682993989115</v>
      </c>
      <c r="G156" s="295">
        <f>SUMIFS(G5:G15,A5:A15,"Quest",B5:B15,"Yenileme")+SUMIFS(G21:G32,A21:A32,"Quest",B21:B32,"Yenileme")+SUMIFS(G38:G51,A38:A51,"Quest",B38:B51,"Yenileme")+SUMIFS(G57:G67,A57:A67,"Quest",B57:B67,"Yenileme")+SUMIFS(G73:G84,A73:A84,"Quest",B73:B84,"Yenileme")+SUMIFS(G90:G101,A90:A101,"Quest",B90:B101,"Yenileme")+SUMIFS(G114:G123,A114:A123,"Quest",B114:B123,"Yenileme")+SUMIFS(G129:G138,A129:A138,"Quest",B129:B138,"Yenileme")+SUMIFS(G144:G145,A144:A145,"Quest",B144:B145,"Yenileme")</f>
        <v>1778.7682993989115</v>
      </c>
      <c r="H156" s="295">
        <f>SUMIFS(H5:H15,A5:A15,"Quest",B5:B15,"Yenileme")+SUMIFS(H21:H32,A21:A32,"Quest",B21:B32,"Yenileme")+SUMIFS(H38:H51,A38:A51,"Quest",B38:B51,"Yenileme")+SUMIFS(H57:H67,A57:A67,"Quest",B57:B67,"Yenileme")+SUMIFS(H73:H84,A73:A84,"Quest",B73:B84,"Yenileme")+SUMIFS(H90:H101,A90:A101,"Quest",B90:B101,"Yenileme")+SUMIFS(H114:H123,A114:A123,"Quest",B114:B123,"Yenileme")+SUMIFS(H129:H138,A129:A138,"Quest",B129:B138,"Yenileme")+SUMIFS(H144:H145,A144:A145,"Quest",B144:B145,"Yenileme")</f>
        <v>2016.8711426255375</v>
      </c>
      <c r="I156" s="295">
        <f>SUMIFS(I5:I15,A5:A15,"Quest",B5:B15,"Yenileme")+SUMIFS(I21:I32,A21:A32,"Quest",B21:B32,"Yenileme")+SUMIFS(I38:I51,A38:A51,"Quest",B38:B51,"Yenileme")+SUMIFS(I57:I67,A57:A67,"Quest",B57:B67,"Yenileme")+SUMIFS(I73:I84,A73:A84,"Quest",B73:B84,"Yenileme")+SUMIFS(I90:I101,A90:A101,"Quest",B90:B101,"Yenileme")+SUMIFS(I114:I123,A114:A123,"Quest",B114:B123,"Yenileme")+SUMIFS(I129:I138,A129:A138,"Quest",B129:B138,"Yenileme")+SUMIFS(I144:I145,A144:A145,"Quest",B144:B145,"Yenileme")</f>
        <v>1680.725952187948</v>
      </c>
      <c r="J156" s="295">
        <f>SUMIFS(J5:J15,A5:A15,"Quest",B5:B15,"Yenileme")+SUMIFS(J21:J32,A21:A32,"Quest",B21:B32,"Yenileme")+SUMIFS(J38:J51,A38:A51,"Quest",B38:B51,"Yenileme")+SUMIFS(J57:J67,A57:A67,"Quest",B57:B67,"Yenileme")+SUMIFS(J73:J84,A73:A84,"Quest",B73:B84,"Yenileme")+SUMIFS(J90:J101,A90:A101,"Quest",B90:B101,"Yenileme")+SUMIFS(J114:J123,A114:A123,"Quest",B114:B123,"Yenileme")+SUMIFS(J129:J138,A129:A138,"Quest",B129:B138,"Yenileme")+SUMIFS(J144:J145,A144:A145,"Quest",B144:B145,"Yenileme")</f>
        <v>1694.7320017895142</v>
      </c>
      <c r="K156" s="295">
        <f>SUMIFS(K5:K15,A5:A15,"Quest",B5:B15,"Yenileme")+SUMIFS(K21:K32,A21:A32,"Quest",B21:B32,"Yenileme")+SUMIFS(K38:K51,A38:A51,"Quest",B38:B51,"Yenileme")+SUMIFS(K57:K67,A57:A67,"Quest",B57:B67,"Yenileme")+SUMIFS(K73:K84,A73:A84,"Quest",B73:B84,"Yenileme")+SUMIFS(K90:K101,A90:A101,"Quest",B90:B101,"Yenileme")+SUMIFS(K114:K123,A114:A123,"Quest",B114:B123,"Yenileme")+SUMIFS(K129:K138,A129:A138,"Quest",B129:B138,"Yenileme")+SUMIFS(K144:K145,A144:A145,"Quest",B144:B145,"Yenileme")</f>
        <v>1792.7743490004782</v>
      </c>
      <c r="L156" s="295">
        <f>SUMIFS(L5:L15,A5:A15,"Quest",B5:B15,"Yenileme")+SUMIFS(L21:L32,A21:A32,"Quest",B21:B32,"Yenileme")+SUMIFS(L38:L51,A38:A51,"Quest",B38:B51,"Yenileme")+SUMIFS(L57:L67,A57:A67,"Quest",B57:B67,"Yenileme")+SUMIFS(L73:L84,A73:A84,"Quest",B73:B84,"Yenileme")+SUMIFS(L90:L101,A90:A101,"Quest",B90:B101,"Yenileme")+SUMIFS(L114:L123,A114:A123,"Quest",B114:B123,"Yenileme")+SUMIFS(L129:L138,A129:A138,"Quest",B129:B138,"Yenileme")+SUMIFS(L144:L145,A144:A145,"Quest",B144:B145,"Yenileme")</f>
        <v>2100.9074402349343</v>
      </c>
      <c r="M156" s="295">
        <f>SUMIFS(M5:M15,A5:A15,"Quest",B5:B15,"Yenileme")+SUMIFS(M21:M32,A21:A32,"Quest",B21:B32,"Yenileme")+SUMIFS(M38:M51,A38:A51,"Quest",B38:B51,"Yenileme")+SUMIFS(M57:M67,A57:A67,"Quest",B57:B67,"Yenileme")+SUMIFS(M73:M84,A73:A84,"Quest",B73:B84,"Yenileme")+SUMIFS(M90:M101,A90:A101,"Quest",B90:B101,"Yenileme")+SUMIFS(M114:M123,A114:A123,"Quest",B114:B123,"Yenileme")+SUMIFS(M129:M138,A129:A138,"Quest",B129:B138,"Yenileme")+SUMIFS(M144:M145,A144:A145,"Quest",B144:B145,"Yenileme")</f>
        <v>2128.9195394380672</v>
      </c>
      <c r="N156" s="295">
        <f>SUMIFS(N5:N15,A5:A15,"Quest",B5:B15,"Yenileme")+SUMIFS(N21:N32,A21:A32,"Quest",B21:B32,"Yenileme")+SUMIFS(N38:N51,A38:A51,"Quest",B38:B51,"Yenileme")+SUMIFS(N57:N67,A57:A67,"Quest",B57:B67,"Yenileme")+SUMIFS(N73:N84,A73:A84,"Quest",B73:B84,"Yenileme")+SUMIFS(N90:N101,A90:A101,"Quest",B90:B101,"Yenileme")+SUMIFS(N114:N123,A114:A123,"Quest",B114:B123,"Yenileme")+SUMIFS(N129:N138,A129:A138,"Quest",B129:B138,"Yenileme")+SUMIFS(N144:N145,A144:A145,"Quest",B144:B145,"Yenileme")</f>
        <v>2423.0465810709584</v>
      </c>
      <c r="O156" s="299">
        <f t="shared" si="94"/>
        <v>22409.679362505969</v>
      </c>
      <c r="Q156" s="277" t="str">
        <f t="shared" si="93"/>
        <v>Quest</v>
      </c>
      <c r="R156" s="278" t="str">
        <f t="shared" si="95"/>
        <v>Yenileme</v>
      </c>
      <c r="S156" s="279">
        <f t="shared" si="96"/>
        <v>5014.1657573607117</v>
      </c>
      <c r="T156" s="279">
        <f t="shared" si="97"/>
        <v>5574.4077414233607</v>
      </c>
      <c r="U156" s="279">
        <f t="shared" si="98"/>
        <v>5168.23230297794</v>
      </c>
      <c r="V156" s="279">
        <f t="shared" si="99"/>
        <v>6652.8735607439603</v>
      </c>
      <c r="W156" s="279">
        <f t="shared" si="100"/>
        <v>22409.679362505973</v>
      </c>
    </row>
    <row r="157" spans="1:23" s="269" customFormat="1" ht="16" hidden="1" customHeight="1" outlineLevel="1" x14ac:dyDescent="0.2">
      <c r="A157" s="293" t="s">
        <v>32</v>
      </c>
      <c r="B157" s="294" t="s">
        <v>26</v>
      </c>
      <c r="C157" s="295">
        <f>SUMIFS(C5:C15,A5:A15,"Varuna",B5:B15,"Yeni Satış")+SUMIFS(C21:C32,A21:A32,"Varuna",B21:B32,"Yeni Satış")+SUMIFS(C38:C51,A38:A51,"Varuna",B38:B51,"Yeni Satış")+SUMIFS(C57:C67,A57:A67,"Varuna",B57:B67,"Yeni Satış")+SUMIFS(C73:C84,A73:A84,"Varuna",B73:B84,"Yeni Satış")+SUMIFS(C90:C101,A90:A101,"Varuna",B90:B101,"Yeni Satış")+SUMIFS(C114:C123,A114:A123,"Varuna",B114:B123,"Yeni Satış")+SUMIFS(C129:C138,A129:A138,"Varuna",B129:B138,"Yeni Satış")+SUMIFS(C144:C145,A144:A145,"Varuna",B144:B145,"Yeni Satış")</f>
        <v>406.83750000000003</v>
      </c>
      <c r="D157" s="295">
        <f>SUMIFS(D5:D15,A5:A15,"Varuna",B5:B15,"Yeni Satış")+SUMIFS(D21:D32,A21:A32,"Varuna",B21:B32,"Yeni Satış")+SUMIFS(D38:D51,A38:A51,"Varuna",B38:B51,"Yeni Satış")+SUMIFS(D57:D67,A57:A67,"Varuna",B57:B67,"Yeni Satış")+SUMIFS(D73:D84,A73:A84,"Varuna",B73:B84,"Yeni Satış")+SUMIFS(D90:D101,A90:A101,"Varuna",B90:B101,"Yeni Satış")+SUMIFS(D114:D123,A114:A123,"Varuna",B114:B123,"Yeni Satış")+SUMIFS(D129:D138,A129:A138,"Varuna",B129:B138,"Yeni Satış")+SUMIFS(D144:D145,A144:A145,"Varuna",B144:B145,"Yeni Satış")</f>
        <v>406.83750000000003</v>
      </c>
      <c r="E157" s="295">
        <f>SUMIFS(E5:E15,A5:A15,"Varuna",B5:B15,"Yeni Satış")+SUMIFS(E21:E32,A21:A32,"Varuna",B21:B32,"Yeni Satış")+SUMIFS(E38:E51,A38:A51,"Varuna",B38:B51,"Yeni Satış")+SUMIFS(E57:E67,A57:A67,"Varuna",B57:B67,"Yeni Satış")+SUMIFS(E73:E84,A73:A84,"Varuna",B73:B84,"Yeni Satış")+SUMIFS(E90:E101,A90:A101,"Varuna",B90:B101,"Yeni Satış")+SUMIFS(E114:E123,A114:A123,"Varuna",B114:B123,"Yeni Satış")+SUMIFS(E129:E138,A129:A138,"Varuna",B129:B138,"Yeni Satış")+SUMIFS(E144:E145,A144:A145,"Varuna",B144:B145,"Yeni Satış")</f>
        <v>463.9375</v>
      </c>
      <c r="F157" s="295">
        <f>SUMIFS(F5:F15,A5:A15,"Varuna",B5:B15,"Yeni Satış")+SUMIFS(F21:F32,A21:A32,"Varuna",B21:B32,"Yeni Satış")+SUMIFS(F38:F51,A38:A51,"Varuna",B38:B51,"Yeni Satış")+SUMIFS(F57:F67,A57:A67,"Varuna",B57:B67,"Yeni Satış")+SUMIFS(F73:F84,A73:A84,"Varuna",B73:B84,"Yeni Satış")+SUMIFS(F90:F101,A90:A101,"Varuna",B90:B101,"Yeni Satış")+SUMIFS(F114:F123,A114:A123,"Varuna",B114:B123,"Yeni Satış")+SUMIFS(F129:F138,A129:A138,"Varuna",B129:B138,"Yeni Satış")+SUMIFS(F144:F145,A144:A145,"Varuna",B144:B145,"Yeni Satış")</f>
        <v>453.23124999999999</v>
      </c>
      <c r="G157" s="295">
        <f>SUMIFS(G5:G15,A5:A15,"Varuna",B5:B15,"Yeni Satış")+SUMIFS(G21:G32,A21:A32,"Varuna",B21:B32,"Yeni Satış")+SUMIFS(G38:G51,A38:A51,"Varuna",B38:B51,"Yeni Satış")+SUMIFS(G57:G67,A57:A67,"Varuna",B57:B67,"Yeni Satış")+SUMIFS(G73:G84,A73:A84,"Varuna",B73:B84,"Yeni Satış")+SUMIFS(G90:G101,A90:A101,"Varuna",B90:B101,"Yeni Satış")+SUMIFS(G114:G123,A114:A123,"Varuna",B114:B123,"Yeni Satış")+SUMIFS(G129:G138,A129:A138,"Varuna",B129:B138,"Yeni Satış")+SUMIFS(G144:G145,A144:A145,"Varuna",B144:B145,"Yeni Satış")</f>
        <v>453.23124999999999</v>
      </c>
      <c r="H157" s="295">
        <f>SUMIFS(H5:H15,A5:A15,"Varuna",B5:B15,"Yeni Satış")+SUMIFS(H21:H32,A21:A32,"Varuna",B21:B32,"Yeni Satış")+SUMIFS(H38:H51,A38:A51,"Varuna",B38:B51,"Yeni Satış")+SUMIFS(H57:H67,A57:A67,"Varuna",B57:B67,"Yeni Satış")+SUMIFS(H73:H84,A73:A84,"Varuna",B73:B84,"Yeni Satış")+SUMIFS(H90:H101,A90:A101,"Varuna",B90:B101,"Yeni Satış")+SUMIFS(H114:H123,A114:A123,"Varuna",B114:B123,"Yeni Satış")+SUMIFS(H129:H138,A129:A138,"Varuna",B129:B138,"Yeni Satış")+SUMIFS(H144:H145,A144:A145,"Varuna",B144:B145,"Yeni Satış")</f>
        <v>513.9</v>
      </c>
      <c r="I157" s="295">
        <f>SUMIFS(I5:I15,A5:A15,"Varuna",B5:B15,"Yeni Satış")+SUMIFS(I21:I32,A21:A32,"Varuna",B21:B32,"Yeni Satış")+SUMIFS(I38:I51,A38:A51,"Varuna",B38:B51,"Yeni Satış")+SUMIFS(I57:I67,A57:A67,"Varuna",B57:B67,"Yeni Satış")+SUMIFS(I73:I84,A73:A84,"Varuna",B73:B84,"Yeni Satış")+SUMIFS(I90:I101,A90:A101,"Varuna",B90:B101,"Yeni Satış")+SUMIFS(I114:I123,A114:A123,"Varuna",B114:B123,"Yeni Satış")+SUMIFS(I129:I138,A129:A138,"Varuna",B129:B138,"Yeni Satış")+SUMIFS(I144:I145,A144:A145,"Varuna",B144:B145,"Yeni Satış")</f>
        <v>428.25</v>
      </c>
      <c r="J157" s="295">
        <f>SUMIFS(J5:J15,A5:A15,"Varuna",B5:B15,"Yeni Satış")+SUMIFS(J21:J32,A21:A32,"Varuna",B21:B32,"Yeni Satış")+SUMIFS(J38:J51,A38:A51,"Varuna",B38:B51,"Yeni Satış")+SUMIFS(J57:J67,A57:A67,"Varuna",B57:B67,"Yeni Satış")+SUMIFS(J73:J84,A73:A84,"Varuna",B73:B84,"Yeni Satış")+SUMIFS(J90:J101,A90:A101,"Varuna",B90:B101,"Yeni Satış")+SUMIFS(J114:J123,A114:A123,"Varuna",B114:B123,"Yeni Satış")+SUMIFS(J129:J138,A129:A138,"Varuna",B129:B138,"Yeni Satış")+SUMIFS(J144:J145,A144:A145,"Varuna",B144:B145,"Yeni Satış")</f>
        <v>431.81875000000002</v>
      </c>
      <c r="K157" s="295">
        <f>SUMIFS(K5:K15,A5:A15,"Varuna",B5:B15,"Yeni Satış")+SUMIFS(K21:K32,A21:A32,"Varuna",B21:B32,"Yeni Satış")+SUMIFS(K38:K51,A38:A51,"Varuna",B38:B51,"Yeni Satış")+SUMIFS(K57:K67,A57:A67,"Varuna",B57:B67,"Yeni Satış")+SUMIFS(K73:K84,A73:A84,"Varuna",B73:B84,"Yeni Satış")+SUMIFS(K90:K101,A90:A101,"Varuna",B90:B101,"Yeni Satış")+SUMIFS(K114:K123,A114:A123,"Varuna",B114:B123,"Yeni Satış")+SUMIFS(K129:K138,A129:A138,"Varuna",B129:B138,"Yeni Satış")+SUMIFS(K144:K145,A144:A145,"Varuna",B144:B145,"Yeni Satış")</f>
        <v>456.8</v>
      </c>
      <c r="L157" s="295">
        <f>SUMIFS(L5:L15,A5:A15,"Varuna",B5:B15,"Yeni Satış")+SUMIFS(L21:L32,A21:A32,"Varuna",B21:B32,"Yeni Satış")+SUMIFS(L38:L51,A38:A51,"Varuna",B38:B51,"Yeni Satış")+SUMIFS(L57:L67,A57:A67,"Varuna",B57:B67,"Yeni Satış")+SUMIFS(L73:L84,A73:A84,"Varuna",B73:B84,"Yeni Satış")+SUMIFS(L90:L101,A90:A101,"Varuna",B90:B101,"Yeni Satış")+SUMIFS(L114:L123,A114:A123,"Varuna",B114:B123,"Yeni Satış")+SUMIFS(L129:L138,A129:A138,"Varuna",B129:B138,"Yeni Satış")+SUMIFS(L144:L145,A144:A145,"Varuna",B144:B145,"Yeni Satış")</f>
        <v>535.31249999999989</v>
      </c>
      <c r="M157" s="295">
        <f>SUMIFS(M5:M15,A5:A15,"Varuna",B5:B15,"Yeni Satış")+SUMIFS(M21:M32,A21:A32,"Varuna",B21:B32,"Yeni Satış")+SUMIFS(M38:M51,A38:A51,"Varuna",B38:B51,"Yeni Satış")+SUMIFS(M57:M67,A57:A67,"Varuna",B57:B67,"Yeni Satış")+SUMIFS(M73:M84,A73:A84,"Varuna",B73:B84,"Yeni Satış")+SUMIFS(M90:M101,A90:A101,"Varuna",B90:B101,"Yeni Satış")+SUMIFS(M114:M123,A114:A123,"Varuna",B114:B123,"Yeni Satış")+SUMIFS(M129:M138,A129:A138,"Varuna",B129:B138,"Yeni Satış")+SUMIFS(M144:M145,A144:A145,"Varuna",B144:B145,"Yeni Satış")</f>
        <v>542.44999999999993</v>
      </c>
      <c r="N157" s="295">
        <f>SUMIFS(N5:N15,A5:A15,"Varuna",B5:B15,"Yeni Satış")+SUMIFS(N21:N32,A21:A32,"Varuna",B21:B32,"Yeni Satış")+SUMIFS(N38:N51,A38:A51,"Varuna",B38:B51,"Yeni Satış")+SUMIFS(N57:N67,A57:A67,"Varuna",B57:B67,"Yeni Satış")+SUMIFS(N73:N84,A73:A84,"Varuna",B73:B84,"Yeni Satış")+SUMIFS(N90:N101,A90:A101,"Varuna",B90:B101,"Yeni Satış")+SUMIFS(N114:N123,A114:A123,"Varuna",B114:B123,"Yeni Satış")+SUMIFS(N129:N138,A129:A138,"Varuna",B129:B138,"Yeni Satış")+SUMIFS(N144:N145,A144:A145,"Varuna",B144:B145,"Yeni Satış")</f>
        <v>617.39374999999995</v>
      </c>
      <c r="O157" s="299">
        <f t="shared" si="94"/>
        <v>5710</v>
      </c>
      <c r="Q157" s="277" t="str">
        <f t="shared" si="93"/>
        <v>Varuna</v>
      </c>
      <c r="R157" s="278" t="str">
        <f t="shared" si="95"/>
        <v>Yeni Satış</v>
      </c>
      <c r="S157" s="279">
        <f t="shared" si="96"/>
        <v>1277.6125000000002</v>
      </c>
      <c r="T157" s="279">
        <f t="shared" si="97"/>
        <v>1420.3625</v>
      </c>
      <c r="U157" s="279">
        <f t="shared" si="98"/>
        <v>1316.8687500000001</v>
      </c>
      <c r="V157" s="279">
        <f t="shared" si="99"/>
        <v>1695.1562499999998</v>
      </c>
      <c r="W157" s="279">
        <f t="shared" si="100"/>
        <v>5710</v>
      </c>
    </row>
    <row r="158" spans="1:23" s="269" customFormat="1" ht="16" hidden="1" customHeight="1" outlineLevel="1" x14ac:dyDescent="0.2">
      <c r="A158" s="293" t="s">
        <v>32</v>
      </c>
      <c r="B158" s="294" t="s">
        <v>28</v>
      </c>
      <c r="C158" s="295">
        <f>C110</f>
        <v>272.60250000000002</v>
      </c>
      <c r="D158" s="295">
        <f t="shared" ref="D158:N158" si="101">D110</f>
        <v>272.60250000000002</v>
      </c>
      <c r="E158" s="295">
        <f t="shared" si="101"/>
        <v>310.86250000000001</v>
      </c>
      <c r="F158" s="295">
        <f t="shared" si="101"/>
        <v>303.68875000000003</v>
      </c>
      <c r="G158" s="295">
        <f t="shared" si="101"/>
        <v>303.68875000000003</v>
      </c>
      <c r="H158" s="295">
        <f t="shared" si="101"/>
        <v>344.33999999999992</v>
      </c>
      <c r="I158" s="295">
        <f t="shared" si="101"/>
        <v>286.95</v>
      </c>
      <c r="J158" s="295">
        <f t="shared" si="101"/>
        <v>289.34125</v>
      </c>
      <c r="K158" s="295">
        <f t="shared" si="101"/>
        <v>306.08</v>
      </c>
      <c r="L158" s="295">
        <f t="shared" si="101"/>
        <v>358.68749999999994</v>
      </c>
      <c r="M158" s="295">
        <f t="shared" si="101"/>
        <v>363.46999999999997</v>
      </c>
      <c r="N158" s="295">
        <f t="shared" si="101"/>
        <v>413.68624999999997</v>
      </c>
      <c r="O158" s="299">
        <f t="shared" si="94"/>
        <v>3826</v>
      </c>
      <c r="Q158" s="277" t="str">
        <f t="shared" si="93"/>
        <v>Varuna</v>
      </c>
      <c r="R158" s="278" t="str">
        <f t="shared" si="95"/>
        <v>Yenileme</v>
      </c>
      <c r="S158" s="279">
        <f t="shared" si="96"/>
        <v>856.06750000000011</v>
      </c>
      <c r="T158" s="279">
        <f t="shared" si="97"/>
        <v>951.71749999999997</v>
      </c>
      <c r="U158" s="279">
        <f t="shared" si="98"/>
        <v>882.37124999999992</v>
      </c>
      <c r="V158" s="279">
        <f t="shared" si="99"/>
        <v>1135.84375</v>
      </c>
      <c r="W158" s="279">
        <f t="shared" si="100"/>
        <v>3826</v>
      </c>
    </row>
    <row r="159" spans="1:23" s="269" customFormat="1" ht="16" hidden="1" customHeight="1" outlineLevel="1" x14ac:dyDescent="0.2">
      <c r="A159" s="293" t="s">
        <v>34</v>
      </c>
      <c r="B159" s="294" t="s">
        <v>26</v>
      </c>
      <c r="C159" s="295">
        <f>SUMIFS(C5:C15,A5:A15,"Hosting",B5:B15,"Yeni Satış")+SUMIFS(C21:C32,A21:A32,"Hosting",B21:B32,"Yeni Satış")+SUMIFS(C38:C51,A38:A51,"Hosting",B38:B51,"Yeni Satış")+SUMIFS(C57:C67,A57:A67,"Hosting",B57:B67,"Yeni Satış")+SUMIFS(C73:C84,A73:A84,"Hosting",B73:B84,"Yeni Satış")+SUMIFS(C90:C101,A90:A101,"Hosting",B90:B101,"Yeni Satış")+SUMIFS(C114:C123,A114:A123,"Hosting",B114:B123,"Yeni Satış")+SUMIFS(C129:C138,A129:A138,"Hosting",B129:B138,"Yeni Satış")+SUMIFS(C144:C145,A144:A145,"Hosting",B144:B145,"Yeni Satış")</f>
        <v>541.28625000000011</v>
      </c>
      <c r="D159" s="295">
        <f>SUMIFS(D5:D15,A5:A15,"Hosting",B5:B15,"Yeni Satış")+SUMIFS(D21:D32,A21:A32,"Hosting",B21:B32,"Yeni Satış")+SUMIFS(D38:D51,A38:A51,"Hosting",B38:B51,"Yeni Satış")+SUMIFS(D57:D67,A57:A67,"Hosting",B57:B67,"Yeni Satış")+SUMIFS(D73:D84,A73:A84,"Hosting",B73:B84,"Yeni Satış")+SUMIFS(D90:D101,A90:A101,"Hosting",B90:B101,"Yeni Satış")+SUMIFS(D114:D123,A114:A123,"Hosting",B114:B123,"Yeni Satış")+SUMIFS(D129:D138,A129:A138,"Hosting",B129:B138,"Yeni Satış")+SUMIFS(D144:D145,A144:A145,"Hosting",B144:B145,"Yeni Satış")</f>
        <v>541.28625000000011</v>
      </c>
      <c r="E159" s="295">
        <f>SUMIFS(E5:E15,A5:A15,"Hosting",B5:B15,"Yeni Satış")+SUMIFS(E21:E32,A21:A32,"Hosting",B21:B32,"Yeni Satış")+SUMIFS(E38:E51,A38:A51,"Hosting",B38:B51,"Yeni Satış")+SUMIFS(E57:E67,A57:A67,"Hosting",B57:B67,"Yeni Satış")+SUMIFS(E73:E84,A73:A84,"Hosting",B73:B84,"Yeni Satış")+SUMIFS(E90:E101,A90:A101,"Hosting",B90:B101,"Yeni Satış")+SUMIFS(E114:E123,A114:A123,"Hosting",B114:B123,"Yeni Satış")+SUMIFS(E129:E138,A129:A138,"Hosting",B129:B138,"Yeni Satış")+SUMIFS(E144:E145,A144:A145,"Hosting",B144:B145,"Yeni Satış")</f>
        <v>617.25625000000002</v>
      </c>
      <c r="F159" s="295">
        <f>SUMIFS(F5:F15,A5:A15,"Hosting",B5:B15,"Yeni Satış")+SUMIFS(F21:F32,A21:A32,"Hosting",B21:B32,"Yeni Satış")+SUMIFS(F38:F51,A38:A51,"Hosting",B38:B51,"Yeni Satış")+SUMIFS(F57:F67,A57:A67,"Hosting",B57:B67,"Yeni Satış")+SUMIFS(F73:F84,A73:A84,"Hosting",B73:B84,"Yeni Satış")+SUMIFS(F90:F101,A90:A101,"Hosting",B90:B101,"Yeni Satış")+SUMIFS(F114:F123,A114:A123,"Hosting",B114:B123,"Yeni Satış")+SUMIFS(F129:F138,A129:A138,"Hosting",B129:B138,"Yeni Satış")+SUMIFS(F144:F145,A144:A145,"Hosting",B144:B145,"Yeni Satış")</f>
        <v>603.01187500000003</v>
      </c>
      <c r="G159" s="295">
        <f>SUMIFS(G5:G15,A5:A15,"Hosting",B5:B15,"Yeni Satış")+SUMIFS(G21:G32,A21:A32,"Hosting",B21:B32,"Yeni Satış")+SUMIFS(G38:G51,A38:A51,"Hosting",B38:B51,"Yeni Satış")+SUMIFS(G57:G67,A57:A67,"Hosting",B57:B67,"Yeni Satış")+SUMIFS(G73:G84,A73:A84,"Hosting",B73:B84,"Yeni Satış")+SUMIFS(G90:G101,A90:A101,"Hosting",B90:B101,"Yeni Satış")+SUMIFS(G114:G123,A114:A123,"Hosting",B114:B123,"Yeni Satış")+SUMIFS(G129:G138,A129:A138,"Hosting",B129:B138,"Yeni Satış")+SUMIFS(G144:G145,A144:A145,"Hosting",B144:B145,"Yeni Satış")</f>
        <v>603.01187500000003</v>
      </c>
      <c r="H159" s="295">
        <f>SUMIFS(H5:H15,A5:A15,"Hosting",B5:B15,"Yeni Satış")+SUMIFS(H21:H32,A21:A32,"Hosting",B21:B32,"Yeni Satış")+SUMIFS(H38:H51,A38:A51,"Hosting",B38:B51,"Yeni Satış")+SUMIFS(H57:H67,A57:A67,"Hosting",B57:B67,"Yeni Satış")+SUMIFS(H73:H84,A73:A84,"Hosting",B73:B84,"Yeni Satış")+SUMIFS(H90:H101,A90:A101,"Hosting",B90:B101,"Yeni Satış")+SUMIFS(H114:H123,A114:A123,"Hosting",B114:B123,"Yeni Satış")+SUMIFS(H129:H138,A129:A138,"Hosting",B129:B138,"Yeni Satış")+SUMIFS(H144:H145,A144:A145,"Hosting",B144:B145,"Yeni Satış")</f>
        <v>683.7299999999999</v>
      </c>
      <c r="I159" s="295">
        <f>SUMIFS(I5:I15,A5:A15,"Hosting",B5:B15,"Yeni Satış")+SUMIFS(I21:I32,A21:A32,"Hosting",B21:B32,"Yeni Satış")+SUMIFS(I38:I51,A38:A51,"Hosting",B38:B51,"Yeni Satış")+SUMIFS(I57:I67,A57:A67,"Hosting",B57:B67,"Yeni Satış")+SUMIFS(I73:I84,A73:A84,"Hosting",B73:B84,"Yeni Satış")+SUMIFS(I90:I101,A90:A101,"Hosting",B90:B101,"Yeni Satış")+SUMIFS(I114:I123,A114:A123,"Hosting",B114:B123,"Yeni Satış")+SUMIFS(I129:I138,A129:A138,"Hosting",B129:B138,"Yeni Satış")+SUMIFS(I144:I145,A144:A145,"Hosting",B144:B145,"Yeni Satış")</f>
        <v>569.77499999999998</v>
      </c>
      <c r="J159" s="295">
        <f>SUMIFS(J5:J15,A5:A15,"Hosting",B5:B15,"Yeni Satış")+SUMIFS(J21:J32,A21:A32,"Hosting",B21:B32,"Yeni Satış")+SUMIFS(J38:J51,A38:A51,"Hosting",B38:B51,"Yeni Satış")+SUMIFS(J57:J67,A57:A67,"Hosting",B57:B67,"Yeni Satış")+SUMIFS(J73:J84,A73:A84,"Hosting",B73:B84,"Yeni Satış")+SUMIFS(J90:J101,A90:A101,"Hosting",B90:B101,"Yeni Satış")+SUMIFS(J114:J123,A114:A123,"Hosting",B114:B123,"Yeni Satış")+SUMIFS(J129:J138,A129:A138,"Hosting",B129:B138,"Yeni Satış")+SUMIFS(J144:J145,A144:A145,"Hosting",B144:B145,"Yeni Satış")</f>
        <v>574.52312499999994</v>
      </c>
      <c r="K159" s="295">
        <f>SUMIFS(K5:K15,A5:A15,"Hosting",B5:B15,"Yeni Satış")+SUMIFS(K21:K32,A21:A32,"Hosting",B21:B32,"Yeni Satış")+SUMIFS(K38:K51,A38:A51,"Hosting",B38:B51,"Yeni Satış")+SUMIFS(K57:K67,A57:A67,"Hosting",B57:B67,"Yeni Satış")+SUMIFS(K73:K84,A73:A84,"Hosting",B73:B84,"Yeni Satış")+SUMIFS(K90:K101,A90:A101,"Hosting",B90:B101,"Yeni Satış")+SUMIFS(K114:K123,A114:A123,"Hosting",B114:B123,"Yeni Satış")+SUMIFS(K129:K138,A129:A138,"Hosting",B129:B138,"Yeni Satış")+SUMIFS(K144:K145,A144:A145,"Hosting",B144:B145,"Yeni Satış")</f>
        <v>607.76</v>
      </c>
      <c r="L159" s="295">
        <f>SUMIFS(L5:L15,A5:A15,"Hosting",B5:B15,"Yeni Satış")+SUMIFS(L21:L32,A21:A32,"Hosting",B21:B32,"Yeni Satış")+SUMIFS(L38:L51,A38:A51,"Hosting",B38:B51,"Yeni Satış")+SUMIFS(L57:L67,A57:A67,"Hosting",B57:B67,"Yeni Satış")+SUMIFS(L73:L84,A73:A84,"Hosting",B73:B84,"Yeni Satış")+SUMIFS(L90:L101,A90:A101,"Hosting",B90:B101,"Yeni Satış")+SUMIFS(L114:L123,A114:A123,"Hosting",B114:B123,"Yeni Satış")+SUMIFS(L129:L138,A129:A138,"Hosting",B129:B138,"Yeni Satış")+SUMIFS(L144:L145,A144:A145,"Hosting",B144:B145,"Yeni Satış")</f>
        <v>712.21874999999989</v>
      </c>
      <c r="M159" s="295">
        <f>SUMIFS(M5:M15,A5:A15,"Hosting",B5:B15,"Yeni Satış")+SUMIFS(M21:M32,A21:A32,"Hosting",B21:B32,"Yeni Satış")+SUMIFS(M38:M51,A38:A51,"Hosting",B38:B51,"Yeni Satış")+SUMIFS(M57:M67,A57:A67,"Hosting",B57:B67,"Yeni Satış")+SUMIFS(M73:M84,A73:A84,"Hosting",B73:B84,"Yeni Satış")+SUMIFS(M90:M101,A90:A101,"Hosting",B90:B101,"Yeni Satış")+SUMIFS(M114:M123,A114:A123,"Hosting",B114:B123,"Yeni Satış")+SUMIFS(M129:M138,A129:A138,"Hosting",B129:B138,"Yeni Satış")+SUMIFS(M144:M145,A144:A145,"Hosting",B144:B145,"Yeni Satış")</f>
        <v>721.71499999999992</v>
      </c>
      <c r="N159" s="295">
        <f>SUMIFS(N5:N15,A5:A15,"Hosting",B5:B15,"Yeni Satış")+SUMIFS(N21:N32,A21:A32,"Hosting",B21:B32,"Yeni Satış")+SUMIFS(N38:N51,A38:A51,"Hosting",B38:B51,"Yeni Satış")+SUMIFS(N57:N67,A57:A67,"Hosting",B57:B67,"Yeni Satış")+SUMIFS(N73:N84,A73:A84,"Hosting",B73:B84,"Yeni Satış")+SUMIFS(N90:N101,A90:A101,"Hosting",B90:B101,"Yeni Satış")+SUMIFS(N114:N123,A114:A123,"Hosting",B114:B123,"Yeni Satış")+SUMIFS(N129:N138,A129:A138,"Hosting",B129:B138,"Yeni Satış")+SUMIFS(N144:N145,A144:A145,"Hosting",B144:B145,"Yeni Satış")</f>
        <v>821.42562499999997</v>
      </c>
      <c r="O159" s="299">
        <f t="shared" si="94"/>
        <v>7597</v>
      </c>
      <c r="Q159" s="277" t="str">
        <f t="shared" si="93"/>
        <v>Hosting</v>
      </c>
      <c r="R159" s="278" t="str">
        <f t="shared" si="95"/>
        <v>Yeni Satış</v>
      </c>
      <c r="S159" s="279">
        <f t="shared" si="96"/>
        <v>1699.8287500000001</v>
      </c>
      <c r="T159" s="279">
        <f t="shared" si="97"/>
        <v>1889.7537499999999</v>
      </c>
      <c r="U159" s="279">
        <f t="shared" si="98"/>
        <v>1752.0581249999998</v>
      </c>
      <c r="V159" s="279">
        <f t="shared" si="99"/>
        <v>2255.3593749999995</v>
      </c>
      <c r="W159" s="279">
        <f t="shared" si="100"/>
        <v>7597</v>
      </c>
    </row>
    <row r="160" spans="1:23" s="269" customFormat="1" ht="16" hidden="1" customHeight="1" outlineLevel="1" x14ac:dyDescent="0.2">
      <c r="A160" s="293" t="s">
        <v>34</v>
      </c>
      <c r="B160" s="294" t="s">
        <v>28</v>
      </c>
      <c r="C160" s="295">
        <f>SUMIFS(C5:C15,A5:A15,"Hosting",B5:B15,"Yenileme")+SUMIFS(C21:C32,A21:A32,"Hosting",B21:B32,"Yenileme")+SUMIFS(C38:C51,A38:A51,"Hosting",B38:B51,"Yenileme")+SUMIFS(C57:C67,A57:A67,"Hosting",B57:B67,"Yenileme")+SUMIFS(C73:C84,A73:A84,"Hosting",B73:B84,"Yenileme")+SUMIFS(C90:C101,A90:A101,"Hosting",B90:B101,"Yenileme")+SUMIFS(C114:C123,A114:A123,"Hosting",B114:B123,"Yenileme")+SUMIFS(C129:C138,A129:A138,"Hosting",B129:B138,"Yenileme")+SUMIFS(C144:C145,A144:A145,"Hosting",B144:B145,"Yenileme")</f>
        <v>4586.6894662499999</v>
      </c>
      <c r="D160" s="295">
        <f>SUMIFS(D5:D15,A5:A15,"Hosting",B5:B15,"Yenileme")+SUMIFS(D21:D32,A21:A32,"Hosting",B21:B32,"Yenileme")+SUMIFS(D38:D51,A38:A51,"Hosting",B38:B51,"Yenileme")+SUMIFS(D57:D67,A57:A67,"Hosting",B57:B67,"Yenileme")+SUMIFS(D73:D84,A73:A84,"Hosting",B73:B84,"Yenileme")+SUMIFS(D90:D101,A90:A101,"Hosting",B90:B101,"Yenileme")+SUMIFS(D114:D123,A114:A123,"Hosting",B114:B123,"Yenileme")+SUMIFS(D129:D138,A129:A138,"Hosting",B129:B138,"Yenileme")+SUMIFS(D144:D145,A144:A145,"Hosting",B144:B145,"Yenileme")</f>
        <v>4586.6894662499999</v>
      </c>
      <c r="E160" s="295">
        <f>SUMIFS(E5:E15,A5:A15,"Hosting",B5:B15,"Yenileme")+SUMIFS(E21:E32,A21:A32,"Hosting",B21:B32,"Yenileme")+SUMIFS(E38:E51,A38:A51,"Hosting",B38:B51,"Yenileme")+SUMIFS(E57:E67,A57:A67,"Hosting",B57:B67,"Yenileme")+SUMIFS(E73:E84,A73:A84,"Hosting",B73:B84,"Yenileme")+SUMIFS(E90:E101,A90:A101,"Hosting",B90:B101,"Yenileme")+SUMIFS(E114:E123,A114:A123,"Hosting",B114:B123,"Yenileme")+SUMIFS(E129:E138,A129:A138,"Hosting",B129:B138,"Yenileme")+SUMIFS(E144:E145,A144:A145,"Hosting",B144:B145,"Yenileme")</f>
        <v>5230.43535625</v>
      </c>
      <c r="F160" s="295">
        <f>SUMIFS(F5:F15,A5:A15,"Hosting",B5:B15,"Yenileme")+SUMIFS(F21:F32,A21:A32,"Hosting",B21:B32,"Yenileme")+SUMIFS(F38:F51,A38:A51,"Hosting",B38:B51,"Yenileme")+SUMIFS(F57:F67,A57:A67,"Hosting",B57:B67,"Yenileme")+SUMIFS(F73:F84,A73:A84,"Hosting",B73:B84,"Yenileme")+SUMIFS(F90:F101,A90:A101,"Hosting",B90:B101,"Yenileme")+SUMIFS(F114:F123,A114:A123,"Hosting",B114:B123,"Yenileme")+SUMIFS(F129:F138,A129:A138,"Hosting",B129:B138,"Yenileme")+SUMIFS(F144:F145,A144:A145,"Hosting",B144:B145,"Yenileme")</f>
        <v>5109.7330018749999</v>
      </c>
      <c r="G160" s="295">
        <f>SUMIFS(G5:G15,A5:A15,"Hosting",B5:B15,"Yenileme")+SUMIFS(G21:G32,A21:A32,"Hosting",B21:B32,"Yenileme")+SUMIFS(G38:G51,A38:A51,"Hosting",B38:B51,"Yenileme")+SUMIFS(G57:G67,A57:A67,"Hosting",B57:B67,"Yenileme")+SUMIFS(G73:G84,A73:A84,"Hosting",B73:B84,"Yenileme")+SUMIFS(G90:G101,A90:A101,"Hosting",B90:B101,"Yenileme")+SUMIFS(G114:G123,A114:A123,"Hosting",B114:B123,"Yenileme")+SUMIFS(G129:G138,A129:A138,"Hosting",B129:B138,"Yenileme")+SUMIFS(G144:G145,A144:A145,"Hosting",B144:B145,"Yenileme")</f>
        <v>5109.7330018749999</v>
      </c>
      <c r="H160" s="295">
        <f>SUMIFS(H5:H15,A5:A15,"Hosting",B5:B15,"Yenileme")+SUMIFS(H21:H32,A21:A32,"Hosting",B21:B32,"Yenileme")+SUMIFS(H38:H51,A38:A51,"Hosting",B38:B51,"Yenileme")+SUMIFS(H57:H67,A57:A67,"Hosting",B57:B67,"Yenileme")+SUMIFS(H73:H84,A73:A84,"Hosting",B73:B84,"Yenileme")+SUMIFS(H90:H101,A90:A101,"Hosting",B90:B101,"Yenileme")+SUMIFS(H114:H123,A114:A123,"Hosting",B114:B123,"Yenileme")+SUMIFS(H129:H138,A129:A138,"Hosting",B129:B138,"Yenileme")+SUMIFS(H144:H145,A144:A145,"Hosting",B144:B145,"Yenileme")</f>
        <v>5793.7130099999986</v>
      </c>
      <c r="I160" s="295">
        <f>SUMIFS(I5:I15,A5:A15,"Hosting",B5:B15,"Yenileme")+SUMIFS(I21:I32,A21:A32,"Hosting",B21:B32,"Yenileme")+SUMIFS(I38:I51,A38:A51,"Hosting",B38:B51,"Yenileme")+SUMIFS(I57:I67,A57:A67,"Hosting",B57:B67,"Yenileme")+SUMIFS(I73:I84,A73:A84,"Hosting",B73:B84,"Yenileme")+SUMIFS(I90:I101,A90:A101,"Hosting",B90:B101,"Yenileme")+SUMIFS(I114:I123,A114:A123,"Hosting",B114:B123,"Yenileme")+SUMIFS(I129:I138,A129:A138,"Hosting",B129:B138,"Yenileme")+SUMIFS(I144:I145,A144:A145,"Hosting",B144:B145,"Yenileme")</f>
        <v>4828.0941750000002</v>
      </c>
      <c r="J160" s="295">
        <f>SUMIFS(J5:J15,A5:A15,"Hosting",B5:B15,"Yenileme")+SUMIFS(J21:J32,A21:A32,"Hosting",B21:B32,"Yenileme")+SUMIFS(J38:J51,A38:A51,"Hosting",B38:B51,"Yenileme")+SUMIFS(J57:J67,A57:A67,"Hosting",B57:B67,"Yenileme")+SUMIFS(J73:J84,A73:A84,"Hosting",B73:B84,"Yenileme")+SUMIFS(J90:J101,A90:A101,"Hosting",B90:B101,"Yenileme")+SUMIFS(J114:J123,A114:A123,"Hosting",B114:B123,"Yenileme")+SUMIFS(J129:J138,A129:A138,"Hosting",B129:B138,"Yenileme")+SUMIFS(J144:J145,A144:A145,"Hosting",B144:B145,"Yenileme")</f>
        <v>4868.3282931249996</v>
      </c>
      <c r="K160" s="295">
        <f>SUMIFS(K5:K15,A5:A15,"Hosting",B5:B15,"Yenileme")+SUMIFS(K21:K32,A21:A32,"Hosting",B21:B32,"Yenileme")+SUMIFS(K38:K51,A38:A51,"Hosting",B38:B51,"Yenileme")+SUMIFS(K57:K67,A57:A67,"Hosting",B57:B67,"Yenileme")+SUMIFS(K73:K84,A73:A84,"Hosting",B73:B84,"Yenileme")+SUMIFS(K90:K101,A90:A101,"Hosting",B90:B101,"Yenileme")+SUMIFS(K114:K123,A114:A123,"Hosting",B114:B123,"Yenileme")+SUMIFS(K129:K138,A129:A138,"Hosting",B129:B138,"Yenileme")+SUMIFS(K144:K145,A144:A145,"Hosting",B144:B145,"Yenileme")</f>
        <v>5149.9671199999993</v>
      </c>
      <c r="L160" s="295">
        <f>SUMIFS(L5:L15,A5:A15,"Hosting",B5:B15,"Yenileme")+SUMIFS(L21:L32,A21:A32,"Hosting",B21:B32,"Yenileme")+SUMIFS(L38:L51,A38:A51,"Hosting",B38:B51,"Yenileme")+SUMIFS(L57:L67,A57:A67,"Hosting",B57:B67,"Yenileme")+SUMIFS(L73:L84,A73:A84,"Hosting",B73:B84,"Yenileme")+SUMIFS(L90:L101,A90:A101,"Hosting",B90:B101,"Yenileme")+SUMIFS(L114:L123,A114:A123,"Hosting",B114:B123,"Yenileme")+SUMIFS(L129:L138,A129:A138,"Hosting",B129:B138,"Yenileme")+SUMIFS(L144:L145,A144:A145,"Hosting",B144:B145,"Yenileme")</f>
        <v>6035.1177187499989</v>
      </c>
      <c r="M160" s="295">
        <f>SUMIFS(M5:M15,A5:A15,"Hosting",B5:B15,"Yenileme")+SUMIFS(M21:M32,A21:A32,"Hosting",B21:B32,"Yenileme")+SUMIFS(M38:M51,A38:A51,"Hosting",B38:B51,"Yenileme")+SUMIFS(M57:M67,A57:A67,"Hosting",B57:B67,"Yenileme")+SUMIFS(M73:M84,A73:A84,"Hosting",B73:B84,"Yenileme")+SUMIFS(M90:M101,A90:A101,"Hosting",B90:B101,"Yenileme")+SUMIFS(M114:M123,A114:A123,"Hosting",B114:B123,"Yenileme")+SUMIFS(M129:M138,A129:A138,"Hosting",B129:B138,"Yenileme")+SUMIFS(M144:M145,A144:A145,"Hosting",B144:B145,"Yenileme")</f>
        <v>6115.5859549999996</v>
      </c>
      <c r="N160" s="295">
        <f>SUMIFS(N5:N15,A5:A15,"Hosting",B5:B15,"Yenileme")+SUMIFS(N21:N32,A21:A32,"Hosting",B21:B32,"Yenileme")+SUMIFS(N38:N51,A38:A51,"Hosting",B38:B51,"Yenileme")+SUMIFS(N57:N67,A57:A67,"Hosting",B57:B67,"Yenileme")+SUMIFS(N73:N84,A73:A84,"Hosting",B73:B84,"Yenileme")+SUMIFS(N90:N101,A90:A101,"Hosting",B90:B101,"Yenileme")+SUMIFS(N114:N123,A114:A123,"Hosting",B114:B123,"Yenileme")+SUMIFS(N129:N138,A129:A138,"Hosting",B129:B138,"Yenileme")+SUMIFS(N144:N145,A144:A145,"Hosting",B144:B145,"Yenileme")</f>
        <v>6960.5024356250005</v>
      </c>
      <c r="O160" s="299">
        <f t="shared" si="94"/>
        <v>64374.589</v>
      </c>
      <c r="Q160" s="277" t="str">
        <f t="shared" si="93"/>
        <v>Hosting</v>
      </c>
      <c r="R160" s="278" t="str">
        <f t="shared" si="95"/>
        <v>Yenileme</v>
      </c>
      <c r="S160" s="279">
        <f t="shared" si="96"/>
        <v>14403.81428875</v>
      </c>
      <c r="T160" s="279">
        <f t="shared" si="97"/>
        <v>16013.179013749999</v>
      </c>
      <c r="U160" s="279">
        <f t="shared" si="98"/>
        <v>14846.389588124999</v>
      </c>
      <c r="V160" s="279">
        <f t="shared" si="99"/>
        <v>19111.206109374998</v>
      </c>
      <c r="W160" s="279">
        <f t="shared" si="100"/>
        <v>64374.588999999993</v>
      </c>
    </row>
    <row r="161" spans="1:23" s="269" customFormat="1" ht="16" hidden="1" customHeight="1" outlineLevel="1" x14ac:dyDescent="0.2">
      <c r="A161" s="293" t="s">
        <v>69</v>
      </c>
      <c r="B161" s="294" t="s">
        <v>26</v>
      </c>
      <c r="C161" s="295">
        <f>SUMIFS(C5:C15,A5:A15,"ServiceCore",B5:B15,"Yeni Satış")+SUMIFS(C21:C32,A21:A32,"ServiceCore",B21:B32,"Yeni Satış")+SUMIFS(C38:C51,A38:A51,"ServiceCore",B38:B51,"Yeni Satış")+SUMIFS(C57:C67,A57:A67,"ServiceCore",B57:B67,"Yeni Satış")+SUMIFS(C73:C84,A73:A84,"ServiceCore",B73:B84,"Yeni Satış")+SUMIFS(C90:C101,A90:A101,"ServiceCore",B90:B101,"Yeni Satış")+SUMIFS(C114:C123,A114:A123,"ServiceCore",B114:B123,"Yeni Satış")+SUMIFS(C129:C138,A129:A138,"ServiceCore",B129:B138,"Yeni Satış")+SUMIFS(C144:C145,A144:A145,"ServiceCore",B144:B145,"Yeni Satış")</f>
        <v>1798.8635700000004</v>
      </c>
      <c r="D161" s="295">
        <f>SUMIFS(D5:D15,A5:A15,"ServiceCore",B5:B15,"Yeni Satış")+SUMIFS(D21:D32,A21:A32,"ServiceCore",B21:B32,"Yeni Satış")+SUMIFS(D38:D51,A38:A51,"ServiceCore",B38:B51,"Yeni Satış")+SUMIFS(D57:D67,A57:A67,"ServiceCore",B57:B67,"Yeni Satış")+SUMIFS(D73:D84,A73:A84,"ServiceCore",B73:B84,"Yeni Satış")+SUMIFS(D90:D101,A90:A101,"ServiceCore",B90:B101,"Yeni Satış")+SUMIFS(D114:D123,A114:A123,"ServiceCore",B114:B123,"Yeni Satış")+SUMIFS(D129:D138,A129:A138,"ServiceCore",B129:B138,"Yeni Satış")+SUMIFS(D144:D145,A144:A145,"ServiceCore",B144:B145,"Yeni Satış")</f>
        <v>1798.8635700000004</v>
      </c>
      <c r="E161" s="295">
        <f>SUMIFS(E5:E15,A5:A15,"ServiceCore",B5:B15,"Yeni Satış")+SUMIFS(E21:E32,A21:A32,"ServiceCore",B21:B32,"Yeni Satış")+SUMIFS(E38:E51,A38:A51,"ServiceCore",B38:B51,"Yeni Satış")+SUMIFS(E57:E67,A57:A67,"ServiceCore",B57:B67,"Yeni Satış")+SUMIFS(E73:E84,A73:A84,"ServiceCore",B73:B84,"Yeni Satış")+SUMIFS(E90:E101,A90:A101,"ServiceCore",B90:B101,"Yeni Satış")+SUMIFS(E114:E123,A114:A123,"ServiceCore",B114:B123,"Yeni Satış")+SUMIFS(E129:E138,A129:A138,"ServiceCore",B129:B138,"Yeni Satış")+SUMIFS(E144:E145,A144:A145,"ServiceCore",B144:B145,"Yeni Satış")</f>
        <v>2051.3356500000004</v>
      </c>
      <c r="F161" s="295">
        <f>SUMIFS(F5:F15,A5:A15,"ServiceCore",B5:B15,"Yeni Satış")+SUMIFS(F21:F32,A21:A32,"ServiceCore",B21:B32,"Yeni Satış")+SUMIFS(F38:F51,A38:A51,"ServiceCore",B38:B51,"Yeni Satış")+SUMIFS(F57:F67,A57:A67,"ServiceCore",B57:B67,"Yeni Satış")+SUMIFS(F73:F84,A73:A84,"ServiceCore",B73:B84,"Yeni Satış")+SUMIFS(F90:F101,A90:A101,"ServiceCore",B90:B101,"Yeni Satış")+SUMIFS(F114:F123,A114:A123,"ServiceCore",B114:B123,"Yeni Satış")+SUMIFS(F129:F138,A129:A138,"ServiceCore",B129:B138,"Yeni Satış")+SUMIFS(F144:F145,A144:A145,"ServiceCore",B144:B145,"Yeni Satış")</f>
        <v>2003.9971350000003</v>
      </c>
      <c r="G161" s="295">
        <f>SUMIFS(G5:G15,A5:A15,"ServiceCore",B5:B15,"Yeni Satış")+SUMIFS(G21:G32,A21:A32,"ServiceCore",B21:B32,"Yeni Satış")+SUMIFS(G38:G51,A38:A51,"ServiceCore",B38:B51,"Yeni Satış")+SUMIFS(G57:G67,A57:A67,"ServiceCore",B57:B67,"Yeni Satış")+SUMIFS(G73:G84,A73:A84,"ServiceCore",B73:B84,"Yeni Satış")+SUMIFS(G90:G101,A90:A101,"ServiceCore",B90:B101,"Yeni Satış")+SUMIFS(G114:G123,A114:A123,"ServiceCore",B114:B123,"Yeni Satış")+SUMIFS(G129:G138,A129:A138,"ServiceCore",B129:B138,"Yeni Satış")+SUMIFS(G144:G145,A144:A145,"ServiceCore",B144:B145,"Yeni Satış")</f>
        <v>2003.9971350000003</v>
      </c>
      <c r="H161" s="295">
        <f>SUMIFS(H5:H15,A5:A15,"ServiceCore",B5:B15,"Yeni Satış")+SUMIFS(H21:H32,A21:A32,"ServiceCore",B21:B32,"Yeni Satış")+SUMIFS(H38:H51,A38:A51,"ServiceCore",B38:B51,"Yeni Satış")+SUMIFS(H57:H67,A57:A67,"ServiceCore",B57:B67,"Yeni Satış")+SUMIFS(H73:H84,A73:A84,"ServiceCore",B73:B84,"Yeni Satış")+SUMIFS(H90:H101,A90:A101,"ServiceCore",B90:B101,"Yeni Satış")+SUMIFS(H114:H123,A114:A123,"ServiceCore",B114:B123,"Yeni Satış")+SUMIFS(H129:H138,A129:A138,"ServiceCore",B129:B138,"Yeni Satış")+SUMIFS(H144:H145,A144:A145,"ServiceCore",B144:B145,"Yeni Satış")</f>
        <v>2272.2487199999996</v>
      </c>
      <c r="I161" s="295">
        <f>SUMIFS(I5:I15,A5:A15,"ServiceCore",B5:B15,"Yeni Satış")+SUMIFS(I21:I32,A21:A32,"ServiceCore",B21:B32,"Yeni Satış")+SUMIFS(I38:I51,A38:A51,"ServiceCore",B38:B51,"Yeni Satış")+SUMIFS(I57:I67,A57:A67,"ServiceCore",B57:B67,"Yeni Satış")+SUMIFS(I73:I84,A73:A84,"ServiceCore",B73:B84,"Yeni Satış")+SUMIFS(I90:I101,A90:A101,"ServiceCore",B90:B101,"Yeni Satış")+SUMIFS(I114:I123,A114:A123,"ServiceCore",B114:B123,"Yeni Satış")+SUMIFS(I129:I138,A129:A138,"ServiceCore",B129:B138,"Yeni Satış")+SUMIFS(I144:I145,A144:A145,"ServiceCore",B144:B145,"Yeni Satış")</f>
        <v>1893.5406</v>
      </c>
      <c r="J161" s="295">
        <f>SUMIFS(J5:J15,A5:A15,"ServiceCore",B5:B15,"Yeni Satış")+SUMIFS(J21:J32,A21:A32,"ServiceCore",B21:B32,"Yeni Satış")+SUMIFS(J38:J51,A38:A51,"ServiceCore",B38:B51,"Yeni Satış")+SUMIFS(J57:J67,A57:A67,"ServiceCore",B57:B67,"Yeni Satış")+SUMIFS(J73:J84,A73:A84,"ServiceCore",B73:B84,"Yeni Satış")+SUMIFS(J90:J101,A90:A101,"ServiceCore",B90:B101,"Yeni Satış")+SUMIFS(J114:J123,A114:A123,"ServiceCore",B114:B123,"Yeni Satış")+SUMIFS(J129:J138,A129:A138,"ServiceCore",B129:B138,"Yeni Satış")+SUMIFS(J144:J145,A144:A145,"ServiceCore",B144:B145,"Yeni Satış")</f>
        <v>1909.320105</v>
      </c>
      <c r="K161" s="295">
        <f>SUMIFS(K5:K15,A5:A15,"ServiceCore",B5:B15,"Yeni Satış")+SUMIFS(K21:K32,A21:A32,"ServiceCore",B21:B32,"Yeni Satış")+SUMIFS(K38:K51,A38:A51,"ServiceCore",B38:B51,"Yeni Satış")+SUMIFS(K57:K67,A57:A67,"ServiceCore",B57:B67,"Yeni Satış")+SUMIFS(K73:K84,A73:A84,"ServiceCore",B73:B84,"Yeni Satış")+SUMIFS(K90:K101,A90:A101,"ServiceCore",B90:B101,"Yeni Satış")+SUMIFS(K114:K123,A114:A123,"ServiceCore",B114:B123,"Yeni Satış")+SUMIFS(K129:K138,A129:A138,"ServiceCore",B129:B138,"Yeni Satış")+SUMIFS(K144:K145,A144:A145,"ServiceCore",B144:B145,"Yeni Satış")</f>
        <v>2019.7766400000003</v>
      </c>
      <c r="L161" s="295">
        <f>SUMIFS(L5:L15,A5:A15,"ServiceCore",B5:B15,"Yeni Satış")+SUMIFS(L21:L32,A21:A32,"ServiceCore",B21:B32,"Yeni Satış")+SUMIFS(L38:L51,A38:A51,"ServiceCore",B38:B51,"Yeni Satış")+SUMIFS(L57:L67,A57:A67,"ServiceCore",B57:B67,"Yeni Satış")+SUMIFS(L73:L84,A73:A84,"ServiceCore",B73:B84,"Yeni Satış")+SUMIFS(L90:L101,A90:A101,"ServiceCore",B90:B101,"Yeni Satış")+SUMIFS(L114:L123,A114:A123,"ServiceCore",B114:B123,"Yeni Satış")+SUMIFS(L129:L138,A129:A138,"ServiceCore",B129:B138,"Yeni Satış")+SUMIFS(L144:L145,A144:A145,"ServiceCore",B144:B145,"Yeni Satış")</f>
        <v>2366.9257499999999</v>
      </c>
      <c r="M161" s="295">
        <f>SUMIFS(M5:M15,A5:A15,"ServiceCore",B5:B15,"Yeni Satış")+SUMIFS(M21:M32,A21:A32,"ServiceCore",B21:B32,"Yeni Satış")+SUMIFS(M38:M51,A38:A51,"ServiceCore",B38:B51,"Yeni Satış")+SUMIFS(M57:M67,A57:A67,"ServiceCore",B57:B67,"Yeni Satış")+SUMIFS(M73:M84,A73:A84,"ServiceCore",B73:B84,"Yeni Satış")+SUMIFS(M90:M101,A90:A101,"ServiceCore",B90:B101,"Yeni Satış")+SUMIFS(M114:M123,A114:A123,"ServiceCore",B114:B123,"Yeni Satış")+SUMIFS(M129:M138,A129:A138,"ServiceCore",B129:B138,"Yeni Satış")+SUMIFS(M144:M145,A144:A145,"ServiceCore",B144:B145,"Yeni Satış")</f>
        <v>2398.4847599999998</v>
      </c>
      <c r="N161" s="295">
        <f>SUMIFS(N5:N15,A5:A15,"ServiceCore",B5:B15,"Yeni Satış")+SUMIFS(N21:N32,A21:A32,"ServiceCore",B21:B32,"Yeni Satış")+SUMIFS(N38:N51,A38:A51,"ServiceCore",B38:B51,"Yeni Satış")+SUMIFS(N57:N67,A57:A67,"ServiceCore",B57:B67,"Yeni Satış")+SUMIFS(N73:N84,A73:A84,"ServiceCore",B73:B84,"Yeni Satış")+SUMIFS(N90:N101,A90:A101,"ServiceCore",B90:B101,"Yeni Satış")+SUMIFS(N114:N123,A114:A123,"ServiceCore",B114:B123,"Yeni Satış")+SUMIFS(N129:N138,A129:A138,"ServiceCore",B129:B138,"Yeni Satış")+SUMIFS(N144:N145,A144:A145,"ServiceCore",B144:B145,"Yeni Satış")</f>
        <v>2729.8543650000001</v>
      </c>
      <c r="O161" s="299">
        <f t="shared" si="94"/>
        <v>25247.208000000002</v>
      </c>
      <c r="Q161" s="277" t="str">
        <f t="shared" si="93"/>
        <v>ServiceCore</v>
      </c>
      <c r="R161" s="278" t="str">
        <f t="shared" si="95"/>
        <v>Yeni Satış</v>
      </c>
      <c r="S161" s="279">
        <f t="shared" si="96"/>
        <v>5649.0627900000018</v>
      </c>
      <c r="T161" s="279">
        <f t="shared" si="97"/>
        <v>6280.2429900000006</v>
      </c>
      <c r="U161" s="279">
        <f t="shared" si="98"/>
        <v>5822.6373450000001</v>
      </c>
      <c r="V161" s="279">
        <f t="shared" si="99"/>
        <v>7495.2648749999998</v>
      </c>
      <c r="W161" s="279">
        <f t="shared" si="100"/>
        <v>25247.208000000002</v>
      </c>
    </row>
    <row r="162" spans="1:23" s="269" customFormat="1" ht="16" hidden="1" customHeight="1" outlineLevel="1" x14ac:dyDescent="0.2">
      <c r="A162" s="293" t="s">
        <v>69</v>
      </c>
      <c r="B162" s="294" t="s">
        <v>28</v>
      </c>
      <c r="C162" s="295">
        <f>SUMIFS(C5:C15,A5:A15,"ServiceCore",B5:B15,"Yenileme")+SUMIFS(C21:C32,A21:A32,"ServiceCore",B21:B32,"Yenileme")+SUMIFS(C38:C51,A38:A51,"ServiceCore",B38:B51,"Yenileme")+SUMIFS(C57:C67,A57:A67,"ServiceCore",B57:B67,"Yenileme")+SUMIFS(C73:C84,A73:A84,"ServiceCore",B73:B84,"Yenileme")+SUMIFS(C90:C101,A90:A101,"ServiceCore",B90:B101,"Yenileme")+SUMIFS(C114:C123,A114:A123,"ServiceCore",B114:B123,"Yenileme")+SUMIFS(C129:C138,A129:A138,"ServiceCore",B129:B138,"Yenileme")+SUMIFS(C144:C145,A144:A145,"ServiceCore",B144:B145,"Yenileme")</f>
        <v>25.861742531249984</v>
      </c>
      <c r="D162" s="295">
        <f>SUMIFS(D5:D15,A5:A15,"ServiceCore",B5:B15,"Yenileme")+SUMIFS(D21:D32,A21:A32,"ServiceCore",B21:B32,"Yenileme")+SUMIFS(D38:D51,A38:A51,"ServiceCore",B38:B51,"Yenileme")+SUMIFS(D57:D67,A57:A67,"ServiceCore",B57:B67,"Yenileme")+SUMIFS(D73:D84,A73:A84,"ServiceCore",B73:B84,"Yenileme")+SUMIFS(D90:D101,A90:A101,"ServiceCore",B90:B101,"Yenileme")+SUMIFS(D114:D123,A114:A123,"ServiceCore",B114:B123,"Yenileme")+SUMIFS(D129:D138,A129:A138,"ServiceCore",B129:B138,"Yenileme")+SUMIFS(D144:D145,A144:A145,"ServiceCore",B144:B145,"Yenileme")</f>
        <v>25.861742531249984</v>
      </c>
      <c r="E162" s="295">
        <f>SUMIFS(E5:E15,A5:A15,"ServiceCore",B5:B15,"Yenileme")+SUMIFS(E21:E32,A21:A32,"ServiceCore",B21:B32,"Yenileme")+SUMIFS(E38:E51,A38:A51,"ServiceCore",B38:B51,"Yenileme")+SUMIFS(E57:E67,A57:A67,"ServiceCore",B57:B67,"Yenileme")+SUMIFS(E73:E84,A73:A84,"ServiceCore",B73:B84,"Yenileme")+SUMIFS(E90:E101,A90:A101,"ServiceCore",B90:B101,"Yenileme")+SUMIFS(E114:E123,A114:A123,"ServiceCore",B114:B123,"Yenileme")+SUMIFS(E129:E138,A129:A138,"ServiceCore",B129:B138,"Yenileme")+SUMIFS(E144:E145,A144:A145,"ServiceCore",B144:B145,"Yenileme")</f>
        <v>29.49146078124998</v>
      </c>
      <c r="F162" s="295">
        <f>SUMIFS(F5:F15,A5:A15,"ServiceCore",B5:B15,"Yenileme")+SUMIFS(F21:F32,A21:A32,"ServiceCore",B21:B32,"Yenileme")+SUMIFS(F38:F51,A38:A51,"ServiceCore",B38:B51,"Yenileme")+SUMIFS(F57:F67,A57:A67,"ServiceCore",B57:B67,"Yenileme")+SUMIFS(F73:F84,A73:A84,"ServiceCore",B73:B84,"Yenileme")+SUMIFS(F90:F101,A90:A101,"ServiceCore",B90:B101,"Yenileme")+SUMIFS(F114:F123,A114:A123,"ServiceCore",B114:B123,"Yenileme")+SUMIFS(F129:F138,A129:A138,"ServiceCore",B129:B138,"Yenileme")+SUMIFS(F144:F145,A144:A145,"ServiceCore",B144:B145,"Yenileme")</f>
        <v>28.810888609374981</v>
      </c>
      <c r="G162" s="295">
        <f>SUMIFS(G5:G15,A5:A15,"ServiceCore",B5:B15,"Yenileme")+SUMIFS(G21:G32,A21:A32,"ServiceCore",B21:B32,"Yenileme")+SUMIFS(G38:G51,A38:A51,"ServiceCore",B38:B51,"Yenileme")+SUMIFS(G57:G67,A57:A67,"ServiceCore",B57:B67,"Yenileme")+SUMIFS(G73:G84,A73:A84,"ServiceCore",B73:B84,"Yenileme")+SUMIFS(G90:G101,A90:A101,"ServiceCore",B90:B101,"Yenileme")+SUMIFS(G114:G123,A114:A123,"ServiceCore",B114:B123,"Yenileme")+SUMIFS(G129:G138,A129:A138,"ServiceCore",B129:B138,"Yenileme")+SUMIFS(G144:G145,A144:A145,"ServiceCore",B144:B145,"Yenileme")</f>
        <v>28.810888609374981</v>
      </c>
      <c r="H162" s="295">
        <f>SUMIFS(H5:H15,A5:A15,"ServiceCore",B5:B15,"Yenileme")+SUMIFS(H21:H32,A21:A32,"ServiceCore",B21:B32,"Yenileme")+SUMIFS(H38:H51,A38:A51,"ServiceCore",B38:B51,"Yenileme")+SUMIFS(H57:H67,A57:A67,"ServiceCore",B57:B67,"Yenileme")+SUMIFS(H73:H84,A73:A84,"ServiceCore",B73:B84,"Yenileme")+SUMIFS(H90:H101,A90:A101,"ServiceCore",B90:B101,"Yenileme")+SUMIFS(H114:H123,A114:A123,"ServiceCore",B114:B123,"Yenileme")+SUMIFS(H129:H138,A129:A138,"ServiceCore",B129:B138,"Yenileme")+SUMIFS(H144:H145,A144:A145,"ServiceCore",B144:B145,"Yenileme")</f>
        <v>32.667464249999973</v>
      </c>
      <c r="I162" s="295">
        <f>SUMIFS(I5:I15,A5:A15,"ServiceCore",B5:B15,"Yenileme")+SUMIFS(I21:I32,A21:A32,"ServiceCore",B21:B32,"Yenileme")+SUMIFS(I38:I51,A38:A51,"ServiceCore",B38:B51,"Yenileme")+SUMIFS(I57:I67,A57:A67,"ServiceCore",B57:B67,"Yenileme")+SUMIFS(I73:I84,A73:A84,"ServiceCore",B73:B84,"Yenileme")+SUMIFS(I90:I101,A90:A101,"ServiceCore",B90:B101,"Yenileme")+SUMIFS(I114:I123,A114:A123,"ServiceCore",B114:B123,"Yenileme")+SUMIFS(I129:I138,A129:A138,"ServiceCore",B129:B138,"Yenileme")+SUMIFS(I144:I145,A144:A145,"ServiceCore",B144:B145,"Yenileme")</f>
        <v>27.222886874999979</v>
      </c>
      <c r="J162" s="295">
        <f>SUMIFS(J5:J15,A5:A15,"ServiceCore",B5:B15,"Yenileme")+SUMIFS(J21:J32,A21:A32,"ServiceCore",B21:B32,"Yenileme")+SUMIFS(J38:J51,A38:A51,"ServiceCore",B38:B51,"Yenileme")+SUMIFS(J57:J67,A57:A67,"ServiceCore",B57:B67,"Yenileme")+SUMIFS(J73:J84,A73:A84,"ServiceCore",B73:B84,"Yenileme")+SUMIFS(J90:J101,A90:A101,"ServiceCore",B90:B101,"Yenileme")+SUMIFS(J114:J123,A114:A123,"ServiceCore",B114:B123,"Yenileme")+SUMIFS(J129:J138,A129:A138,"ServiceCore",B129:B138,"Yenileme")+SUMIFS(J144:J145,A144:A145,"ServiceCore",B144:B145,"Yenileme")</f>
        <v>27.449744265624979</v>
      </c>
      <c r="K162" s="295">
        <f>SUMIFS(K5:K15,A5:A15,"ServiceCore",B5:B15,"Yenileme")+SUMIFS(K21:K32,A21:A32,"ServiceCore",B21:B32,"Yenileme")+SUMIFS(K38:K51,A38:A51,"ServiceCore",B38:B51,"Yenileme")+SUMIFS(K57:K67,A57:A67,"ServiceCore",B57:B67,"Yenileme")+SUMIFS(K73:K84,A73:A84,"ServiceCore",B73:B84,"Yenileme")+SUMIFS(K90:K101,A90:A101,"ServiceCore",B90:B101,"Yenileme")+SUMIFS(K114:K123,A114:A123,"ServiceCore",B114:B123,"Yenileme")+SUMIFS(K129:K138,A129:A138,"ServiceCore",B129:B138,"Yenileme")+SUMIFS(K144:K145,A144:A145,"ServiceCore",B144:B145,"Yenileme")</f>
        <v>29.037745999999981</v>
      </c>
      <c r="L162" s="295">
        <f>SUMIFS(L5:L15,A5:A15,"ServiceCore",B5:B15,"Yenileme")+SUMIFS(L21:L32,A21:A32,"ServiceCore",B21:B32,"Yenileme")+SUMIFS(L38:L51,A38:A51,"ServiceCore",B38:B51,"Yenileme")+SUMIFS(L57:L67,A57:A67,"ServiceCore",B57:B67,"Yenileme")+SUMIFS(L73:L84,A73:A84,"ServiceCore",B73:B84,"Yenileme")+SUMIFS(L90:L101,A90:A101,"ServiceCore",B90:B101,"Yenileme")+SUMIFS(L114:L123,A114:A123,"ServiceCore",B114:B123,"Yenileme")+SUMIFS(L129:L138,A129:A138,"ServiceCore",B129:B138,"Yenileme")+SUMIFS(L144:L145,A144:A145,"ServiceCore",B144:B145,"Yenileme")</f>
        <v>34.028608593749972</v>
      </c>
      <c r="M162" s="295">
        <f>SUMIFS(M5:M15,A5:A15,"ServiceCore",B5:B15,"Yenileme")+SUMIFS(M21:M32,A21:A32,"ServiceCore",B21:B32,"Yenileme")+SUMIFS(M38:M51,A38:A51,"ServiceCore",B38:B51,"Yenileme")+SUMIFS(M57:M67,A57:A67,"ServiceCore",B57:B67,"Yenileme")+SUMIFS(M73:M84,A73:A84,"ServiceCore",B73:B84,"Yenileme")+SUMIFS(M90:M101,A90:A101,"ServiceCore",B90:B101,"Yenileme")+SUMIFS(M114:M123,A114:A123,"ServiceCore",B114:B123,"Yenileme")+SUMIFS(M129:M138,A129:A138,"ServiceCore",B129:B138,"Yenileme")+SUMIFS(M144:M145,A144:A145,"ServiceCore",B144:B145,"Yenileme")</f>
        <v>34.482323374999972</v>
      </c>
      <c r="N162" s="295">
        <f>SUMIFS(N5:N15,A5:A15,"ServiceCore",B5:B15,"Yenileme")+SUMIFS(N21:N32,A21:A32,"ServiceCore",B21:B32,"Yenileme")+SUMIFS(N38:N51,A38:A51,"ServiceCore",B38:B51,"Yenileme")+SUMIFS(N57:N67,A57:A67,"ServiceCore",B57:B67,"Yenileme")+SUMIFS(N73:N84,A73:A84,"ServiceCore",B73:B84,"Yenileme")+SUMIFS(N90:N101,A90:A101,"ServiceCore",B90:B101,"Yenileme")+SUMIFS(N114:N123,A114:A123,"ServiceCore",B114:B123,"Yenileme")+SUMIFS(N129:N138,A129:A138,"ServiceCore",B129:B138,"Yenileme")+SUMIFS(N144:N145,A144:A145,"ServiceCore",B144:B145,"Yenileme")</f>
        <v>39.246328578124974</v>
      </c>
      <c r="O162" s="299">
        <f t="shared" si="94"/>
        <v>362.97182499999974</v>
      </c>
      <c r="Q162" s="277" t="str">
        <f t="shared" si="93"/>
        <v>ServiceCore</v>
      </c>
      <c r="R162" s="278" t="str">
        <f t="shared" si="95"/>
        <v>Yenileme</v>
      </c>
      <c r="S162" s="279">
        <f t="shared" si="96"/>
        <v>81.214945843749945</v>
      </c>
      <c r="T162" s="279">
        <f t="shared" si="97"/>
        <v>90.289241468749935</v>
      </c>
      <c r="U162" s="279">
        <f t="shared" si="98"/>
        <v>83.710377140624942</v>
      </c>
      <c r="V162" s="279">
        <f t="shared" si="99"/>
        <v>107.75726054687492</v>
      </c>
      <c r="W162" s="279">
        <f t="shared" si="100"/>
        <v>362.97182499999974</v>
      </c>
    </row>
    <row r="163" spans="1:23" s="269" customFormat="1" ht="16" hidden="1" customHeight="1" outlineLevel="1" x14ac:dyDescent="0.2">
      <c r="A163" s="293" t="s">
        <v>35</v>
      </c>
      <c r="B163" s="294" t="s">
        <v>26</v>
      </c>
      <c r="C163" s="295">
        <f>SUMIFS(C5:C15,A5:A15,"BFH",B5:B15,"Yeni Satış")+SUMIFS(C21:C32,A21:A32,"BFH",B21:B32,"Yeni Satış")+SUMIFS(C38:C51,A38:A51,"BFH",B38:B51,"Yeni Satış")+SUMIFS(C57:C67,A57:A67,"BFH",B57:B67,"Yeni Satış")+SUMIFS(C73:C84,A73:A84,"BFH",B73:B84,"Yeni Satış")+SUMIFS(C90:C101,A90:A101,"BFH",B90:B101,"Yeni Satış")+SUMIFS(C114:C123,A114:A123,"BFH",B114:B123,"Yeni Satış")+SUMIFS(C129:C138,A129:A138,"BFH",B129:B138,"Yeni Satış")+SUMIFS(C144:C145,A144:A145,"BFH",B144:B145,"Yeni Satış")</f>
        <v>1171.0650000000003</v>
      </c>
      <c r="D163" s="295">
        <f>SUMIFS(D5:D15,A5:A15,"BFH",B5:B15,"Yeni Satış")+SUMIFS(D21:D32,A21:A32,"BFH",B21:B32,"Yeni Satış")+SUMIFS(D38:D51,A38:A51,"BFH",B38:B51,"Yeni Satış")+SUMIFS(D57:D67,A57:A67,"BFH",B57:B67,"Yeni Satış")+SUMIFS(D73:D84,A73:A84,"BFH",B73:B84,"Yeni Satış")+SUMIFS(D90:D101,A90:A101,"BFH",B90:B101,"Yeni Satış")+SUMIFS(D114:D123,A114:A123,"BFH",B114:B123,"Yeni Satış")+SUMIFS(D129:D138,A129:A138,"BFH",B129:B138,"Yeni Satış")+SUMIFS(D144:D145,A144:A145,"BFH",B144:B145,"Yeni Satış")</f>
        <v>1171.0650000000003</v>
      </c>
      <c r="E163" s="295">
        <f>SUMIFS(E5:E15,A5:A15,"BFH",B5:B15,"Yeni Satış")+SUMIFS(E21:E32,A21:A32,"BFH",B21:B32,"Yeni Satış")+SUMIFS(E38:E51,A38:A51,"BFH",B38:B51,"Yeni Satış")+SUMIFS(E57:E67,A57:A67,"BFH",B57:B67,"Yeni Satış")+SUMIFS(E73:E84,A73:A84,"BFH",B73:B84,"Yeni Satış")+SUMIFS(E90:E101,A90:A101,"BFH",B90:B101,"Yeni Satış")+SUMIFS(E114:E123,A114:A123,"BFH",B114:B123,"Yeni Satış")+SUMIFS(E129:E138,A129:A138,"BFH",B129:B138,"Yeni Satış")+SUMIFS(E144:E145,A144:A145,"BFH",B144:B145,"Yeni Satış")</f>
        <v>1335.425</v>
      </c>
      <c r="F163" s="295">
        <f>SUMIFS(F5:F15,A5:A15,"BFH",B5:B15,"Yeni Satış")+SUMIFS(F21:F32,A21:A32,"BFH",B21:B32,"Yeni Satış")+SUMIFS(F38:F51,A38:A51,"BFH",B38:B51,"Yeni Satış")+SUMIFS(F57:F67,A57:A67,"BFH",B57:B67,"Yeni Satış")+SUMIFS(F73:F84,A73:A84,"BFH",B73:B84,"Yeni Satış")+SUMIFS(F90:F101,A90:A101,"BFH",B90:B101,"Yeni Satış")+SUMIFS(F114:F123,A114:A123,"BFH",B114:B123,"Yeni Satış")+SUMIFS(F129:F138,A129:A138,"BFH",B129:B138,"Yeni Satış")+SUMIFS(F144:F145,A144:A145,"BFH",B144:B145,"Yeni Satış")</f>
        <v>1304.6075000000001</v>
      </c>
      <c r="G163" s="295">
        <f>SUMIFS(G5:G15,A5:A15,"BFH",B5:B15,"Yeni Satış")+SUMIFS(G21:G32,A21:A32,"BFH",B21:B32,"Yeni Satış")+SUMIFS(G38:G51,A38:A51,"BFH",B38:B51,"Yeni Satış")+SUMIFS(G57:G67,A57:A67,"BFH",B57:B67,"Yeni Satış")+SUMIFS(G73:G84,A73:A84,"BFH",B73:B84,"Yeni Satış")+SUMIFS(G90:G101,A90:A101,"BFH",B90:B101,"Yeni Satış")+SUMIFS(G114:G123,A114:A123,"BFH",B114:B123,"Yeni Satış")+SUMIFS(G129:G138,A129:A138,"BFH",B129:B138,"Yeni Satış")+SUMIFS(G144:G145,A144:A145,"BFH",B144:B145,"Yeni Satış")</f>
        <v>1304.6075000000001</v>
      </c>
      <c r="H163" s="295">
        <f>SUMIFS(H5:H15,A5:A15,"BFH",B5:B15,"Yeni Satış")+SUMIFS(H21:H32,A21:A32,"BFH",B21:B32,"Yeni Satış")+SUMIFS(H38:H51,A38:A51,"BFH",B38:B51,"Yeni Satış")+SUMIFS(H57:H67,A57:A67,"BFH",B57:B67,"Yeni Satış")+SUMIFS(H73:H84,A73:A84,"BFH",B73:B84,"Yeni Satış")+SUMIFS(H90:H101,A90:A101,"BFH",B90:B101,"Yeni Satış")+SUMIFS(H114:H123,A114:A123,"BFH",B114:B123,"Yeni Satış")+SUMIFS(H129:H138,A129:A138,"BFH",B129:B138,"Yeni Satış")+SUMIFS(H144:H145,A144:A145,"BFH",B144:B145,"Yeni Satış")</f>
        <v>1479.2399999999998</v>
      </c>
      <c r="I163" s="295">
        <f>SUMIFS(I5:I15,A5:A15,"BFH",B5:B15,"Yeni Satış")+SUMIFS(I21:I32,A21:A32,"BFH",B21:B32,"Yeni Satış")+SUMIFS(I38:I51,A38:A51,"BFH",B38:B51,"Yeni Satış")+SUMIFS(I57:I67,A57:A67,"BFH",B57:B67,"Yeni Satış")+SUMIFS(I73:I84,A73:A84,"BFH",B73:B84,"Yeni Satış")+SUMIFS(I90:I101,A90:A101,"BFH",B90:B101,"Yeni Satış")+SUMIFS(I114:I123,A114:A123,"BFH",B114:B123,"Yeni Satış")+SUMIFS(I129:I138,A129:A138,"BFH",B129:B138,"Yeni Satış")+SUMIFS(I144:I145,A144:A145,"BFH",B144:B145,"Yeni Satış")</f>
        <v>1232.7</v>
      </c>
      <c r="J163" s="295">
        <f>SUMIFS(J5:J15,A5:A15,"BFH",B5:B15,"Yeni Satış")+SUMIFS(J21:J32,A21:A32,"BFH",B21:B32,"Yeni Satış")+SUMIFS(J38:J51,A38:A51,"BFH",B38:B51,"Yeni Satış")+SUMIFS(J57:J67,A57:A67,"BFH",B57:B67,"Yeni Satış")+SUMIFS(J73:J84,A73:A84,"BFH",B73:B84,"Yeni Satış")+SUMIFS(J90:J101,A90:A101,"BFH",B90:B101,"Yeni Satış")+SUMIFS(J114:J123,A114:A123,"BFH",B114:B123,"Yeni Satış")+SUMIFS(J129:J138,A129:A138,"BFH",B129:B138,"Yeni Satış")+SUMIFS(J144:J145,A144:A145,"BFH",B144:B145,"Yeni Satış")</f>
        <v>1242.9725000000001</v>
      </c>
      <c r="K163" s="295">
        <f>SUMIFS(K5:K15,A5:A15,"BFH",B5:B15,"Yeni Satış")+SUMIFS(K21:K32,A21:A32,"BFH",B21:B32,"Yeni Satış")+SUMIFS(K38:K51,A38:A51,"BFH",B38:B51,"Yeni Satış")+SUMIFS(K57:K67,A57:A67,"BFH",B57:B67,"Yeni Satış")+SUMIFS(K73:K84,A73:A84,"BFH",B73:B84,"Yeni Satış")+SUMIFS(K90:K101,A90:A101,"BFH",B90:B101,"Yeni Satış")+SUMIFS(K114:K123,A114:A123,"BFH",B114:B123,"Yeni Satış")+SUMIFS(K129:K138,A129:A138,"BFH",B129:B138,"Yeni Satış")+SUMIFS(K144:K145,A144:A145,"BFH",B144:B145,"Yeni Satış")</f>
        <v>1314.88</v>
      </c>
      <c r="L163" s="295">
        <f>SUMIFS(L5:L15,A5:A15,"BFH",B5:B15,"Yeni Satış")+SUMIFS(L21:L32,A21:A32,"BFH",B21:B32,"Yeni Satış")+SUMIFS(L38:L51,A38:A51,"BFH",B38:B51,"Yeni Satış")+SUMIFS(L57:L67,A57:A67,"BFH",B57:B67,"Yeni Satış")+SUMIFS(L73:L84,A73:A84,"BFH",B73:B84,"Yeni Satış")+SUMIFS(L90:L101,A90:A101,"BFH",B90:B101,"Yeni Satış")+SUMIFS(L114:L123,A114:A123,"BFH",B114:B123,"Yeni Satış")+SUMIFS(L129:L138,A129:A138,"BFH",B129:B138,"Yeni Satış")+SUMIFS(L144:L145,A144:A145,"BFH",B144:B145,"Yeni Satış")</f>
        <v>1540.8749999999998</v>
      </c>
      <c r="M163" s="295">
        <f>SUMIFS(M5:M15,A5:A15,"BFH",B5:B15,"Yeni Satış")+SUMIFS(M21:M32,A21:A32,"BFH",B21:B32,"Yeni Satış")+SUMIFS(M38:M51,A38:A51,"BFH",B38:B51,"Yeni Satış")+SUMIFS(M57:M67,A57:A67,"BFH",B57:B67,"Yeni Satış")+SUMIFS(M73:M84,A73:A84,"BFH",B73:B84,"Yeni Satış")+SUMIFS(M90:M101,A90:A101,"BFH",B90:B101,"Yeni Satış")+SUMIFS(M114:M123,A114:A123,"BFH",B114:B123,"Yeni Satış")+SUMIFS(M129:M138,A129:A138,"BFH",B129:B138,"Yeni Satış")+SUMIFS(M144:M145,A144:A145,"BFH",B144:B145,"Yeni Satış")</f>
        <v>1561.4199999999998</v>
      </c>
      <c r="N163" s="295">
        <f>SUMIFS(N5:N15,A5:A15,"BFH",B5:B15,"Yeni Satış")+SUMIFS(N21:N32,A21:A32,"BFH",B21:B32,"Yeni Satış")+SUMIFS(N38:N51,A38:A51,"BFH",B38:B51,"Yeni Satış")+SUMIFS(N57:N67,A57:A67,"BFH",B57:B67,"Yeni Satış")+SUMIFS(N73:N84,A73:A84,"BFH",B73:B84,"Yeni Satış")+SUMIFS(N90:N101,A90:A101,"BFH",B90:B101,"Yeni Satış")+SUMIFS(N114:N123,A114:A123,"BFH",B114:B123,"Yeni Satış")+SUMIFS(N129:N138,A129:A138,"BFH",B129:B138,"Yeni Satış")+SUMIFS(N144:N145,A144:A145,"BFH",B144:B145,"Yeni Satış")</f>
        <v>1777.1424999999999</v>
      </c>
      <c r="O163" s="299">
        <f t="shared" si="94"/>
        <v>16436</v>
      </c>
      <c r="Q163" s="277" t="str">
        <f t="shared" si="93"/>
        <v>BFH</v>
      </c>
      <c r="R163" s="278" t="str">
        <f t="shared" si="95"/>
        <v>Yeni Satış</v>
      </c>
      <c r="S163" s="279">
        <f t="shared" si="96"/>
        <v>3677.5550000000003</v>
      </c>
      <c r="T163" s="279">
        <f t="shared" si="97"/>
        <v>4088.4549999999999</v>
      </c>
      <c r="U163" s="279">
        <f t="shared" si="98"/>
        <v>3790.5525000000002</v>
      </c>
      <c r="V163" s="279">
        <f t="shared" si="99"/>
        <v>4879.4375</v>
      </c>
      <c r="W163" s="279">
        <f t="shared" si="100"/>
        <v>16436</v>
      </c>
    </row>
    <row r="164" spans="1:23" s="269" customFormat="1" ht="16" hidden="1" customHeight="1" outlineLevel="1" x14ac:dyDescent="0.2">
      <c r="A164" s="293" t="s">
        <v>53</v>
      </c>
      <c r="B164" s="294" t="s">
        <v>26</v>
      </c>
      <c r="C164" s="295">
        <f>SUMIFS(C5:C15,A5:A15,"E-Dönüşüm",B5:B15,"Yeni Satış")+SUMIFS(C21:C32,A21:A32,"E-Dönüşüm",B21:B32,"Yeni Satış")+SUMIFS(C38:C51,A38:A51,"E-Dönüşüm",B38:B51,"Yeni Satış")+SUMIFS(C57:C67,A57:A67,"E-Dönüşüm",B57:B67,"Yeni Satış")+SUMIFS(C73:C84,A73:A84,"E-Dönüşüm",B73:B84,"Yeni Satış")+SUMIFS(C90:C101,A90:A101,"E-Dönüşüm",B90:B101,"Yeni Satış")+SUMIFS(C114:C123,A114:A123,"E-Dönüşüm",B114:B123,"Yeni Satış")+SUMIFS(C129:C138,A129:A138,"E-Dönüşüm",B129:B138,"Yeni Satış")+SUMIFS(C144:C145,A144:A145,"E-Dönüşüm",B144:B145,"Yeni Satış")</f>
        <v>7908.7500000000009</v>
      </c>
      <c r="D164" s="295">
        <f>SUMIFS(D5:D15,A5:A15,"E-Dönüşüm",B5:B15,"Yeni Satış")+SUMIFS(D21:D32,A21:A32,"E-Dönüşüm",B21:B32,"Yeni Satış")+SUMIFS(D38:D51,A38:A51,"E-Dönüşüm",B38:B51,"Yeni Satış")+SUMIFS(D57:D67,A57:A67,"E-Dönüşüm",B57:B67,"Yeni Satış")+SUMIFS(D73:D84,A73:A84,"E-Dönüşüm",B73:B84,"Yeni Satış")+SUMIFS(D90:D101,A90:A101,"E-Dönüşüm",B90:B101,"Yeni Satış")+SUMIFS(D114:D123,A114:A123,"E-Dönüşüm",B114:B123,"Yeni Satış")+SUMIFS(D129:D138,A129:A138,"E-Dönüşüm",B129:B138,"Yeni Satış")+SUMIFS(D144:D145,A144:A145,"E-Dönüşüm",B144:B145,"Yeni Satış")</f>
        <v>7908.7500000000009</v>
      </c>
      <c r="E164" s="295">
        <f>SUMIFS(E5:E15,A5:A15,"E-Dönüşüm",B5:B15,"Yeni Satış")+SUMIFS(E21:E32,A21:A32,"E-Dönüşüm",B21:B32,"Yeni Satış")+SUMIFS(E38:E51,A38:A51,"E-Dönüşüm",B38:B51,"Yeni Satış")+SUMIFS(E57:E67,A57:A67,"E-Dönüşüm",B57:B67,"Yeni Satış")+SUMIFS(E73:E84,A73:A84,"E-Dönüşüm",B73:B84,"Yeni Satış")+SUMIFS(E90:E101,A90:A101,"E-Dönüşüm",B90:B101,"Yeni Satış")+SUMIFS(E114:E123,A114:A123,"E-Dönüşüm",B114:B123,"Yeni Satış")+SUMIFS(E129:E138,A129:A138,"E-Dönüşüm",B129:B138,"Yeni Satış")+SUMIFS(E144:E145,A144:A145,"E-Dönüşüm",B144:B145,"Yeni Satış")</f>
        <v>9018.75</v>
      </c>
      <c r="F164" s="295">
        <f>SUMIFS(F5:F15,A5:A15,"E-Dönüşüm",B5:B15,"Yeni Satış")+SUMIFS(F21:F32,A21:A32,"E-Dönüşüm",B21:B32,"Yeni Satış")+SUMIFS(F38:F51,A38:A51,"E-Dönüşüm",B38:B51,"Yeni Satış")+SUMIFS(F57:F67,A57:A67,"E-Dönüşüm",B57:B67,"Yeni Satış")+SUMIFS(F73:F84,A73:A84,"E-Dönüşüm",B73:B84,"Yeni Satış")+SUMIFS(F90:F101,A90:A101,"E-Dönüşüm",B90:B101,"Yeni Satış")+SUMIFS(F114:F123,A114:A123,"E-Dönüşüm",B114:B123,"Yeni Satış")+SUMIFS(F129:F138,A129:A138,"E-Dönüşüm",B129:B138,"Yeni Satış")+SUMIFS(F144:F145,A144:A145,"E-Dönüşüm",B144:B145,"Yeni Satış")</f>
        <v>8810.625</v>
      </c>
      <c r="G164" s="295">
        <f>SUMIFS(G5:G15,A5:A15,"E-Dönüşüm",B5:B15,"Yeni Satış")+SUMIFS(G21:G32,A21:A32,"E-Dönüşüm",B21:B32,"Yeni Satış")+SUMIFS(G38:G51,A38:A51,"E-Dönüşüm",B38:B51,"Yeni Satış")+SUMIFS(G57:G67,A57:A67,"E-Dönüşüm",B57:B67,"Yeni Satış")+SUMIFS(G73:G84,A73:A84,"E-Dönüşüm",B73:B84,"Yeni Satış")+SUMIFS(G90:G101,A90:A101,"E-Dönüşüm",B90:B101,"Yeni Satış")+SUMIFS(G114:G123,A114:A123,"E-Dönüşüm",B114:B123,"Yeni Satış")+SUMIFS(G129:G138,A129:A138,"E-Dönüşüm",B129:B138,"Yeni Satış")+SUMIFS(G144:G145,A144:A145,"E-Dönüşüm",B144:B145,"Yeni Satış")</f>
        <v>8810.625</v>
      </c>
      <c r="H164" s="295">
        <f>SUMIFS(H5:H15,A5:A15,"E-Dönüşüm",B5:B15,"Yeni Satış")+SUMIFS(H21:H32,A21:A32,"E-Dönüşüm",B21:B32,"Yeni Satış")+SUMIFS(H38:H51,A38:A51,"E-Dönüşüm",B38:B51,"Yeni Satış")+SUMIFS(H57:H67,A57:A67,"E-Dönüşüm",B57:B67,"Yeni Satış")+SUMIFS(H73:H84,A73:A84,"E-Dönüşüm",B73:B84,"Yeni Satış")+SUMIFS(H90:H101,A90:A101,"E-Dönüşüm",B90:B101,"Yeni Satış")+SUMIFS(H114:H123,A114:A123,"E-Dönüşüm",B114:B123,"Yeni Satış")+SUMIFS(H129:H138,A129:A138,"E-Dönüşüm",B129:B138,"Yeni Satış")+SUMIFS(H144:H145,A144:A145,"E-Dönüşüm",B144:B145,"Yeni Satış")</f>
        <v>9989.9999999999982</v>
      </c>
      <c r="I164" s="295">
        <f>SUMIFS(I5:I15,A5:A15,"E-Dönüşüm",B5:B15,"Yeni Satış")+SUMIFS(I21:I32,A21:A32,"E-Dönüşüm",B21:B32,"Yeni Satış")+SUMIFS(I38:I51,A38:A51,"E-Dönüşüm",B38:B51,"Yeni Satış")+SUMIFS(I57:I67,A57:A67,"E-Dönüşüm",B57:B67,"Yeni Satış")+SUMIFS(I73:I84,A73:A84,"E-Dönüşüm",B73:B84,"Yeni Satış")+SUMIFS(I90:I101,A90:A101,"E-Dönüşüm",B90:B101,"Yeni Satış")+SUMIFS(I114:I123,A114:A123,"E-Dönüşüm",B114:B123,"Yeni Satış")+SUMIFS(I129:I138,A129:A138,"E-Dönüşüm",B129:B138,"Yeni Satış")+SUMIFS(I144:I145,A144:A145,"E-Dönüşüm",B144:B145,"Yeni Satış")</f>
        <v>8325</v>
      </c>
      <c r="J164" s="295">
        <f>SUMIFS(J5:J15,A5:A15,"E-Dönüşüm",B5:B15,"Yeni Satış")+SUMIFS(J21:J32,A21:A32,"E-Dönüşüm",B21:B32,"Yeni Satış")+SUMIFS(J38:J51,A38:A51,"E-Dönüşüm",B38:B51,"Yeni Satış")+SUMIFS(J57:J67,A57:A67,"E-Dönüşüm",B57:B67,"Yeni Satış")+SUMIFS(J73:J84,A73:A84,"E-Dönüşüm",B73:B84,"Yeni Satış")+SUMIFS(J90:J101,A90:A101,"E-Dönüşüm",B90:B101,"Yeni Satış")+SUMIFS(J114:J123,A114:A123,"E-Dönüşüm",B114:B123,"Yeni Satış")+SUMIFS(J129:J138,A129:A138,"E-Dönüşüm",B129:B138,"Yeni Satış")+SUMIFS(J144:J145,A144:A145,"E-Dönüşüm",B144:B145,"Yeni Satış")</f>
        <v>8394.375</v>
      </c>
      <c r="K164" s="295">
        <f>SUMIFS(K5:K15,A5:A15,"E-Dönüşüm",B5:B15,"Yeni Satış")+SUMIFS(K21:K32,A21:A32,"E-Dönüşüm",B21:B32,"Yeni Satış")+SUMIFS(K38:K51,A38:A51,"E-Dönüşüm",B38:B51,"Yeni Satış")+SUMIFS(K57:K67,A57:A67,"E-Dönüşüm",B57:B67,"Yeni Satış")+SUMIFS(K73:K84,A73:A84,"E-Dönüşüm",B73:B84,"Yeni Satış")+SUMIFS(K90:K101,A90:A101,"E-Dönüşüm",B90:B101,"Yeni Satış")+SUMIFS(K114:K123,A114:A123,"E-Dönüşüm",B114:B123,"Yeni Satış")+SUMIFS(K129:K138,A129:A138,"E-Dönüşüm",B129:B138,"Yeni Satış")+SUMIFS(K144:K145,A144:A145,"E-Dönüşüm",B144:B145,"Yeni Satış")</f>
        <v>8880</v>
      </c>
      <c r="L164" s="295">
        <f>SUMIFS(L5:L15,A5:A15,"E-Dönüşüm",B5:B15,"Yeni Satış")+SUMIFS(L21:L32,A21:A32,"E-Dönüşüm",B21:B32,"Yeni Satış")+SUMIFS(L38:L51,A38:A51,"E-Dönüşüm",B38:B51,"Yeni Satış")+SUMIFS(L57:L67,A57:A67,"E-Dönüşüm",B57:B67,"Yeni Satış")+SUMIFS(L73:L84,A73:A84,"E-Dönüşüm",B73:B84,"Yeni Satış")+SUMIFS(L90:L101,A90:A101,"E-Dönüşüm",B90:B101,"Yeni Satış")+SUMIFS(L114:L123,A114:A123,"E-Dönüşüm",B114:B123,"Yeni Satış")+SUMIFS(L129:L138,A129:A138,"E-Dönüşüm",B129:B138,"Yeni Satış")+SUMIFS(L144:L145,A144:A145,"E-Dönüşüm",B144:B145,"Yeni Satış")</f>
        <v>10406.249999999998</v>
      </c>
      <c r="M164" s="295">
        <f>SUMIFS(M5:M15,A5:A15,"E-Dönüşüm",B5:B15,"Yeni Satış")+SUMIFS(M21:M32,A21:A32,"E-Dönüşüm",B21:B32,"Yeni Satış")+SUMIFS(M38:M51,A38:A51,"E-Dönüşüm",B38:B51,"Yeni Satış")+SUMIFS(M57:M67,A57:A67,"E-Dönüşüm",B57:B67,"Yeni Satış")+SUMIFS(M73:M84,A73:A84,"E-Dönüşüm",B73:B84,"Yeni Satış")+SUMIFS(M90:M101,A90:A101,"E-Dönüşüm",B90:B101,"Yeni Satış")+SUMIFS(M114:M123,A114:A123,"E-Dönüşüm",B114:B123,"Yeni Satış")+SUMIFS(M129:M138,A129:A138,"E-Dönüşüm",B129:B138,"Yeni Satış")+SUMIFS(M144:M145,A144:A145,"E-Dönüşüm",B144:B145,"Yeni Satış")</f>
        <v>10544.999999999998</v>
      </c>
      <c r="N164" s="295">
        <f>SUMIFS(N5:N15,A5:A15,"E-Dönüşüm",B5:B15,"Yeni Satış")+SUMIFS(N21:N32,A21:A32,"E-Dönüşüm",B21:B32,"Yeni Satış")+SUMIFS(N38:N51,A38:A51,"E-Dönüşüm",B38:B51,"Yeni Satış")+SUMIFS(N57:N67,A57:A67,"E-Dönüşüm",B57:B67,"Yeni Satış")+SUMIFS(N73:N84,A73:A84,"E-Dönüşüm",B73:B84,"Yeni Satış")+SUMIFS(N90:N101,A90:A101,"E-Dönüşüm",B90:B101,"Yeni Satış")+SUMIFS(N114:N123,A114:A123,"E-Dönüşüm",B114:B123,"Yeni Satış")+SUMIFS(N129:N138,A129:A138,"E-Dönüşüm",B129:B138,"Yeni Satış")+SUMIFS(N144:N145,A144:A145,"E-Dönüşüm",B144:B145,"Yeni Satış")</f>
        <v>12001.875</v>
      </c>
      <c r="O164" s="299">
        <f t="shared" si="94"/>
        <v>111000</v>
      </c>
      <c r="Q164" s="277" t="str">
        <f t="shared" si="93"/>
        <v>E-Dönüşüm</v>
      </c>
      <c r="R164" s="278" t="str">
        <f t="shared" si="95"/>
        <v>Yeni Satış</v>
      </c>
      <c r="S164" s="279">
        <f t="shared" si="96"/>
        <v>24836.25</v>
      </c>
      <c r="T164" s="279">
        <f t="shared" si="97"/>
        <v>27611.25</v>
      </c>
      <c r="U164" s="279">
        <f t="shared" si="98"/>
        <v>25599.375</v>
      </c>
      <c r="V164" s="279">
        <f t="shared" si="99"/>
        <v>32953.125</v>
      </c>
      <c r="W164" s="279">
        <f t="shared" si="100"/>
        <v>111000</v>
      </c>
    </row>
    <row r="165" spans="1:23" s="269" customFormat="1" ht="16" hidden="1" customHeight="1" outlineLevel="1" x14ac:dyDescent="0.2">
      <c r="A165" s="293" t="s">
        <v>53</v>
      </c>
      <c r="B165" s="294" t="s">
        <v>28</v>
      </c>
      <c r="C165" s="295">
        <f>SUMIFS(C5:C15,A5:A15,"E-Dönüşüm",B5:B15,"Yenileme")+SUMIFS(C21:C32,A21:A32,"E-Dönüşüm",B21:B32,"Yenileme")+SUMIFS(C38:C51,A38:A51,"E-Dönüşüm",B38:B51,"Yenileme")+SUMIFS(C57:C67,A57:A67,"E-Dönüşüm",B57:B67,"Yenileme")+SUMIFS(C73:C84,A73:A84,"E-Dönüşüm",B73:B84,"Yenileme")+SUMIFS(C90:C101,A90:A101,"E-Dönüşüm",B90:B101,"Yenileme")+SUMIFS(C114:C123,A114:A123,"E-Dönüşüm",B114:B123,"Yenileme")+SUMIFS(C129:C138,A129:A138,"E-Dönüşüm",B129:B138,"Yenileme")+SUMIFS(C144:C145,A144:A145,"E-Dönüşüm",B144:B145,"Yenileme")</f>
        <v>2563.5316800000001</v>
      </c>
      <c r="D165" s="295">
        <f>SUMIFS(D5:D15,A5:A15,"E-Dönüşüm",B5:B15,"Yenileme")+SUMIFS(D21:D32,A21:A32,"E-Dönüşüm",B21:B32,"Yenileme")+SUMIFS(D38:D51,A38:A51,"E-Dönüşüm",B38:B51,"Yenileme")+SUMIFS(D57:D67,A57:A67,"E-Dönüşüm",B57:B67,"Yenileme")+SUMIFS(D73:D84,A73:A84,"E-Dönüşüm",B73:B84,"Yenileme")+SUMIFS(D90:D101,A90:A101,"E-Dönüşüm",B90:B101,"Yenileme")+SUMIFS(D114:D123,A114:A123,"E-Dönüşüm",B114:B123,"Yenileme")+SUMIFS(D129:D138,A129:A138,"E-Dönüşüm",B129:B138,"Yenileme")+SUMIFS(D144:D145,A144:A145,"E-Dönüşüm",B144:B145,"Yenileme")</f>
        <v>2563.5316800000001</v>
      </c>
      <c r="E165" s="295">
        <f>SUMIFS(E5:E15,A5:A15,"E-Dönüşüm",B5:B15,"Yenileme")+SUMIFS(E21:E32,A21:A32,"E-Dönüşüm",B21:B32,"Yenileme")+SUMIFS(E38:E51,A38:A51,"E-Dönüşüm",B38:B51,"Yenileme")+SUMIFS(E57:E67,A57:A67,"E-Dönüşüm",B57:B67,"Yenileme")+SUMIFS(E73:E84,A73:A84,"E-Dönüşüm",B73:B84,"Yenileme")+SUMIFS(E90:E101,A90:A101,"E-Dönüşüm",B90:B101,"Yenileme")+SUMIFS(E114:E123,A114:A123,"E-Dönüşüm",B114:B123,"Yenileme")+SUMIFS(E129:E138,A129:A138,"E-Dönüşüm",B129:B138,"Yenileme")+SUMIFS(E144:E145,A144:A145,"E-Dönüşüm",B144:B145,"Yenileme")</f>
        <v>2923.3256000000001</v>
      </c>
      <c r="F165" s="295">
        <f>SUMIFS(F5:F15,A5:A15,"E-Dönüşüm",B5:B15,"Yenileme")+SUMIFS(F21:F32,A21:A32,"E-Dönüşüm",B21:B32,"Yenileme")+SUMIFS(F38:F51,A38:A51,"E-Dönüşüm",B38:B51,"Yenileme")+SUMIFS(F57:F67,A57:A67,"E-Dönüşüm",B57:B67,"Yenileme")+SUMIFS(F73:F84,A73:A84,"E-Dönüşüm",B73:B84,"Yenileme")+SUMIFS(F90:F101,A90:A101,"E-Dönüşüm",B90:B101,"Yenileme")+SUMIFS(F114:F123,A114:A123,"E-Dönüşüm",B114:B123,"Yenileme")+SUMIFS(F129:F138,A129:A138,"E-Dönüşüm",B129:B138,"Yenileme")+SUMIFS(F144:F145,A144:A145,"E-Dönüşüm",B144:B145,"Yenileme")</f>
        <v>2855.8642399999999</v>
      </c>
      <c r="G165" s="295">
        <f>SUMIFS(G5:G15,A5:A15,"E-Dönüşüm",B5:B15,"Yenileme")+SUMIFS(G21:G32,A21:A32,"E-Dönüşüm",B21:B32,"Yenileme")+SUMIFS(G38:G51,A38:A51,"E-Dönüşüm",B38:B51,"Yenileme")+SUMIFS(G57:G67,A57:A67,"E-Dönüşüm",B57:B67,"Yenileme")+SUMIFS(G73:G84,A73:A84,"E-Dönüşüm",B73:B84,"Yenileme")+SUMIFS(G90:G101,A90:A101,"E-Dönüşüm",B90:B101,"Yenileme")+SUMIFS(G114:G123,A114:A123,"E-Dönüşüm",B114:B123,"Yenileme")+SUMIFS(G129:G138,A129:A138,"E-Dönüşüm",B129:B138,"Yenileme")+SUMIFS(G144:G145,A144:A145,"E-Dönüşüm",B144:B145,"Yenileme")</f>
        <v>2855.8642399999999</v>
      </c>
      <c r="H165" s="295">
        <f>SUMIFS(H5:H15,A5:A15,"E-Dönüşüm",B5:B15,"Yenileme")+SUMIFS(H21:H32,A21:A32,"E-Dönüşüm",B21:B32,"Yenileme")+SUMIFS(H38:H51,A38:A51,"E-Dönüşüm",B38:B51,"Yenileme")+SUMIFS(H57:H67,A57:A67,"E-Dönüşüm",B57:B67,"Yenileme")+SUMIFS(H73:H84,A73:A84,"E-Dönüşüm",B73:B84,"Yenileme")+SUMIFS(H90:H101,A90:A101,"E-Dönüşüm",B90:B101,"Yenileme")+SUMIFS(H114:H123,A114:A123,"E-Dönüşüm",B114:B123,"Yenileme")+SUMIFS(H129:H138,A129:A138,"E-Dönüşüm",B129:B138,"Yenileme")+SUMIFS(H144:H145,A144:A145,"E-Dönüşüm",B144:B145,"Yenileme")</f>
        <v>3238.1452799999993</v>
      </c>
      <c r="I165" s="295">
        <f>SUMIFS(I5:I15,A5:A15,"E-Dönüşüm",B5:B15,"Yenileme")+SUMIFS(I21:I32,A21:A32,"E-Dönüşüm",B21:B32,"Yenileme")+SUMIFS(I38:I51,A38:A51,"E-Dönüşüm",B38:B51,"Yenileme")+SUMIFS(I57:I67,A57:A67,"E-Dönüşüm",B57:B67,"Yenileme")+SUMIFS(I73:I84,A73:A84,"E-Dönüşüm",B73:B84,"Yenileme")+SUMIFS(I90:I101,A90:A101,"E-Dönüşüm",B90:B101,"Yenileme")+SUMIFS(I114:I123,A114:A123,"E-Dönüşüm",B114:B123,"Yenileme")+SUMIFS(I129:I138,A129:A138,"E-Dönüşüm",B129:B138,"Yenileme")+SUMIFS(I144:I145,A144:A145,"E-Dönüşüm",B144:B145,"Yenileme")</f>
        <v>2698.4544000000001</v>
      </c>
      <c r="J165" s="295">
        <f>SUMIFS(J5:J15,A5:A15,"E-Dönüşüm",B5:B15,"Yenileme")+SUMIFS(J21:J32,A21:A32,"E-Dönüşüm",B21:B32,"Yenileme")+SUMIFS(J38:J51,A38:A51,"E-Dönüşüm",B38:B51,"Yenileme")+SUMIFS(J57:J67,A57:A67,"E-Dönüşüm",B57:B67,"Yenileme")+SUMIFS(J73:J84,A73:A84,"E-Dönüşüm",B73:B84,"Yenileme")+SUMIFS(J90:J101,A90:A101,"E-Dönüşüm",B90:B101,"Yenileme")+SUMIFS(J114:J123,A114:A123,"E-Dönüşüm",B114:B123,"Yenileme")+SUMIFS(J129:J138,A129:A138,"E-Dönüşüm",B129:B138,"Yenileme")+SUMIFS(J144:J145,A144:A145,"E-Dönüşüm",B144:B145,"Yenileme")</f>
        <v>2720.9415199999999</v>
      </c>
      <c r="K165" s="295">
        <f>SUMIFS(K5:K15,A5:A15,"E-Dönüşüm",B5:B15,"Yenileme")+SUMIFS(K21:K32,A21:A32,"E-Dönüşüm",B21:B32,"Yenileme")+SUMIFS(K38:K51,A38:A51,"E-Dönüşüm",B38:B51,"Yenileme")+SUMIFS(K57:K67,A57:A67,"E-Dönüşüm",B57:B67,"Yenileme")+SUMIFS(K73:K84,A73:A84,"E-Dönüşüm",B73:B84,"Yenileme")+SUMIFS(K90:K101,A90:A101,"E-Dönüşüm",B90:B101,"Yenileme")+SUMIFS(K114:K123,A114:A123,"E-Dönüşüm",B114:B123,"Yenileme")+SUMIFS(K129:K138,A129:A138,"E-Dönüşüm",B129:B138,"Yenileme")+SUMIFS(K144:K145,A144:A145,"E-Dönüşüm",B144:B145,"Yenileme")</f>
        <v>2878.3513600000001</v>
      </c>
      <c r="L165" s="295">
        <f>SUMIFS(L5:L15,A5:A15,"E-Dönüşüm",B5:B15,"Yenileme")+SUMIFS(L21:L32,A21:A32,"E-Dönüşüm",B21:B32,"Yenileme")+SUMIFS(L38:L51,A38:A51,"E-Dönüşüm",B38:B51,"Yenileme")+SUMIFS(L57:L67,A57:A67,"E-Dönüşüm",B57:B67,"Yenileme")+SUMIFS(L73:L84,A73:A84,"E-Dönüşüm",B73:B84,"Yenileme")+SUMIFS(L90:L101,A90:A101,"E-Dönüşüm",B90:B101,"Yenileme")+SUMIFS(L114:L123,A114:A123,"E-Dönüşüm",B114:B123,"Yenileme")+SUMIFS(L129:L138,A129:A138,"E-Dönüşüm",B129:B138,"Yenileme")+SUMIFS(L144:L145,A144:A145,"E-Dönüşüm",B144:B145,"Yenileme")</f>
        <v>3373.0679999999998</v>
      </c>
      <c r="M165" s="295">
        <f>SUMIFS(M5:M15,A5:A15,"E-Dönüşüm",B5:B15,"Yenileme")+SUMIFS(M21:M32,A21:A32,"E-Dönüşüm",B21:B32,"Yenileme")+SUMIFS(M38:M51,A38:A51,"E-Dönüşüm",B38:B51,"Yenileme")+SUMIFS(M57:M67,A57:A67,"E-Dönüşüm",B57:B67,"Yenileme")+SUMIFS(M73:M84,A73:A84,"E-Dönüşüm",B73:B84,"Yenileme")+SUMIFS(M90:M101,A90:A101,"E-Dönüşüm",B90:B101,"Yenileme")+SUMIFS(M114:M123,A114:A123,"E-Dönüşüm",B114:B123,"Yenileme")+SUMIFS(M129:M138,A129:A138,"E-Dönüşüm",B129:B138,"Yenileme")+SUMIFS(M144:M145,A144:A145,"E-Dönüşüm",B144:B145,"Yenileme")</f>
        <v>3418.0422399999998</v>
      </c>
      <c r="N165" s="295">
        <f>SUMIFS(N5:N15,A5:A15,"E-Dönüşüm",B5:B15,"Yenileme")+SUMIFS(N21:N32,A21:A32,"E-Dönüşüm",B21:B32,"Yenileme")+SUMIFS(N38:N51,A38:A51,"E-Dönüşüm",B38:B51,"Yenileme")+SUMIFS(N57:N67,A57:A67,"E-Dönüşüm",B57:B67,"Yenileme")+SUMIFS(N73:N84,A73:A84,"E-Dönüşüm",B73:B84,"Yenileme")+SUMIFS(N90:N101,A90:A101,"E-Dönüşüm",B90:B101,"Yenileme")+SUMIFS(N114:N123,A114:A123,"E-Dönüşüm",B114:B123,"Yenileme")+SUMIFS(N129:N138,A129:A138,"E-Dönüşüm",B129:B138,"Yenileme")+SUMIFS(N144:N145,A144:A145,"E-Dönüşüm",B144:B145,"Yenileme")</f>
        <v>3890.2717600000001</v>
      </c>
      <c r="O165" s="299">
        <f t="shared" si="94"/>
        <v>35979.392</v>
      </c>
      <c r="Q165" s="277" t="str">
        <f t="shared" si="93"/>
        <v>E-Dönüşüm</v>
      </c>
      <c r="R165" s="278" t="str">
        <f t="shared" si="95"/>
        <v>Yenileme</v>
      </c>
      <c r="S165" s="279">
        <f t="shared" si="96"/>
        <v>8050.3889600000002</v>
      </c>
      <c r="T165" s="279">
        <f t="shared" si="97"/>
        <v>8949.8737599999986</v>
      </c>
      <c r="U165" s="279">
        <f t="shared" si="98"/>
        <v>8297.7472799999996</v>
      </c>
      <c r="V165" s="279">
        <f t="shared" si="99"/>
        <v>10681.382</v>
      </c>
      <c r="W165" s="279">
        <f t="shared" si="100"/>
        <v>35979.392</v>
      </c>
    </row>
    <row r="166" spans="1:23" s="269" customFormat="1" ht="16" customHeight="1" collapsed="1" x14ac:dyDescent="0.2">
      <c r="A166" s="283" t="s">
        <v>30</v>
      </c>
      <c r="B166" s="284" t="s">
        <v>26</v>
      </c>
      <c r="C166" s="300">
        <f>SUMIF(B151:B165,"Yeni Satış",C151:C165)</f>
        <v>24927.189384000001</v>
      </c>
      <c r="D166" s="300">
        <f>SUMIF(B151:B165,"Yeni Satış",D151:D165)</f>
        <v>24927.189384000001</v>
      </c>
      <c r="E166" s="300">
        <f>SUMIF(B151:B165,"Yeni Satış",E151:E165)</f>
        <v>28425.742279999999</v>
      </c>
      <c r="F166" s="300">
        <f>SUMIF(B151:B165,"Yeni Satış",F151:F165)</f>
        <v>27769.763612000002</v>
      </c>
      <c r="G166" s="300">
        <f>SUMIF(B151:B165,"Yeni Satış",G151:G165)</f>
        <v>27769.763612000002</v>
      </c>
      <c r="H166" s="300">
        <f>SUMIF(B151:B165,"Yeni Satış",H151:H165)</f>
        <v>31486.976063999995</v>
      </c>
      <c r="I166" s="300">
        <f>SUMIF(B151:B165,"Yeni Satış",I151:I165)</f>
        <v>26239.146720000001</v>
      </c>
      <c r="J166" s="300">
        <f>SUMIF(B151:B165,"Yeni Satış",J151:J165)</f>
        <v>26457.806275999999</v>
      </c>
      <c r="K166" s="300">
        <f>SUMIF(B151:B165,"Yeni Satış",K151:K165)</f>
        <v>27988.423168000001</v>
      </c>
      <c r="L166" s="300">
        <f>SUMIF(B151:B165,"Yeni Satış",L151:L165)</f>
        <v>32798.933399999994</v>
      </c>
      <c r="M166" s="300">
        <f>SUMIF(B151:B165,"Yeni Satış",M151:M165)</f>
        <v>33236.252511999992</v>
      </c>
      <c r="N166" s="300">
        <f>SUMIF(B151:B165,"Yeni Satış",N151:N165)</f>
        <v>37828.103188000001</v>
      </c>
      <c r="O166" s="300">
        <f>SUMIF(B151:B165,"Yeni Satış",O151:O165)</f>
        <v>349855.28960000002</v>
      </c>
      <c r="Q166" s="283" t="s">
        <v>30</v>
      </c>
      <c r="R166" s="284" t="str">
        <f t="shared" si="95"/>
        <v>Yeni Satış</v>
      </c>
      <c r="S166" s="285">
        <f>SUMIF(R151:R165,"Yeni Satış",S151:S165)</f>
        <v>78280.121048000001</v>
      </c>
      <c r="T166" s="285">
        <f>SUMIF(R151:R165,"Yeni Satış",T151:T165)</f>
        <v>87026.503287999993</v>
      </c>
      <c r="U166" s="285">
        <f>SUMIF(R151:R165,"Yeni Satış",U151:U165)</f>
        <v>80685.376164000001</v>
      </c>
      <c r="V166" s="285">
        <f>SUMIF(R151:R165,"Yeni Satış",V151:V165)</f>
        <v>103863.28909999999</v>
      </c>
      <c r="W166" s="285">
        <f t="shared" si="100"/>
        <v>349855.28960000002</v>
      </c>
    </row>
    <row r="167" spans="1:23" s="269" customFormat="1" ht="16" customHeight="1" x14ac:dyDescent="0.2">
      <c r="A167" s="283" t="s">
        <v>30</v>
      </c>
      <c r="B167" s="284" t="s">
        <v>28</v>
      </c>
      <c r="C167" s="300">
        <f>SUMIF(B151:B165,"Yenileme",C151:C165)</f>
        <v>22890.918290859805</v>
      </c>
      <c r="D167" s="300">
        <f>SUMIF(B151:B165,"Yenileme",D151:D165)</f>
        <v>22890.918290859805</v>
      </c>
      <c r="E167" s="300">
        <f>SUMIF(B151:B165,"Yenileme",E151:E165)</f>
        <v>26103.678752734861</v>
      </c>
      <c r="F167" s="300">
        <f>SUMIF(B151:B165,"Yenileme",F151:F165)</f>
        <v>25501.28616613329</v>
      </c>
      <c r="G167" s="300">
        <f>SUMIF(B151:B165,"Yenileme",G151:G165)</f>
        <v>25501.28616613329</v>
      </c>
      <c r="H167" s="300">
        <f>SUMIF(B151:B165,"Yenileme",H151:H165)</f>
        <v>28914.844156875537</v>
      </c>
      <c r="I167" s="300">
        <f>SUMIF(B151:B165,"Yenileme",I151:I165)</f>
        <v>24095.70346406295</v>
      </c>
      <c r="J167" s="300">
        <f>SUMIF(B151:B165,"Yenileme",J151:J165)</f>
        <v>24296.500992930138</v>
      </c>
      <c r="K167" s="300">
        <f>SUMIF(B151:B165,"Yenileme",K151:K165)</f>
        <v>25702.083695000481</v>
      </c>
      <c r="L167" s="300">
        <f>SUMIF(B151:B165,"Yenileme",L151:L165)</f>
        <v>30119.629330078682</v>
      </c>
      <c r="M167" s="300">
        <f>SUMIF(B151:B165,"Yenileme",M151:M165)</f>
        <v>30521.224387813065</v>
      </c>
      <c r="N167" s="300">
        <f>SUMIF(B151:B165,"Yenileme",N151:N165)</f>
        <v>34737.972494024078</v>
      </c>
      <c r="O167" s="300">
        <f>SUMIF(B151:B165,"Yenileme",O151:O165)</f>
        <v>321276.04618750594</v>
      </c>
      <c r="Q167" s="283" t="s">
        <v>30</v>
      </c>
      <c r="R167" s="284" t="str">
        <f t="shared" si="95"/>
        <v>Yenileme</v>
      </c>
      <c r="S167" s="285">
        <f>SUMIF(R151:R165,"Yenileme",S151:S165)</f>
        <v>71885.515334454467</v>
      </c>
      <c r="T167" s="285">
        <f>SUMIF(R151:R165,"Yenileme",T151:T165)</f>
        <v>79917.41648914211</v>
      </c>
      <c r="U167" s="285">
        <f>SUMIF(R151:R165,"Yenileme",U151:U165)</f>
        <v>74094.288151993562</v>
      </c>
      <c r="V167" s="285">
        <f>SUMIF(R151:R165,"Yenileme",V151:V165)</f>
        <v>95378.826211915832</v>
      </c>
      <c r="W167" s="285">
        <f t="shared" si="100"/>
        <v>321276.046187506</v>
      </c>
    </row>
    <row r="168" spans="1:23" s="270" customFormat="1" ht="16" customHeight="1" x14ac:dyDescent="0.2">
      <c r="A168" s="289" t="s">
        <v>38</v>
      </c>
      <c r="B168" s="290" t="s">
        <v>144</v>
      </c>
      <c r="C168" s="305">
        <f t="shared" ref="C168:O168" si="102">C166+C167</f>
        <v>47818.107674859806</v>
      </c>
      <c r="D168" s="305">
        <f t="shared" si="102"/>
        <v>47818.107674859806</v>
      </c>
      <c r="E168" s="305">
        <f t="shared" si="102"/>
        <v>54529.421032734856</v>
      </c>
      <c r="F168" s="305">
        <f t="shared" si="102"/>
        <v>53271.049778133296</v>
      </c>
      <c r="G168" s="305">
        <f t="shared" si="102"/>
        <v>53271.049778133296</v>
      </c>
      <c r="H168" s="305">
        <f t="shared" si="102"/>
        <v>60401.820220875532</v>
      </c>
      <c r="I168" s="305">
        <f t="shared" si="102"/>
        <v>50334.850184062947</v>
      </c>
      <c r="J168" s="305">
        <f t="shared" si="102"/>
        <v>50754.307268930133</v>
      </c>
      <c r="K168" s="305">
        <f t="shared" si="102"/>
        <v>53690.506863000483</v>
      </c>
      <c r="L168" s="305">
        <f t="shared" si="102"/>
        <v>62918.562730078673</v>
      </c>
      <c r="M168" s="305">
        <f t="shared" si="102"/>
        <v>63757.47689981306</v>
      </c>
      <c r="N168" s="305">
        <f t="shared" si="102"/>
        <v>72566.075682024079</v>
      </c>
      <c r="O168" s="305">
        <f t="shared" si="102"/>
        <v>671131.33578750596</v>
      </c>
      <c r="Q168" s="289" t="s">
        <v>38</v>
      </c>
      <c r="R168" s="290" t="str">
        <f t="shared" si="95"/>
        <v>YS + Yen.</v>
      </c>
      <c r="S168" s="291">
        <f>S166+S167</f>
        <v>150165.63638245448</v>
      </c>
      <c r="T168" s="291">
        <f>T166+T167</f>
        <v>166943.91977714212</v>
      </c>
      <c r="U168" s="291">
        <f>U166+U167</f>
        <v>154779.66431599355</v>
      </c>
      <c r="V168" s="291">
        <f>V166+V167</f>
        <v>199242.11531191581</v>
      </c>
      <c r="W168" s="291">
        <f>W166+W167</f>
        <v>671131.33578750608</v>
      </c>
    </row>
  </sheetData>
  <mergeCells count="2">
    <mergeCell ref="Q1:W1"/>
    <mergeCell ref="A1:O1"/>
  </mergeCells>
  <phoneticPr fontId="7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AccountDağılımı 2026</vt:lpstr>
      <vt:lpstr>AccountDağılımı-Adet</vt:lpstr>
      <vt:lpstr>2026 Bütçe - 600 (Yıllık)</vt:lpstr>
      <vt:lpstr>2026 Bütçe - 600 (Aylık)</vt:lpstr>
      <vt:lpstr>Ürün YS-YenilemeHedefleri - 600</vt:lpstr>
      <vt:lpstr>SatışEkibi YS-Yen. Hed - 600</vt:lpstr>
      <vt:lpstr>Satış YS-Yen.Hed (Ayık) - 600</vt:lpstr>
      <vt:lpstr>2026 SatışHedefi - 671 (Yıllık)</vt:lpstr>
      <vt:lpstr>2026 SatışHedefi - 671 (Aylık)</vt:lpstr>
      <vt:lpstr>Ürün YS-YenilemeHedefleri - 671</vt:lpstr>
      <vt:lpstr>SatışEkibi YS-Yen. Hed - 671</vt:lpstr>
      <vt:lpstr>Satış YS-Yen.Hed (Ayık) - 671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Levent Burak Demiralp</dc:creator>
  <cp:lastModifiedBy>Levent Burak Demiralp</cp:lastModifiedBy>
  <dcterms:created xsi:type="dcterms:W3CDTF">2026-02-07T14:38:32Z</dcterms:created>
  <dcterms:modified xsi:type="dcterms:W3CDTF">2026-04-22T16:24:39Z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b1c5b9-ac4e-4e4f-9b88-3de7ddda1786_Enabled">
    <vt:lpwstr>true</vt:lpwstr>
  </property>
  <property fmtid="{D5CDD505-2E9C-101B-9397-08002B2CF9AE}" pid="3" name="MSIP_Label_cbb1c5b9-ac4e-4e4f-9b88-3de7ddda1786_SetDate">
    <vt:lpwstr>2026-02-07T15:20:48Z</vt:lpwstr>
  </property>
  <property fmtid="{D5CDD505-2E9C-101B-9397-08002B2CF9AE}" pid="4" name="MSIP_Label_cbb1c5b9-ac4e-4e4f-9b88-3de7ddda1786_Method">
    <vt:lpwstr>Standard</vt:lpwstr>
  </property>
  <property fmtid="{D5CDD505-2E9C-101B-9397-08002B2CF9AE}" pid="5" name="MSIP_Label_cbb1c5b9-ac4e-4e4f-9b88-3de7ddda1786_Name">
    <vt:lpwstr>defa4170-0d19-0005-0004-bc88714345d2</vt:lpwstr>
  </property>
  <property fmtid="{D5CDD505-2E9C-101B-9397-08002B2CF9AE}" pid="6" name="MSIP_Label_cbb1c5b9-ac4e-4e4f-9b88-3de7ddda1786_SiteId">
    <vt:lpwstr>b9ba7c23-6681-4c62-babf-e3792ad86ea2</vt:lpwstr>
  </property>
  <property fmtid="{D5CDD505-2E9C-101B-9397-08002B2CF9AE}" pid="7" name="MSIP_Label_cbb1c5b9-ac4e-4e4f-9b88-3de7ddda1786_ActionId">
    <vt:lpwstr>f8ad9f4b-33f4-45e1-a9dc-3cdd2bc08669</vt:lpwstr>
  </property>
  <property fmtid="{D5CDD505-2E9C-101B-9397-08002B2CF9AE}" pid="8" name="MSIP_Label_cbb1c5b9-ac4e-4e4f-9b88-3de7ddda1786_ContentBits">
    <vt:lpwstr>0</vt:lpwstr>
  </property>
  <property fmtid="{D5CDD505-2E9C-101B-9397-08002B2CF9AE}" pid="9" name="MSIP_Label_cbb1c5b9-ac4e-4e4f-9b88-3de7ddda1786_Tag">
    <vt:lpwstr>50, 3, 0, 1</vt:lpwstr>
  </property>
</Properties>
</file>